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X:\Fisheries\THESIS\Data New\Raw Data\"/>
    </mc:Choice>
  </mc:AlternateContent>
  <xr:revisionPtr revIDLastSave="0" documentId="13_ncr:1_{3D133F36-657F-459E-97D2-76A1B0AEC62F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Doughnut pie" sheetId="1" r:id="rId1"/>
    <sheet name="H_Fish" sheetId="2" r:id="rId2"/>
    <sheet name="H_Water" sheetId="3" r:id="rId3"/>
    <sheet name="H_Sediment" sheetId="4" r:id="rId4"/>
    <sheet name="Fish bar" sheetId="5" r:id="rId5"/>
    <sheet name="Sheet5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3" i="5" l="1"/>
  <c r="AL4" i="5"/>
  <c r="AL5" i="5"/>
  <c r="AL6" i="5"/>
  <c r="AL7" i="5"/>
  <c r="AL8" i="5"/>
  <c r="AL9" i="5"/>
  <c r="AL10" i="5"/>
  <c r="AL2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W22" i="5"/>
  <c r="W21" i="5"/>
  <c r="W20" i="5"/>
  <c r="W19" i="5"/>
  <c r="W18" i="5"/>
  <c r="W17" i="5"/>
  <c r="W16" i="5"/>
  <c r="W15" i="5"/>
  <c r="W14" i="5"/>
  <c r="AK3" i="5"/>
  <c r="AK4" i="5"/>
  <c r="AK5" i="5"/>
  <c r="AK6" i="5"/>
  <c r="AK7" i="5"/>
  <c r="AK8" i="5"/>
  <c r="AK9" i="5"/>
  <c r="AK10" i="5"/>
  <c r="AK2" i="5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W12" i="3"/>
  <c r="W11" i="3"/>
  <c r="W10" i="3"/>
  <c r="W9" i="3"/>
  <c r="W8" i="3"/>
  <c r="W7" i="3"/>
  <c r="W6" i="3"/>
  <c r="W5" i="3"/>
  <c r="W4" i="3"/>
  <c r="W3" i="3"/>
  <c r="W2" i="3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V10" i="2"/>
  <c r="V9" i="2"/>
  <c r="V8" i="2"/>
  <c r="V7" i="2"/>
  <c r="V6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V5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V4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V3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V2" i="2"/>
  <c r="K7" i="1"/>
  <c r="C6" i="1"/>
  <c r="C7" i="1" s="1"/>
  <c r="C5" i="1"/>
  <c r="C4" i="1"/>
  <c r="C3" i="1"/>
  <c r="G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29F808D2-AB8F-4FEF-A646-C637991F2E48}">
      <text>
        <r>
          <rPr>
            <sz val="10"/>
            <rFont val="Arial"/>
            <family val="2"/>
          </rPr>
          <t>Concentrations in ng/L (assumed; see README). Values copied from Water.xlsx. 0 = below detection limit.</t>
        </r>
      </text>
    </comment>
  </commentList>
</comments>
</file>

<file path=xl/sharedStrings.xml><?xml version="1.0" encoding="utf-8"?>
<sst xmlns="http://schemas.openxmlformats.org/spreadsheetml/2006/main" count="519" uniqueCount="109">
  <si>
    <t>Fish</t>
  </si>
  <si>
    <t>Water</t>
  </si>
  <si>
    <t>Sediment</t>
  </si>
  <si>
    <t>Class</t>
  </si>
  <si>
    <t>Mean</t>
  </si>
  <si>
    <t>ΣDDT</t>
  </si>
  <si>
    <t>ΣHCH</t>
  </si>
  <si>
    <t>ΣDRN</t>
  </si>
  <si>
    <t>ΣHPT</t>
  </si>
  <si>
    <t>ΣOCP</t>
  </si>
  <si>
    <t>%</t>
  </si>
  <si>
    <t>Sample ID</t>
  </si>
  <si>
    <t>Zone</t>
  </si>
  <si>
    <t>Species</t>
  </si>
  <si>
    <t>o,p'-DDT</t>
  </si>
  <si>
    <t>p,p'-DDT</t>
  </si>
  <si>
    <t>o,p'-DDD</t>
  </si>
  <si>
    <t>p,p'-DDD</t>
  </si>
  <si>
    <t>o,p'-DDE</t>
  </si>
  <si>
    <t>p,p'-DDE</t>
  </si>
  <si>
    <t>α-HCH</t>
  </si>
  <si>
    <t>β-HCH</t>
  </si>
  <si>
    <t>γ-HCH (Lindane)</t>
  </si>
  <si>
    <t>δ-HCH</t>
  </si>
  <si>
    <t>Aldrin</t>
  </si>
  <si>
    <t>Dieldrin</t>
  </si>
  <si>
    <t>Heptachlor</t>
  </si>
  <si>
    <t>Heptachlor epoxide</t>
  </si>
  <si>
    <t>RUR1</t>
  </si>
  <si>
    <t>Up-stream</t>
  </si>
  <si>
    <t>Rui</t>
  </si>
  <si>
    <t>RUR2</t>
  </si>
  <si>
    <t>RUR3</t>
  </si>
  <si>
    <t>CUR1</t>
  </si>
  <si>
    <t>Catla</t>
  </si>
  <si>
    <t>CUR2</t>
  </si>
  <si>
    <t>CUR3</t>
  </si>
  <si>
    <t>MUR1</t>
  </si>
  <si>
    <t>Mrigal</t>
  </si>
  <si>
    <t>MUR2</t>
  </si>
  <si>
    <t>MUR3</t>
  </si>
  <si>
    <t>RMR1</t>
  </si>
  <si>
    <t>Mid-stream</t>
  </si>
  <si>
    <t>RMR2</t>
  </si>
  <si>
    <t>RMR3</t>
  </si>
  <si>
    <t>CMR1</t>
  </si>
  <si>
    <t>CMR2</t>
  </si>
  <si>
    <t>CMR3</t>
  </si>
  <si>
    <t>MMR1</t>
  </si>
  <si>
    <t>MMR2</t>
  </si>
  <si>
    <t>MMR3</t>
  </si>
  <si>
    <t>RDR1</t>
  </si>
  <si>
    <t>Down-stream</t>
  </si>
  <si>
    <t>RDR2</t>
  </si>
  <si>
    <t>RDR3</t>
  </si>
  <si>
    <t>CDR1</t>
  </si>
  <si>
    <t>CDR2</t>
  </si>
  <si>
    <t>CDR3</t>
  </si>
  <si>
    <t>MDR1</t>
  </si>
  <si>
    <t>MDR2</t>
  </si>
  <si>
    <t>MDR3</t>
  </si>
  <si>
    <t xml:space="preserve">catla </t>
  </si>
  <si>
    <t>Site</t>
  </si>
  <si>
    <t>BWR1</t>
  </si>
  <si>
    <t>Bhujpur Dam</t>
  </si>
  <si>
    <t>BWR2</t>
  </si>
  <si>
    <t>BWR3</t>
  </si>
  <si>
    <t>EWR1</t>
  </si>
  <si>
    <t>Ekkhuliya</t>
  </si>
  <si>
    <t>EWR2</t>
  </si>
  <si>
    <t>EWR3</t>
  </si>
  <si>
    <t>NZWR1</t>
  </si>
  <si>
    <t>Nazirhat</t>
  </si>
  <si>
    <t>NZWR2</t>
  </si>
  <si>
    <t>NZWR3</t>
  </si>
  <si>
    <t>SWR1</t>
  </si>
  <si>
    <t>Sekandar Para</t>
  </si>
  <si>
    <t>SWR2</t>
  </si>
  <si>
    <t>SWR3</t>
  </si>
  <si>
    <t>NIWR1</t>
  </si>
  <si>
    <t>Nichintapur</t>
  </si>
  <si>
    <t>NIWR2</t>
  </si>
  <si>
    <t>NIWR3</t>
  </si>
  <si>
    <t>NDWR1</t>
  </si>
  <si>
    <t>Nadimpur</t>
  </si>
  <si>
    <t>NDWR2</t>
  </si>
  <si>
    <t>NDWR3</t>
  </si>
  <si>
    <t>WWR1</t>
  </si>
  <si>
    <t>West Binajuri</t>
  </si>
  <si>
    <t>WWR2</t>
  </si>
  <si>
    <t>WWR3</t>
  </si>
  <si>
    <t>NWR1</t>
  </si>
  <si>
    <t>Napiter Ghona</t>
  </si>
  <si>
    <t>NWR2</t>
  </si>
  <si>
    <t>NWR3</t>
  </si>
  <si>
    <t>HWR1</t>
  </si>
  <si>
    <t>Horekrishno Mohajoner Tek</t>
  </si>
  <si>
    <t>HWR2</t>
  </si>
  <si>
    <t>HWR3</t>
  </si>
  <si>
    <t>CWR1</t>
  </si>
  <si>
    <t>Chayar Char</t>
  </si>
  <si>
    <t>CWR2</t>
  </si>
  <si>
    <t>CWR3</t>
  </si>
  <si>
    <t>KWR1</t>
  </si>
  <si>
    <t>Kalurghat</t>
  </si>
  <si>
    <t>KWR2</t>
  </si>
  <si>
    <t>KWR3</t>
  </si>
  <si>
    <t>Sum 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</si>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</sst>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workbookViewId="0">
      <selection activeCell="K8" sqref="K8"/>
    </sheetView>
  </sheetViews>
  <sheetFormatPr defaultRowHeight="15" x14ac:dyDescent="0.25"/>
  <sheetData>
    <row r="1" spans="1:11" x14ac:dyDescent="0.25">
      <c r="A1" s="1" t="s">
        <v>0</v>
      </c>
      <c r="B1" s="1"/>
      <c r="C1" s="2"/>
      <c r="E1" s="1" t="s">
        <v>1</v>
      </c>
      <c r="F1" s="1"/>
      <c r="G1" s="2"/>
      <c r="I1" s="1" t="s">
        <v>2</v>
      </c>
      <c r="J1" s="1"/>
    </row>
    <row r="2" spans="1:11" x14ac:dyDescent="0.25">
      <c r="A2" t="s">
        <v>3</v>
      </c>
      <c r="B2" t="s">
        <v>4</v>
      </c>
      <c r="C2" t="s">
        <v>10</v>
      </c>
      <c r="E2" t="s">
        <v>3</v>
      </c>
      <c r="F2" t="s">
        <v>4</v>
      </c>
      <c r="G2" t="s">
        <v>10</v>
      </c>
      <c r="I2" t="s">
        <v>3</v>
      </c>
      <c r="J2" t="s">
        <v>4</v>
      </c>
      <c r="K2" t="s">
        <v>10</v>
      </c>
    </row>
    <row r="3" spans="1:11" x14ac:dyDescent="0.25">
      <c r="A3" t="s">
        <v>5</v>
      </c>
      <c r="B3">
        <v>17.201925925925924</v>
      </c>
      <c r="C3">
        <f>(B3/$B7)*100</f>
        <v>44.418686276028737</v>
      </c>
      <c r="E3" t="s">
        <v>5</v>
      </c>
      <c r="G3">
        <v>53.90602982745515</v>
      </c>
      <c r="I3" t="s">
        <v>5</v>
      </c>
      <c r="K3">
        <v>59.516922750182843</v>
      </c>
    </row>
    <row r="4" spans="1:11" x14ac:dyDescent="0.25">
      <c r="A4" t="s">
        <v>6</v>
      </c>
      <c r="B4">
        <v>11.25225925925926</v>
      </c>
      <c r="C4">
        <f>(B4/B7)*100</f>
        <v>29.055500883205514</v>
      </c>
      <c r="E4" t="s">
        <v>6</v>
      </c>
      <c r="G4">
        <v>27.92466306874503</v>
      </c>
      <c r="I4" t="s">
        <v>6</v>
      </c>
      <c r="K4">
        <v>24.435017857660014</v>
      </c>
    </row>
    <row r="5" spans="1:11" x14ac:dyDescent="0.25">
      <c r="A5" t="s">
        <v>7</v>
      </c>
      <c r="B5">
        <v>6.0288518518518517</v>
      </c>
      <c r="C5">
        <f>(B5/B7)*100</f>
        <v>15.567656794083529</v>
      </c>
      <c r="E5" t="s">
        <v>7</v>
      </c>
      <c r="G5">
        <v>8.8683964077672019</v>
      </c>
      <c r="I5" t="s">
        <v>7</v>
      </c>
      <c r="K5">
        <v>7.2831756508666841</v>
      </c>
    </row>
    <row r="6" spans="1:11" x14ac:dyDescent="0.25">
      <c r="A6" t="s">
        <v>8</v>
      </c>
      <c r="B6">
        <v>4.2437407407407406</v>
      </c>
      <c r="C6">
        <f>(B6/B7)*100</f>
        <v>10.958156046682218</v>
      </c>
      <c r="E6" t="s">
        <v>8</v>
      </c>
      <c r="G6">
        <v>9.3009106960326537</v>
      </c>
      <c r="I6" t="s">
        <v>8</v>
      </c>
      <c r="K6">
        <v>8.7648837412904612</v>
      </c>
    </row>
    <row r="7" spans="1:11" x14ac:dyDescent="0.25">
      <c r="A7" t="s">
        <v>9</v>
      </c>
      <c r="B7">
        <v>38.726777777777777</v>
      </c>
      <c r="C7">
        <f>SUM(C3:C6)</f>
        <v>100</v>
      </c>
      <c r="E7" t="s">
        <v>9</v>
      </c>
      <c r="G7">
        <f>SUM(G3:G6)</f>
        <v>100.00000000000004</v>
      </c>
      <c r="I7" t="s">
        <v>9</v>
      </c>
      <c r="K7">
        <f>SUM(K3:K6)</f>
        <v>100</v>
      </c>
    </row>
  </sheetData>
  <mergeCells count="3">
    <mergeCell ref="E1:F1"/>
    <mergeCell ref="A1:B1"/>
    <mergeCell ref="I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95061-3164-43F6-9284-A010463CC7D0}">
  <dimension ref="A1:AI28"/>
  <sheetViews>
    <sheetView topLeftCell="I1" workbookViewId="0">
      <selection activeCell="T1" sqref="T1:AI10"/>
    </sheetView>
  </sheetViews>
  <sheetFormatPr defaultRowHeight="15" x14ac:dyDescent="0.25"/>
  <cols>
    <col min="1" max="1" width="9.85546875" bestFit="1" customWidth="1"/>
    <col min="2" max="2" width="13.140625" bestFit="1" customWidth="1"/>
    <col min="3" max="3" width="7.7109375" bestFit="1" customWidth="1"/>
    <col min="4" max="5" width="8.5703125" bestFit="1" customWidth="1"/>
    <col min="6" max="7" width="8.85546875" bestFit="1" customWidth="1"/>
    <col min="8" max="9" width="8.5703125" bestFit="1" customWidth="1"/>
    <col min="10" max="10" width="6.7109375" bestFit="1" customWidth="1"/>
    <col min="11" max="11" width="6.5703125" bestFit="1" customWidth="1"/>
    <col min="12" max="12" width="15.42578125" bestFit="1" customWidth="1"/>
    <col min="13" max="13" width="6.5703125" bestFit="1" customWidth="1"/>
    <col min="14" max="14" width="6.42578125" bestFit="1" customWidth="1"/>
    <col min="15" max="15" width="8.140625" bestFit="1" customWidth="1"/>
    <col min="16" max="16" width="10.7109375" bestFit="1" customWidth="1"/>
    <col min="17" max="17" width="18.7109375" bestFit="1" customWidth="1"/>
    <col min="20" max="20" width="13.140625" bestFit="1" customWidth="1"/>
    <col min="21" max="21" width="7.7109375" bestFit="1" customWidth="1"/>
    <col min="22" max="23" width="8.5703125" bestFit="1" customWidth="1"/>
    <col min="24" max="25" width="8.85546875" bestFit="1" customWidth="1"/>
    <col min="26" max="27" width="8.5703125" bestFit="1" customWidth="1"/>
    <col min="28" max="28" width="6.7109375" bestFit="1" customWidth="1"/>
    <col min="29" max="29" width="6.5703125" bestFit="1" customWidth="1"/>
    <col min="30" max="30" width="15.42578125" bestFit="1" customWidth="1"/>
    <col min="31" max="31" width="6.5703125" bestFit="1" customWidth="1"/>
    <col min="32" max="32" width="6.42578125" bestFit="1" customWidth="1"/>
    <col min="33" max="33" width="8.140625" bestFit="1" customWidth="1"/>
    <col min="34" max="34" width="10.7109375" bestFit="1" customWidth="1"/>
    <col min="35" max="35" width="18.7109375" bestFit="1" customWidth="1"/>
  </cols>
  <sheetData>
    <row r="1" spans="1:3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</row>
    <row r="2" spans="1:35" x14ac:dyDescent="0.25">
      <c r="A2" t="s">
        <v>28</v>
      </c>
      <c r="B2" t="s">
        <v>29</v>
      </c>
      <c r="C2" t="s">
        <v>30</v>
      </c>
      <c r="D2">
        <v>0.5</v>
      </c>
      <c r="E2">
        <v>0.5</v>
      </c>
      <c r="F2">
        <v>0.5</v>
      </c>
      <c r="G2">
        <v>1.1200000000000001</v>
      </c>
      <c r="H2">
        <v>1.2410000000000001</v>
      </c>
      <c r="I2">
        <v>2.2839999999999998</v>
      </c>
      <c r="J2">
        <v>1.0289999999999999</v>
      </c>
      <c r="K2">
        <v>5.3810000000000002</v>
      </c>
      <c r="L2">
        <v>0.5</v>
      </c>
      <c r="M2">
        <v>2.5379999999999998</v>
      </c>
      <c r="N2">
        <v>0.5</v>
      </c>
      <c r="O2">
        <v>0.5</v>
      </c>
      <c r="P2">
        <v>0.5</v>
      </c>
      <c r="Q2">
        <v>0.5</v>
      </c>
      <c r="T2" t="s">
        <v>29</v>
      </c>
      <c r="U2" t="s">
        <v>30</v>
      </c>
      <c r="V2">
        <f>AVERAGE(D2:D4)</f>
        <v>0.5</v>
      </c>
      <c r="W2">
        <f t="shared" ref="W2:AI2" si="0">AVERAGE(E2:E4)</f>
        <v>0.5</v>
      </c>
      <c r="X2">
        <f t="shared" si="0"/>
        <v>0.5</v>
      </c>
      <c r="Y2">
        <f t="shared" si="0"/>
        <v>1.8913333333333335</v>
      </c>
      <c r="Z2">
        <f t="shared" si="0"/>
        <v>1.502</v>
      </c>
      <c r="AA2">
        <f t="shared" si="0"/>
        <v>2.8546666666666667</v>
      </c>
      <c r="AB2">
        <f t="shared" si="0"/>
        <v>1.1599999999999999</v>
      </c>
      <c r="AC2">
        <f t="shared" si="0"/>
        <v>5.4933333333333332</v>
      </c>
      <c r="AD2">
        <f t="shared" si="0"/>
        <v>0.5</v>
      </c>
      <c r="AE2">
        <f t="shared" si="0"/>
        <v>2.1590000000000003</v>
      </c>
      <c r="AF2">
        <f t="shared" si="0"/>
        <v>0.5</v>
      </c>
      <c r="AG2">
        <f t="shared" si="0"/>
        <v>0.5</v>
      </c>
      <c r="AH2">
        <f t="shared" si="0"/>
        <v>0.5</v>
      </c>
      <c r="AI2">
        <f t="shared" si="0"/>
        <v>0.5</v>
      </c>
    </row>
    <row r="3" spans="1:35" x14ac:dyDescent="0.25">
      <c r="A3" t="s">
        <v>31</v>
      </c>
      <c r="B3" t="s">
        <v>29</v>
      </c>
      <c r="C3" t="s">
        <v>30</v>
      </c>
      <c r="D3">
        <v>0.5</v>
      </c>
      <c r="E3">
        <v>0.5</v>
      </c>
      <c r="F3">
        <v>0.5</v>
      </c>
      <c r="G3">
        <v>2.1760000000000002</v>
      </c>
      <c r="H3">
        <v>2.0339999999999998</v>
      </c>
      <c r="I3">
        <v>3.7330000000000001</v>
      </c>
      <c r="J3">
        <v>1.2989999999999999</v>
      </c>
      <c r="K3">
        <v>5.1630000000000003</v>
      </c>
      <c r="L3">
        <v>0.5</v>
      </c>
      <c r="M3">
        <v>1.5129999999999999</v>
      </c>
      <c r="N3">
        <v>0.5</v>
      </c>
      <c r="O3">
        <v>0.5</v>
      </c>
      <c r="P3">
        <v>0.5</v>
      </c>
      <c r="Q3">
        <v>0.5</v>
      </c>
      <c r="T3" t="s">
        <v>29</v>
      </c>
      <c r="U3" t="s">
        <v>61</v>
      </c>
      <c r="V3">
        <f>AVERAGE(D5:D7)</f>
        <v>0.5</v>
      </c>
      <c r="W3">
        <f t="shared" ref="W3:AI3" si="1">AVERAGE(E5:E7)</f>
        <v>0.5</v>
      </c>
      <c r="X3">
        <f t="shared" si="1"/>
        <v>0.5</v>
      </c>
      <c r="Y3">
        <f t="shared" si="1"/>
        <v>0.5</v>
      </c>
      <c r="Z3">
        <f t="shared" si="1"/>
        <v>0.5</v>
      </c>
      <c r="AA3">
        <f t="shared" si="1"/>
        <v>0.5</v>
      </c>
      <c r="AB3">
        <f t="shared" si="1"/>
        <v>1.407</v>
      </c>
      <c r="AC3">
        <f t="shared" si="1"/>
        <v>0.5</v>
      </c>
      <c r="AD3">
        <f t="shared" si="1"/>
        <v>0.5</v>
      </c>
      <c r="AE3">
        <f t="shared" si="1"/>
        <v>0.5</v>
      </c>
      <c r="AF3">
        <f t="shared" si="1"/>
        <v>0.5</v>
      </c>
      <c r="AG3">
        <f t="shared" si="1"/>
        <v>0.5</v>
      </c>
      <c r="AH3">
        <f t="shared" si="1"/>
        <v>0.5</v>
      </c>
      <c r="AI3">
        <f t="shared" si="1"/>
        <v>0.5</v>
      </c>
    </row>
    <row r="4" spans="1:35" x14ac:dyDescent="0.25">
      <c r="A4" t="s">
        <v>32</v>
      </c>
      <c r="B4" t="s">
        <v>29</v>
      </c>
      <c r="C4" t="s">
        <v>30</v>
      </c>
      <c r="D4">
        <v>0.5</v>
      </c>
      <c r="E4">
        <v>0.5</v>
      </c>
      <c r="F4">
        <v>0.5</v>
      </c>
      <c r="G4">
        <v>2.3780000000000001</v>
      </c>
      <c r="H4">
        <v>1.2310000000000001</v>
      </c>
      <c r="I4">
        <v>2.5470000000000002</v>
      </c>
      <c r="J4">
        <v>1.1519999999999999</v>
      </c>
      <c r="K4">
        <v>5.9359999999999999</v>
      </c>
      <c r="L4">
        <v>0.5</v>
      </c>
      <c r="M4">
        <v>2.4260000000000002</v>
      </c>
      <c r="N4">
        <v>0.5</v>
      </c>
      <c r="O4">
        <v>0.5</v>
      </c>
      <c r="P4">
        <v>0.5</v>
      </c>
      <c r="Q4">
        <v>0.5</v>
      </c>
      <c r="T4" t="s">
        <v>29</v>
      </c>
      <c r="U4" t="s">
        <v>38</v>
      </c>
      <c r="V4">
        <f>AVERAGE(D8:D10)</f>
        <v>1.542</v>
      </c>
      <c r="W4">
        <f t="shared" ref="W4:AI4" si="2">AVERAGE(E8:E10)</f>
        <v>2.7673333333333332</v>
      </c>
      <c r="X4">
        <f t="shared" si="2"/>
        <v>0.5</v>
      </c>
      <c r="Y4">
        <f t="shared" si="2"/>
        <v>2.6396666666666668</v>
      </c>
      <c r="Z4">
        <f t="shared" si="2"/>
        <v>3.6816666666666666</v>
      </c>
      <c r="AA4">
        <f t="shared" si="2"/>
        <v>5.8436666666666666</v>
      </c>
      <c r="AB4">
        <f t="shared" si="2"/>
        <v>3.8210000000000002</v>
      </c>
      <c r="AC4">
        <f t="shared" si="2"/>
        <v>5.5489999999999995</v>
      </c>
      <c r="AD4">
        <f t="shared" si="2"/>
        <v>0.5</v>
      </c>
      <c r="AE4">
        <f t="shared" si="2"/>
        <v>4.1486666666666672</v>
      </c>
      <c r="AF4">
        <f t="shared" si="2"/>
        <v>0.5</v>
      </c>
      <c r="AG4">
        <f t="shared" si="2"/>
        <v>0.5</v>
      </c>
      <c r="AH4">
        <f t="shared" si="2"/>
        <v>0.5</v>
      </c>
      <c r="AI4">
        <f t="shared" si="2"/>
        <v>3.1326666666666667</v>
      </c>
    </row>
    <row r="5" spans="1:35" x14ac:dyDescent="0.25">
      <c r="A5" t="s">
        <v>33</v>
      </c>
      <c r="B5" t="s">
        <v>29</v>
      </c>
      <c r="C5" t="s">
        <v>34</v>
      </c>
      <c r="D5">
        <v>0.5</v>
      </c>
      <c r="E5">
        <v>0.5</v>
      </c>
      <c r="F5">
        <v>0.5</v>
      </c>
      <c r="G5">
        <v>0.5</v>
      </c>
      <c r="H5">
        <v>0.5</v>
      </c>
      <c r="I5">
        <v>0.5</v>
      </c>
      <c r="J5">
        <v>2.2000000000000002</v>
      </c>
      <c r="K5">
        <v>0.5</v>
      </c>
      <c r="L5">
        <v>0.5</v>
      </c>
      <c r="M5">
        <v>0.5</v>
      </c>
      <c r="N5">
        <v>0.5</v>
      </c>
      <c r="O5">
        <v>0.5</v>
      </c>
      <c r="P5">
        <v>0.5</v>
      </c>
      <c r="Q5">
        <v>0.5</v>
      </c>
      <c r="T5" t="s">
        <v>42</v>
      </c>
      <c r="U5" t="s">
        <v>30</v>
      </c>
      <c r="V5">
        <f>AVERAGE(D11:D13)</f>
        <v>2.2143333333333333</v>
      </c>
      <c r="W5">
        <f t="shared" ref="W5:AJ5" si="3">AVERAGE(E11:E13)</f>
        <v>2.7930000000000006</v>
      </c>
      <c r="X5">
        <f t="shared" si="3"/>
        <v>0.5</v>
      </c>
      <c r="Y5">
        <f t="shared" si="3"/>
        <v>2.7316666666666669</v>
      </c>
      <c r="Z5">
        <f t="shared" si="3"/>
        <v>5.4939999999999998</v>
      </c>
      <c r="AA5">
        <f t="shared" si="3"/>
        <v>3.1656666666666666</v>
      </c>
      <c r="AB5">
        <f t="shared" si="3"/>
        <v>1.5703333333333334</v>
      </c>
      <c r="AC5">
        <f t="shared" si="3"/>
        <v>5.5399999999999991</v>
      </c>
      <c r="AD5">
        <f t="shared" si="3"/>
        <v>0.5</v>
      </c>
      <c r="AE5">
        <f t="shared" si="3"/>
        <v>3.3123333333333331</v>
      </c>
      <c r="AF5">
        <f t="shared" si="3"/>
        <v>0.5</v>
      </c>
      <c r="AG5">
        <f t="shared" si="3"/>
        <v>5.9229999999999992</v>
      </c>
      <c r="AH5">
        <f t="shared" si="3"/>
        <v>1.5603333333333333</v>
      </c>
      <c r="AI5">
        <f t="shared" si="3"/>
        <v>2.8940000000000001</v>
      </c>
    </row>
    <row r="6" spans="1:35" x14ac:dyDescent="0.25">
      <c r="A6" t="s">
        <v>35</v>
      </c>
      <c r="B6" t="s">
        <v>29</v>
      </c>
      <c r="C6" t="s">
        <v>34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J6">
        <v>0.5</v>
      </c>
      <c r="K6">
        <v>0.5</v>
      </c>
      <c r="L6">
        <v>0.5</v>
      </c>
      <c r="M6">
        <v>0.5</v>
      </c>
      <c r="N6">
        <v>0.5</v>
      </c>
      <c r="O6">
        <v>0.5</v>
      </c>
      <c r="P6">
        <v>0.5</v>
      </c>
      <c r="Q6">
        <v>0.5</v>
      </c>
      <c r="T6" t="s">
        <v>42</v>
      </c>
      <c r="U6" t="s">
        <v>61</v>
      </c>
      <c r="V6">
        <f>AVERAGE(D14:D16)</f>
        <v>0.5</v>
      </c>
      <c r="W6">
        <f t="shared" ref="W6:AI6" si="4">AVERAGE(E14:E16)</f>
        <v>1.7686666666666666</v>
      </c>
      <c r="X6">
        <f t="shared" si="4"/>
        <v>0.5</v>
      </c>
      <c r="Y6">
        <f t="shared" si="4"/>
        <v>1.2796666666666667</v>
      </c>
      <c r="Z6">
        <f t="shared" si="4"/>
        <v>3.6199999999999997</v>
      </c>
      <c r="AA6">
        <f t="shared" si="4"/>
        <v>3.8669999999999995</v>
      </c>
      <c r="AB6">
        <f t="shared" si="4"/>
        <v>0.5</v>
      </c>
      <c r="AC6">
        <f t="shared" si="4"/>
        <v>4.319</v>
      </c>
      <c r="AD6">
        <f t="shared" si="4"/>
        <v>0.5</v>
      </c>
      <c r="AE6">
        <f t="shared" si="4"/>
        <v>0.5</v>
      </c>
      <c r="AF6">
        <f t="shared" si="4"/>
        <v>0.5</v>
      </c>
      <c r="AG6">
        <f t="shared" si="4"/>
        <v>0.5</v>
      </c>
      <c r="AH6">
        <f t="shared" si="4"/>
        <v>0.5</v>
      </c>
      <c r="AI6">
        <f t="shared" si="4"/>
        <v>0.5</v>
      </c>
    </row>
    <row r="7" spans="1:35" x14ac:dyDescent="0.25">
      <c r="A7" t="s">
        <v>36</v>
      </c>
      <c r="B7" t="s">
        <v>29</v>
      </c>
      <c r="C7" t="s">
        <v>34</v>
      </c>
      <c r="D7">
        <v>0.5</v>
      </c>
      <c r="E7">
        <v>0.5</v>
      </c>
      <c r="F7">
        <v>0.5</v>
      </c>
      <c r="G7">
        <v>0.5</v>
      </c>
      <c r="H7">
        <v>0.5</v>
      </c>
      <c r="I7">
        <v>0.5</v>
      </c>
      <c r="J7">
        <v>1.5209999999999999</v>
      </c>
      <c r="K7">
        <v>0.5</v>
      </c>
      <c r="L7">
        <v>0.5</v>
      </c>
      <c r="M7">
        <v>0.5</v>
      </c>
      <c r="N7">
        <v>0.5</v>
      </c>
      <c r="O7">
        <v>0.5</v>
      </c>
      <c r="P7">
        <v>0.5</v>
      </c>
      <c r="Q7">
        <v>0.5</v>
      </c>
      <c r="T7" t="s">
        <v>42</v>
      </c>
      <c r="U7" t="s">
        <v>38</v>
      </c>
      <c r="V7">
        <f>AVERAGE(D17:D19)</f>
        <v>1.87</v>
      </c>
      <c r="W7">
        <f t="shared" ref="W7:AI7" si="5">AVERAGE(E17:E19)</f>
        <v>4.432666666666667</v>
      </c>
      <c r="X7">
        <f t="shared" si="5"/>
        <v>0.5</v>
      </c>
      <c r="Y7">
        <f t="shared" si="5"/>
        <v>2.3759999999999999</v>
      </c>
      <c r="Z7">
        <f t="shared" si="5"/>
        <v>5.8323333333333336</v>
      </c>
      <c r="AA7">
        <f t="shared" si="5"/>
        <v>5.3816666666666668</v>
      </c>
      <c r="AB7">
        <f t="shared" si="5"/>
        <v>3.4523333333333333</v>
      </c>
      <c r="AC7">
        <f t="shared" si="5"/>
        <v>5.6186666666666669</v>
      </c>
      <c r="AD7">
        <f t="shared" si="5"/>
        <v>0.5</v>
      </c>
      <c r="AE7">
        <f t="shared" si="5"/>
        <v>1.2400000000000002</v>
      </c>
      <c r="AF7">
        <f t="shared" si="5"/>
        <v>3.5686666666666667</v>
      </c>
      <c r="AG7">
        <f t="shared" si="5"/>
        <v>6.1656666666666666</v>
      </c>
      <c r="AH7">
        <f t="shared" si="5"/>
        <v>2.3516666666666666</v>
      </c>
      <c r="AI7">
        <f t="shared" si="5"/>
        <v>4.4316666666666666</v>
      </c>
    </row>
    <row r="8" spans="1:35" x14ac:dyDescent="0.25">
      <c r="A8" t="s">
        <v>37</v>
      </c>
      <c r="B8" t="s">
        <v>29</v>
      </c>
      <c r="C8" t="s">
        <v>38</v>
      </c>
      <c r="D8">
        <v>2.1030000000000002</v>
      </c>
      <c r="E8">
        <v>2.335</v>
      </c>
      <c r="F8">
        <v>0.5</v>
      </c>
      <c r="G8">
        <v>2.4740000000000002</v>
      </c>
      <c r="H8">
        <v>5.14</v>
      </c>
      <c r="I8">
        <v>5.2640000000000002</v>
      </c>
      <c r="J8">
        <v>3.8140000000000001</v>
      </c>
      <c r="K8">
        <v>5.3559999999999999</v>
      </c>
      <c r="L8">
        <v>0.5</v>
      </c>
      <c r="M8">
        <v>3.48</v>
      </c>
      <c r="N8">
        <v>0.5</v>
      </c>
      <c r="O8">
        <v>0.5</v>
      </c>
      <c r="P8">
        <v>0.5</v>
      </c>
      <c r="Q8">
        <v>3.8239999999999998</v>
      </c>
      <c r="T8" t="s">
        <v>52</v>
      </c>
      <c r="U8" t="s">
        <v>30</v>
      </c>
      <c r="V8">
        <f>AVERAGE(D20:D22)</f>
        <v>2.9503333333333335</v>
      </c>
      <c r="W8">
        <f t="shared" ref="W8:AI8" si="6">AVERAGE(E20:E22)</f>
        <v>3.1516666666666668</v>
      </c>
      <c r="X8">
        <f t="shared" si="6"/>
        <v>2.855</v>
      </c>
      <c r="Y8">
        <f t="shared" si="6"/>
        <v>2.5113333333333334</v>
      </c>
      <c r="Z8">
        <f t="shared" si="6"/>
        <v>6.1026666666666669</v>
      </c>
      <c r="AA8">
        <f t="shared" si="6"/>
        <v>4.7093333333333334</v>
      </c>
      <c r="AB8">
        <f t="shared" si="6"/>
        <v>2.7416666666666667</v>
      </c>
      <c r="AC8">
        <f t="shared" si="6"/>
        <v>5.9433333333333325</v>
      </c>
      <c r="AD8">
        <f t="shared" si="6"/>
        <v>1.8763333333333332</v>
      </c>
      <c r="AE8">
        <f t="shared" si="6"/>
        <v>3.9603333333333333</v>
      </c>
      <c r="AF8">
        <f t="shared" si="6"/>
        <v>5.301000000000001</v>
      </c>
      <c r="AG8">
        <f t="shared" si="6"/>
        <v>5.9676666666666671</v>
      </c>
      <c r="AH8">
        <f t="shared" si="6"/>
        <v>2.718666666666667</v>
      </c>
      <c r="AI8">
        <f t="shared" si="6"/>
        <v>4.6520000000000001</v>
      </c>
    </row>
    <row r="9" spans="1:35" x14ac:dyDescent="0.25">
      <c r="A9" t="s">
        <v>39</v>
      </c>
      <c r="B9" t="s">
        <v>29</v>
      </c>
      <c r="C9" t="s">
        <v>38</v>
      </c>
      <c r="D9">
        <v>0.5</v>
      </c>
      <c r="E9">
        <v>3.2040000000000002</v>
      </c>
      <c r="F9">
        <v>0.5</v>
      </c>
      <c r="G9">
        <v>3.2879999999999998</v>
      </c>
      <c r="H9">
        <v>0.5</v>
      </c>
      <c r="I9">
        <v>6.7350000000000003</v>
      </c>
      <c r="J9">
        <v>2.375</v>
      </c>
      <c r="K9">
        <v>5.8339999999999996</v>
      </c>
      <c r="L9">
        <v>0.5</v>
      </c>
      <c r="M9">
        <v>4.1660000000000004</v>
      </c>
      <c r="N9">
        <v>0.5</v>
      </c>
      <c r="O9">
        <v>0.5</v>
      </c>
      <c r="P9">
        <v>0.5</v>
      </c>
      <c r="Q9">
        <v>2.3359999999999999</v>
      </c>
      <c r="T9" t="s">
        <v>52</v>
      </c>
      <c r="U9" t="s">
        <v>61</v>
      </c>
      <c r="V9">
        <f>AVERAGE(D23:D25)</f>
        <v>2.2269999999999999</v>
      </c>
      <c r="W9">
        <f t="shared" ref="W9:AI9" si="7">AVERAGE(E23:E25)</f>
        <v>2.4296666666666664</v>
      </c>
      <c r="X9">
        <f t="shared" si="7"/>
        <v>0.5</v>
      </c>
      <c r="Y9">
        <f t="shared" si="7"/>
        <v>2.5646666666666667</v>
      </c>
      <c r="Z9">
        <f t="shared" si="7"/>
        <v>5.8043333333333331</v>
      </c>
      <c r="AA9">
        <f t="shared" si="7"/>
        <v>6.1640000000000006</v>
      </c>
      <c r="AB9">
        <f t="shared" si="7"/>
        <v>2.5430000000000001</v>
      </c>
      <c r="AC9">
        <f t="shared" si="7"/>
        <v>6.0363333333333342</v>
      </c>
      <c r="AD9">
        <f t="shared" si="7"/>
        <v>0.5</v>
      </c>
      <c r="AE9">
        <f t="shared" si="7"/>
        <v>2.8026666666666666</v>
      </c>
      <c r="AF9">
        <f t="shared" si="7"/>
        <v>4.1133333333333333</v>
      </c>
      <c r="AG9">
        <f t="shared" si="7"/>
        <v>5.637666666666667</v>
      </c>
      <c r="AH9">
        <f t="shared" si="7"/>
        <v>1.8473333333333333</v>
      </c>
      <c r="AI9">
        <f t="shared" si="7"/>
        <v>3.1950000000000003</v>
      </c>
    </row>
    <row r="10" spans="1:35" x14ac:dyDescent="0.25">
      <c r="A10" t="s">
        <v>40</v>
      </c>
      <c r="B10" t="s">
        <v>29</v>
      </c>
      <c r="C10" t="s">
        <v>38</v>
      </c>
      <c r="D10">
        <v>2.0230000000000001</v>
      </c>
      <c r="E10">
        <v>2.7629999999999999</v>
      </c>
      <c r="F10">
        <v>0.5</v>
      </c>
      <c r="G10">
        <v>2.157</v>
      </c>
      <c r="H10">
        <v>5.4050000000000002</v>
      </c>
      <c r="I10">
        <v>5.532</v>
      </c>
      <c r="J10">
        <v>5.274</v>
      </c>
      <c r="K10">
        <v>5.4569999999999999</v>
      </c>
      <c r="L10">
        <v>0.5</v>
      </c>
      <c r="M10">
        <v>4.8</v>
      </c>
      <c r="N10">
        <v>0.5</v>
      </c>
      <c r="O10">
        <v>0.5</v>
      </c>
      <c r="P10">
        <v>0.5</v>
      </c>
      <c r="Q10">
        <v>3.238</v>
      </c>
      <c r="T10" t="s">
        <v>52</v>
      </c>
      <c r="U10" t="s">
        <v>38</v>
      </c>
      <c r="V10">
        <f>AVERAGE(D26:D28)</f>
        <v>5.2746666666666666</v>
      </c>
      <c r="W10">
        <f t="shared" ref="W10:AI10" si="8">AVERAGE(E26:E28)</f>
        <v>6.448666666666667</v>
      </c>
      <c r="X10">
        <f t="shared" si="8"/>
        <v>4.6343333333333332</v>
      </c>
      <c r="Y10">
        <f t="shared" si="8"/>
        <v>4.8306666666666667</v>
      </c>
      <c r="Z10">
        <f t="shared" si="8"/>
        <v>7.1000000000000005</v>
      </c>
      <c r="AA10">
        <f t="shared" si="8"/>
        <v>8.01</v>
      </c>
      <c r="AB10">
        <f t="shared" si="8"/>
        <v>5.956666666666667</v>
      </c>
      <c r="AC10">
        <f t="shared" si="8"/>
        <v>6.4470000000000001</v>
      </c>
      <c r="AD10">
        <f t="shared" si="8"/>
        <v>2.6983333333333337</v>
      </c>
      <c r="AE10">
        <f t="shared" si="8"/>
        <v>5.9740000000000002</v>
      </c>
      <c r="AF10">
        <f t="shared" si="8"/>
        <v>5.8746666666666663</v>
      </c>
      <c r="AG10">
        <f t="shared" si="8"/>
        <v>7.2079999999999993</v>
      </c>
      <c r="AH10">
        <f t="shared" si="8"/>
        <v>3.170666666666667</v>
      </c>
      <c r="AI10">
        <f t="shared" si="8"/>
        <v>4.7396666666666665</v>
      </c>
    </row>
    <row r="11" spans="1:35" x14ac:dyDescent="0.25">
      <c r="A11" t="s">
        <v>41</v>
      </c>
      <c r="B11" t="s">
        <v>42</v>
      </c>
      <c r="C11" t="s">
        <v>30</v>
      </c>
      <c r="D11">
        <v>2.0459999999999998</v>
      </c>
      <c r="E11">
        <v>3.6360000000000001</v>
      </c>
      <c r="F11">
        <v>0.5</v>
      </c>
      <c r="G11">
        <v>1.9830000000000001</v>
      </c>
      <c r="H11">
        <v>5.35</v>
      </c>
      <c r="I11">
        <v>3.536</v>
      </c>
      <c r="J11">
        <v>0.5</v>
      </c>
      <c r="K11">
        <v>6.0229999999999997</v>
      </c>
      <c r="L11">
        <v>0.5</v>
      </c>
      <c r="M11">
        <v>3.411</v>
      </c>
      <c r="N11">
        <v>0.5</v>
      </c>
      <c r="O11">
        <v>6.5890000000000004</v>
      </c>
      <c r="P11">
        <v>2.0409999999999999</v>
      </c>
      <c r="Q11">
        <v>1.9410000000000001</v>
      </c>
    </row>
    <row r="12" spans="1:35" x14ac:dyDescent="0.25">
      <c r="A12" t="s">
        <v>43</v>
      </c>
      <c r="B12" t="s">
        <v>42</v>
      </c>
      <c r="C12" t="s">
        <v>30</v>
      </c>
      <c r="D12">
        <v>2.3290000000000002</v>
      </c>
      <c r="E12">
        <v>3.3889999999999998</v>
      </c>
      <c r="F12">
        <v>0.5</v>
      </c>
      <c r="G12">
        <v>3.8340000000000001</v>
      </c>
      <c r="H12">
        <v>5.7380000000000004</v>
      </c>
      <c r="I12">
        <v>2.024</v>
      </c>
      <c r="J12">
        <v>3.0129999999999999</v>
      </c>
      <c r="K12">
        <v>5.3540000000000001</v>
      </c>
      <c r="L12">
        <v>0.5</v>
      </c>
      <c r="M12">
        <v>3.222</v>
      </c>
      <c r="N12">
        <v>0.5</v>
      </c>
      <c r="O12">
        <v>5.55</v>
      </c>
      <c r="P12">
        <v>1.046</v>
      </c>
      <c r="Q12">
        <v>3.0459999999999998</v>
      </c>
    </row>
    <row r="13" spans="1:35" x14ac:dyDescent="0.25">
      <c r="A13" t="s">
        <v>44</v>
      </c>
      <c r="B13" t="s">
        <v>42</v>
      </c>
      <c r="C13" t="s">
        <v>30</v>
      </c>
      <c r="D13">
        <v>2.2679999999999998</v>
      </c>
      <c r="E13">
        <v>1.3540000000000001</v>
      </c>
      <c r="F13">
        <v>0.5</v>
      </c>
      <c r="G13">
        <v>2.3780000000000001</v>
      </c>
      <c r="H13">
        <v>5.3940000000000001</v>
      </c>
      <c r="I13">
        <v>3.9369999999999998</v>
      </c>
      <c r="J13">
        <v>1.198</v>
      </c>
      <c r="K13">
        <v>5.2430000000000003</v>
      </c>
      <c r="L13">
        <v>0.5</v>
      </c>
      <c r="M13">
        <v>3.3039999999999998</v>
      </c>
      <c r="N13">
        <v>0.5</v>
      </c>
      <c r="O13">
        <v>5.63</v>
      </c>
      <c r="P13">
        <v>1.5940000000000001</v>
      </c>
      <c r="Q13">
        <v>3.6949999999999998</v>
      </c>
    </row>
    <row r="14" spans="1:35" x14ac:dyDescent="0.25">
      <c r="A14" t="s">
        <v>45</v>
      </c>
      <c r="B14" t="s">
        <v>42</v>
      </c>
      <c r="C14" t="s">
        <v>34</v>
      </c>
      <c r="D14">
        <v>0.5</v>
      </c>
      <c r="E14">
        <v>2.06</v>
      </c>
      <c r="F14">
        <v>0.5</v>
      </c>
      <c r="G14">
        <v>2.1280000000000001</v>
      </c>
      <c r="H14">
        <v>5.3010000000000002</v>
      </c>
      <c r="I14">
        <v>3.3820000000000001</v>
      </c>
      <c r="J14">
        <v>0.5</v>
      </c>
      <c r="K14">
        <v>2</v>
      </c>
      <c r="L14">
        <v>0.5</v>
      </c>
      <c r="M14">
        <v>0.5</v>
      </c>
      <c r="N14">
        <v>0.5</v>
      </c>
      <c r="O14">
        <v>0.5</v>
      </c>
      <c r="P14">
        <v>0.5</v>
      </c>
      <c r="Q14">
        <v>0.5</v>
      </c>
    </row>
    <row r="15" spans="1:35" x14ac:dyDescent="0.25">
      <c r="A15" t="s">
        <v>46</v>
      </c>
      <c r="B15" t="s">
        <v>42</v>
      </c>
      <c r="C15" t="s">
        <v>34</v>
      </c>
      <c r="D15">
        <v>0.5</v>
      </c>
      <c r="E15">
        <v>1.8220000000000001</v>
      </c>
      <c r="F15">
        <v>0.5</v>
      </c>
      <c r="G15">
        <v>0.5</v>
      </c>
      <c r="H15">
        <v>0.5</v>
      </c>
      <c r="I15">
        <v>4.2729999999999997</v>
      </c>
      <c r="J15">
        <v>0.5</v>
      </c>
      <c r="K15">
        <v>5.032</v>
      </c>
      <c r="L15">
        <v>0.5</v>
      </c>
      <c r="M15">
        <v>0.5</v>
      </c>
      <c r="N15">
        <v>0.5</v>
      </c>
      <c r="O15">
        <v>0.5</v>
      </c>
      <c r="P15">
        <v>0.5</v>
      </c>
      <c r="Q15">
        <v>0.5</v>
      </c>
    </row>
    <row r="16" spans="1:35" x14ac:dyDescent="0.25">
      <c r="A16" t="s">
        <v>47</v>
      </c>
      <c r="B16" t="s">
        <v>42</v>
      </c>
      <c r="C16" t="s">
        <v>34</v>
      </c>
      <c r="D16">
        <v>0.5</v>
      </c>
      <c r="E16">
        <v>1.4239999999999999</v>
      </c>
      <c r="F16">
        <v>0.5</v>
      </c>
      <c r="G16">
        <v>1.2110000000000001</v>
      </c>
      <c r="H16">
        <v>5.0590000000000002</v>
      </c>
      <c r="I16">
        <v>3.9460000000000002</v>
      </c>
      <c r="J16">
        <v>0.5</v>
      </c>
      <c r="K16">
        <v>5.9249999999999998</v>
      </c>
      <c r="L16">
        <v>0.5</v>
      </c>
      <c r="M16">
        <v>0.5</v>
      </c>
      <c r="N16">
        <v>0.5</v>
      </c>
      <c r="O16">
        <v>0.5</v>
      </c>
      <c r="P16">
        <v>0.5</v>
      </c>
      <c r="Q16">
        <v>0.5</v>
      </c>
    </row>
    <row r="17" spans="1:17" x14ac:dyDescent="0.25">
      <c r="A17" t="s">
        <v>48</v>
      </c>
      <c r="B17" t="s">
        <v>42</v>
      </c>
      <c r="C17" t="s">
        <v>38</v>
      </c>
      <c r="D17">
        <v>1.143</v>
      </c>
      <c r="E17">
        <v>3.6739999999999999</v>
      </c>
      <c r="F17">
        <v>0.5</v>
      </c>
      <c r="G17">
        <v>2.036</v>
      </c>
      <c r="H17">
        <v>5.734</v>
      </c>
      <c r="I17">
        <v>4.9349999999999996</v>
      </c>
      <c r="J17">
        <v>3.5779999999999998</v>
      </c>
      <c r="K17">
        <v>5.3289999999999997</v>
      </c>
      <c r="L17">
        <v>0.5</v>
      </c>
      <c r="M17">
        <v>1.431</v>
      </c>
      <c r="N17">
        <v>5.1840000000000002</v>
      </c>
      <c r="O17">
        <v>6.6840000000000002</v>
      </c>
      <c r="P17">
        <v>2.347</v>
      </c>
      <c r="Q17">
        <v>4.3470000000000004</v>
      </c>
    </row>
    <row r="18" spans="1:17" x14ac:dyDescent="0.25">
      <c r="A18" t="s">
        <v>49</v>
      </c>
      <c r="B18" t="s">
        <v>42</v>
      </c>
      <c r="C18" t="s">
        <v>38</v>
      </c>
      <c r="D18">
        <v>2.2440000000000002</v>
      </c>
      <c r="E18">
        <v>4.87</v>
      </c>
      <c r="F18">
        <v>0.5</v>
      </c>
      <c r="G18">
        <v>2.74</v>
      </c>
      <c r="H18">
        <v>5.8929999999999998</v>
      </c>
      <c r="I18">
        <v>5.3630000000000004</v>
      </c>
      <c r="J18">
        <v>3.2789999999999999</v>
      </c>
      <c r="K18">
        <v>5.2359999999999998</v>
      </c>
      <c r="L18">
        <v>0.5</v>
      </c>
      <c r="M18">
        <v>1.2430000000000001</v>
      </c>
      <c r="N18">
        <v>0.5</v>
      </c>
      <c r="O18">
        <v>5.9909999999999997</v>
      </c>
      <c r="P18">
        <v>3.5</v>
      </c>
      <c r="Q18">
        <v>4.1399999999999997</v>
      </c>
    </row>
    <row r="19" spans="1:17" x14ac:dyDescent="0.25">
      <c r="A19" t="s">
        <v>50</v>
      </c>
      <c r="B19" t="s">
        <v>42</v>
      </c>
      <c r="C19" t="s">
        <v>38</v>
      </c>
      <c r="D19">
        <v>2.2229999999999999</v>
      </c>
      <c r="E19">
        <v>4.7539999999999996</v>
      </c>
      <c r="F19">
        <v>0.5</v>
      </c>
      <c r="G19">
        <v>2.3519999999999999</v>
      </c>
      <c r="H19">
        <v>5.87</v>
      </c>
      <c r="I19">
        <v>5.8470000000000004</v>
      </c>
      <c r="J19">
        <v>3.5</v>
      </c>
      <c r="K19">
        <v>6.2910000000000004</v>
      </c>
      <c r="L19">
        <v>0.5</v>
      </c>
      <c r="M19">
        <v>1.046</v>
      </c>
      <c r="N19">
        <v>5.0220000000000002</v>
      </c>
      <c r="O19">
        <v>5.8220000000000001</v>
      </c>
      <c r="P19">
        <v>1.208</v>
      </c>
      <c r="Q19">
        <v>4.8079999999999998</v>
      </c>
    </row>
    <row r="20" spans="1:17" x14ac:dyDescent="0.25">
      <c r="A20" t="s">
        <v>51</v>
      </c>
      <c r="B20" t="s">
        <v>52</v>
      </c>
      <c r="C20" t="s">
        <v>30</v>
      </c>
      <c r="D20">
        <v>3.1230000000000002</v>
      </c>
      <c r="E20">
        <v>2.5219999999999998</v>
      </c>
      <c r="F20">
        <v>3.1469999999999998</v>
      </c>
      <c r="G20">
        <v>2.8450000000000002</v>
      </c>
      <c r="H20">
        <v>6.3849999999999998</v>
      </c>
      <c r="I20">
        <v>4.3449999999999998</v>
      </c>
      <c r="J20">
        <v>2.0219999999999998</v>
      </c>
      <c r="K20">
        <v>5.9359999999999999</v>
      </c>
      <c r="L20">
        <v>1.732</v>
      </c>
      <c r="M20">
        <v>4.2610000000000001</v>
      </c>
      <c r="N20">
        <v>5.1950000000000003</v>
      </c>
      <c r="O20">
        <v>6.1950000000000003</v>
      </c>
      <c r="P20">
        <v>3.17</v>
      </c>
      <c r="Q20">
        <v>4.17</v>
      </c>
    </row>
    <row r="21" spans="1:17" x14ac:dyDescent="0.25">
      <c r="A21" t="s">
        <v>53</v>
      </c>
      <c r="B21" t="s">
        <v>52</v>
      </c>
      <c r="C21" t="s">
        <v>30</v>
      </c>
      <c r="D21">
        <v>2.9430000000000001</v>
      </c>
      <c r="E21">
        <v>3.448</v>
      </c>
      <c r="F21">
        <v>2.927</v>
      </c>
      <c r="G21">
        <v>1.3640000000000001</v>
      </c>
      <c r="H21">
        <v>5.94</v>
      </c>
      <c r="I21">
        <v>4.2530000000000001</v>
      </c>
      <c r="J21">
        <v>3.5550000000000002</v>
      </c>
      <c r="K21">
        <v>5.532</v>
      </c>
      <c r="L21">
        <v>1.925</v>
      </c>
      <c r="M21">
        <v>3.3159999999999998</v>
      </c>
      <c r="N21">
        <v>5.1260000000000003</v>
      </c>
      <c r="O21">
        <v>6.1260000000000003</v>
      </c>
      <c r="P21">
        <v>2.867</v>
      </c>
      <c r="Q21">
        <v>4.867</v>
      </c>
    </row>
    <row r="22" spans="1:17" x14ac:dyDescent="0.25">
      <c r="A22" t="s">
        <v>54</v>
      </c>
      <c r="B22" t="s">
        <v>52</v>
      </c>
      <c r="C22" t="s">
        <v>30</v>
      </c>
      <c r="D22">
        <v>2.7850000000000001</v>
      </c>
      <c r="E22">
        <v>3.4849999999999999</v>
      </c>
      <c r="F22">
        <v>2.4910000000000001</v>
      </c>
      <c r="G22">
        <v>3.3250000000000002</v>
      </c>
      <c r="H22">
        <v>5.9829999999999997</v>
      </c>
      <c r="I22">
        <v>5.53</v>
      </c>
      <c r="J22">
        <v>2.6480000000000001</v>
      </c>
      <c r="K22">
        <v>6.3620000000000001</v>
      </c>
      <c r="L22">
        <v>1.972</v>
      </c>
      <c r="M22">
        <v>4.3040000000000003</v>
      </c>
      <c r="N22">
        <v>5.5819999999999999</v>
      </c>
      <c r="O22">
        <v>5.5819999999999999</v>
      </c>
      <c r="P22">
        <v>2.1190000000000002</v>
      </c>
      <c r="Q22">
        <v>4.9189999999999996</v>
      </c>
    </row>
    <row r="23" spans="1:17" x14ac:dyDescent="0.25">
      <c r="A23" t="s">
        <v>55</v>
      </c>
      <c r="B23" t="s">
        <v>52</v>
      </c>
      <c r="C23" t="s">
        <v>34</v>
      </c>
      <c r="D23">
        <v>1.153</v>
      </c>
      <c r="E23">
        <v>1.7450000000000001</v>
      </c>
      <c r="F23">
        <v>0.5</v>
      </c>
      <c r="G23">
        <v>2.2410000000000001</v>
      </c>
      <c r="H23">
        <v>5.3949999999999996</v>
      </c>
      <c r="I23">
        <v>5.8259999999999996</v>
      </c>
      <c r="J23">
        <v>2.512</v>
      </c>
      <c r="K23">
        <v>5.452</v>
      </c>
      <c r="L23">
        <v>0.5</v>
      </c>
      <c r="M23">
        <v>3.198</v>
      </c>
      <c r="N23">
        <v>5.1689999999999996</v>
      </c>
      <c r="O23">
        <v>5.569</v>
      </c>
      <c r="P23">
        <v>0.5</v>
      </c>
      <c r="Q23">
        <v>3.4609999999999999</v>
      </c>
    </row>
    <row r="24" spans="1:17" x14ac:dyDescent="0.25">
      <c r="A24" t="s">
        <v>56</v>
      </c>
      <c r="B24" t="s">
        <v>52</v>
      </c>
      <c r="C24" t="s">
        <v>34</v>
      </c>
      <c r="D24">
        <v>2.9830000000000001</v>
      </c>
      <c r="E24">
        <v>3.2130000000000001</v>
      </c>
      <c r="F24">
        <v>0.5</v>
      </c>
      <c r="G24">
        <v>2.0990000000000002</v>
      </c>
      <c r="H24">
        <v>6.4749999999999996</v>
      </c>
      <c r="I24">
        <v>6.532</v>
      </c>
      <c r="J24">
        <v>2.92</v>
      </c>
      <c r="K24">
        <v>5.8360000000000003</v>
      </c>
      <c r="L24">
        <v>0.5</v>
      </c>
      <c r="M24">
        <v>3.0920000000000001</v>
      </c>
      <c r="N24">
        <v>2</v>
      </c>
      <c r="O24">
        <v>5.673</v>
      </c>
      <c r="P24">
        <v>2.032</v>
      </c>
      <c r="Q24">
        <v>3.032</v>
      </c>
    </row>
    <row r="25" spans="1:17" x14ac:dyDescent="0.25">
      <c r="A25" t="s">
        <v>57</v>
      </c>
      <c r="B25" t="s">
        <v>52</v>
      </c>
      <c r="C25" t="s">
        <v>34</v>
      </c>
      <c r="D25">
        <v>2.5449999999999999</v>
      </c>
      <c r="E25">
        <v>2.331</v>
      </c>
      <c r="F25">
        <v>0.5</v>
      </c>
      <c r="G25">
        <v>3.3540000000000001</v>
      </c>
      <c r="H25">
        <v>5.5430000000000001</v>
      </c>
      <c r="I25">
        <v>6.1340000000000003</v>
      </c>
      <c r="J25">
        <v>2.1970000000000001</v>
      </c>
      <c r="K25">
        <v>6.8209999999999997</v>
      </c>
      <c r="L25">
        <v>0.5</v>
      </c>
      <c r="M25">
        <v>2.1179999999999999</v>
      </c>
      <c r="N25">
        <v>5.1710000000000003</v>
      </c>
      <c r="O25">
        <v>5.6710000000000003</v>
      </c>
      <c r="P25">
        <v>3.01</v>
      </c>
      <c r="Q25">
        <v>3.0920000000000001</v>
      </c>
    </row>
    <row r="26" spans="1:17" x14ac:dyDescent="0.25">
      <c r="A26" t="s">
        <v>58</v>
      </c>
      <c r="B26" t="s">
        <v>52</v>
      </c>
      <c r="C26" t="s">
        <v>38</v>
      </c>
      <c r="D26">
        <v>5.234</v>
      </c>
      <c r="E26">
        <v>6.5970000000000004</v>
      </c>
      <c r="F26">
        <v>3.7309999999999999</v>
      </c>
      <c r="G26">
        <v>6.2359999999999998</v>
      </c>
      <c r="H26">
        <v>6.468</v>
      </c>
      <c r="I26">
        <v>7.9370000000000003</v>
      </c>
      <c r="J26">
        <v>4.8440000000000003</v>
      </c>
      <c r="K26">
        <v>5.9370000000000003</v>
      </c>
      <c r="L26">
        <v>2.1720000000000002</v>
      </c>
      <c r="M26">
        <v>5.88</v>
      </c>
      <c r="N26">
        <v>5.8369999999999997</v>
      </c>
      <c r="O26">
        <v>7.8369999999999997</v>
      </c>
      <c r="P26">
        <v>3.6890000000000001</v>
      </c>
      <c r="Q26">
        <v>5.452</v>
      </c>
    </row>
    <row r="27" spans="1:17" x14ac:dyDescent="0.25">
      <c r="A27" t="s">
        <v>59</v>
      </c>
      <c r="B27" t="s">
        <v>52</v>
      </c>
      <c r="C27" t="s">
        <v>38</v>
      </c>
      <c r="D27">
        <v>4.6539999999999999</v>
      </c>
      <c r="E27">
        <v>5.6639999999999997</v>
      </c>
      <c r="F27">
        <v>6.9160000000000004</v>
      </c>
      <c r="G27">
        <v>3.32</v>
      </c>
      <c r="H27">
        <v>7.4429999999999996</v>
      </c>
      <c r="I27">
        <v>8.8360000000000003</v>
      </c>
      <c r="J27">
        <v>6.6870000000000003</v>
      </c>
      <c r="K27">
        <v>7.0919999999999996</v>
      </c>
      <c r="L27">
        <v>2.9860000000000002</v>
      </c>
      <c r="M27">
        <v>5.931</v>
      </c>
      <c r="N27">
        <v>6.0670000000000002</v>
      </c>
      <c r="O27">
        <v>7.0670000000000002</v>
      </c>
      <c r="P27">
        <v>2.5289999999999999</v>
      </c>
      <c r="Q27">
        <v>4.3529999999999998</v>
      </c>
    </row>
    <row r="28" spans="1:17" x14ac:dyDescent="0.25">
      <c r="A28" t="s">
        <v>60</v>
      </c>
      <c r="B28" t="s">
        <v>52</v>
      </c>
      <c r="C28" t="s">
        <v>38</v>
      </c>
      <c r="D28">
        <v>5.9359999999999999</v>
      </c>
      <c r="E28">
        <v>7.085</v>
      </c>
      <c r="F28">
        <v>3.2559999999999998</v>
      </c>
      <c r="G28">
        <v>4.9359999999999999</v>
      </c>
      <c r="H28">
        <v>7.3890000000000002</v>
      </c>
      <c r="I28">
        <v>7.2569999999999997</v>
      </c>
      <c r="J28">
        <v>6.3390000000000004</v>
      </c>
      <c r="K28">
        <v>6.3120000000000003</v>
      </c>
      <c r="L28">
        <v>2.9369999999999998</v>
      </c>
      <c r="M28">
        <v>6.1109999999999998</v>
      </c>
      <c r="N28">
        <v>5.72</v>
      </c>
      <c r="O28">
        <v>6.72</v>
      </c>
      <c r="P28">
        <v>3.294</v>
      </c>
      <c r="Q28">
        <v>4.4139999999999997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76860-BB4E-4C9D-830E-B23AC677C6A3}">
  <dimension ref="A1:AJ34"/>
  <sheetViews>
    <sheetView topLeftCell="M1" workbookViewId="0">
      <selection activeCell="Z22" sqref="Z22"/>
    </sheetView>
  </sheetViews>
  <sheetFormatPr defaultRowHeight="15" x14ac:dyDescent="0.25"/>
  <cols>
    <col min="1" max="1" width="9.85546875" bestFit="1" customWidth="1"/>
    <col min="2" max="2" width="13.140625" bestFit="1" customWidth="1"/>
    <col min="3" max="3" width="26.140625" bestFit="1" customWidth="1"/>
    <col min="4" max="5" width="8.5703125" bestFit="1" customWidth="1"/>
    <col min="6" max="7" width="8.85546875" bestFit="1" customWidth="1"/>
    <col min="8" max="9" width="8.5703125" bestFit="1" customWidth="1"/>
    <col min="10" max="11" width="7" bestFit="1" customWidth="1"/>
    <col min="12" max="12" width="15.42578125" bestFit="1" customWidth="1"/>
    <col min="13" max="13" width="7" bestFit="1" customWidth="1"/>
    <col min="14" max="14" width="12" bestFit="1" customWidth="1"/>
    <col min="15" max="15" width="8.140625" bestFit="1" customWidth="1"/>
    <col min="16" max="16" width="10.7109375" bestFit="1" customWidth="1"/>
    <col min="17" max="17" width="18.7109375" bestFit="1" customWidth="1"/>
    <col min="21" max="21" width="13.140625" bestFit="1" customWidth="1"/>
    <col min="22" max="22" width="26.140625" bestFit="1" customWidth="1"/>
    <col min="23" max="24" width="8.5703125" bestFit="1" customWidth="1"/>
    <col min="25" max="26" width="8.85546875" bestFit="1" customWidth="1"/>
    <col min="27" max="28" width="8.5703125" bestFit="1" customWidth="1"/>
    <col min="29" max="29" width="6.7109375" bestFit="1" customWidth="1"/>
    <col min="30" max="30" width="6.5703125" bestFit="1" customWidth="1"/>
    <col min="31" max="31" width="15.42578125" bestFit="1" customWidth="1"/>
    <col min="32" max="32" width="6.5703125" bestFit="1" customWidth="1"/>
    <col min="33" max="33" width="6.42578125" bestFit="1" customWidth="1"/>
    <col min="34" max="34" width="8.140625" bestFit="1" customWidth="1"/>
    <col min="35" max="35" width="10.7109375" bestFit="1" customWidth="1"/>
    <col min="36" max="36" width="18.7109375" bestFit="1" customWidth="1"/>
  </cols>
  <sheetData>
    <row r="1" spans="1:36" x14ac:dyDescent="0.25">
      <c r="A1" t="s">
        <v>11</v>
      </c>
      <c r="B1" t="s">
        <v>12</v>
      </c>
      <c r="C1" t="s">
        <v>62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U1" t="s">
        <v>12</v>
      </c>
      <c r="V1" t="s">
        <v>62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</row>
    <row r="2" spans="1:36" x14ac:dyDescent="0.25">
      <c r="A2" t="s">
        <v>63</v>
      </c>
      <c r="B2" t="s">
        <v>29</v>
      </c>
      <c r="C2" t="s">
        <v>64</v>
      </c>
      <c r="D2">
        <v>2.1360000000000001</v>
      </c>
      <c r="E2">
        <v>2.6560000000000001</v>
      </c>
      <c r="F2">
        <v>1.643</v>
      </c>
      <c r="G2">
        <v>1.796</v>
      </c>
      <c r="H2">
        <v>5.1340000000000003</v>
      </c>
      <c r="I2">
        <v>8.0589999999999993</v>
      </c>
      <c r="J2">
        <v>2.7080000000000002</v>
      </c>
      <c r="K2">
        <v>5.3289999999999997</v>
      </c>
      <c r="L2">
        <v>0.5</v>
      </c>
      <c r="M2">
        <v>0.5</v>
      </c>
      <c r="N2">
        <v>0.5</v>
      </c>
      <c r="O2">
        <v>1.4530000000000001</v>
      </c>
      <c r="P2">
        <v>0.5</v>
      </c>
      <c r="Q2">
        <v>1.639</v>
      </c>
      <c r="U2" t="s">
        <v>29</v>
      </c>
      <c r="V2" t="s">
        <v>64</v>
      </c>
      <c r="W2">
        <f>AVERAGE(D2:D4)</f>
        <v>1.83</v>
      </c>
      <c r="X2">
        <f t="shared" ref="X2:AJ2" si="0">AVERAGE(E2:E4)</f>
        <v>2.4656666666666669</v>
      </c>
      <c r="Y2">
        <f t="shared" si="0"/>
        <v>1.9063333333333334</v>
      </c>
      <c r="Z2">
        <f t="shared" si="0"/>
        <v>3.0326666666666671</v>
      </c>
      <c r="AA2">
        <f t="shared" si="0"/>
        <v>4.4896666666666674</v>
      </c>
      <c r="AB2">
        <f t="shared" si="0"/>
        <v>7.6759999999999993</v>
      </c>
      <c r="AC2">
        <f t="shared" si="0"/>
        <v>2.7520000000000002</v>
      </c>
      <c r="AD2">
        <f t="shared" si="0"/>
        <v>4.1206666666666658</v>
      </c>
      <c r="AE2">
        <f t="shared" si="0"/>
        <v>0.5</v>
      </c>
      <c r="AF2">
        <f t="shared" si="0"/>
        <v>0.5</v>
      </c>
      <c r="AG2">
        <f t="shared" si="0"/>
        <v>0.5</v>
      </c>
      <c r="AH2">
        <f t="shared" si="0"/>
        <v>1.43</v>
      </c>
      <c r="AI2">
        <f t="shared" si="0"/>
        <v>0.5</v>
      </c>
      <c r="AJ2">
        <f t="shared" si="0"/>
        <v>1.9633333333333336</v>
      </c>
    </row>
    <row r="3" spans="1:36" x14ac:dyDescent="0.25">
      <c r="A3" t="s">
        <v>65</v>
      </c>
      <c r="B3" t="s">
        <v>29</v>
      </c>
      <c r="C3" t="s">
        <v>64</v>
      </c>
      <c r="D3">
        <v>1.083</v>
      </c>
      <c r="E3">
        <v>1.8540000000000001</v>
      </c>
      <c r="F3">
        <v>1.863</v>
      </c>
      <c r="G3">
        <v>3.4889999999999999</v>
      </c>
      <c r="H3">
        <v>3.7120000000000002</v>
      </c>
      <c r="I3">
        <v>6.4260000000000002</v>
      </c>
      <c r="J3">
        <v>2.7389999999999999</v>
      </c>
      <c r="K3">
        <v>3.4670000000000001</v>
      </c>
      <c r="L3">
        <v>0.5</v>
      </c>
      <c r="M3">
        <v>0.5</v>
      </c>
      <c r="N3">
        <v>0.5</v>
      </c>
      <c r="O3">
        <v>1.542</v>
      </c>
      <c r="P3">
        <v>0.5</v>
      </c>
      <c r="Q3">
        <v>2.2160000000000002</v>
      </c>
      <c r="U3" t="s">
        <v>29</v>
      </c>
      <c r="V3" t="s">
        <v>68</v>
      </c>
      <c r="W3">
        <f>AVERAGE(D5:D7)</f>
        <v>0.5</v>
      </c>
      <c r="X3">
        <f t="shared" ref="X3:AJ3" si="1">AVERAGE(E5:E7)</f>
        <v>0.5</v>
      </c>
      <c r="Y3">
        <f t="shared" si="1"/>
        <v>0.5</v>
      </c>
      <c r="Z3">
        <f t="shared" si="1"/>
        <v>0.5</v>
      </c>
      <c r="AA3">
        <f t="shared" si="1"/>
        <v>2.8270000000000004</v>
      </c>
      <c r="AB3">
        <f t="shared" si="1"/>
        <v>5.8826666666666663</v>
      </c>
      <c r="AC3">
        <f t="shared" si="1"/>
        <v>1.421</v>
      </c>
      <c r="AD3">
        <f t="shared" si="1"/>
        <v>2.4376666666666669</v>
      </c>
      <c r="AE3">
        <f t="shared" si="1"/>
        <v>0.5</v>
      </c>
      <c r="AF3">
        <f t="shared" si="1"/>
        <v>0.5</v>
      </c>
      <c r="AG3">
        <f t="shared" si="1"/>
        <v>0.5</v>
      </c>
      <c r="AH3">
        <f t="shared" si="1"/>
        <v>0.5</v>
      </c>
      <c r="AI3">
        <f t="shared" si="1"/>
        <v>0.5</v>
      </c>
      <c r="AJ3">
        <f t="shared" si="1"/>
        <v>0.5</v>
      </c>
    </row>
    <row r="4" spans="1:36" x14ac:dyDescent="0.25">
      <c r="A4" t="s">
        <v>66</v>
      </c>
      <c r="B4" t="s">
        <v>29</v>
      </c>
      <c r="C4" t="s">
        <v>64</v>
      </c>
      <c r="D4">
        <v>2.2709999999999999</v>
      </c>
      <c r="E4">
        <v>2.887</v>
      </c>
      <c r="F4">
        <v>2.2130000000000001</v>
      </c>
      <c r="G4">
        <v>3.8130000000000002</v>
      </c>
      <c r="H4">
        <v>4.6230000000000002</v>
      </c>
      <c r="I4">
        <v>8.5429999999999993</v>
      </c>
      <c r="J4">
        <v>2.8090000000000002</v>
      </c>
      <c r="K4">
        <v>3.5659999999999998</v>
      </c>
      <c r="L4">
        <v>0.5</v>
      </c>
      <c r="M4">
        <v>0.5</v>
      </c>
      <c r="N4">
        <v>0.5</v>
      </c>
      <c r="O4">
        <v>1.2949999999999999</v>
      </c>
      <c r="P4">
        <v>0.5</v>
      </c>
      <c r="Q4">
        <v>2.0350000000000001</v>
      </c>
      <c r="U4" t="s">
        <v>29</v>
      </c>
      <c r="V4" t="s">
        <v>72</v>
      </c>
      <c r="W4">
        <f>AVERAGE(D8:D10)</f>
        <v>5.7290000000000001</v>
      </c>
      <c r="X4">
        <f t="shared" ref="X4:AJ4" si="2">AVERAGE(E8:E10)</f>
        <v>6.8069999999999995</v>
      </c>
      <c r="Y4">
        <f t="shared" si="2"/>
        <v>3.4243333333333332</v>
      </c>
      <c r="Z4">
        <f t="shared" si="2"/>
        <v>4.2326666666666668</v>
      </c>
      <c r="AA4">
        <f t="shared" si="2"/>
        <v>7.4006666666666661</v>
      </c>
      <c r="AB4">
        <f t="shared" si="2"/>
        <v>13.231999999999999</v>
      </c>
      <c r="AC4">
        <f t="shared" si="2"/>
        <v>6.0990000000000002</v>
      </c>
      <c r="AD4">
        <f t="shared" si="2"/>
        <v>12.004333333333335</v>
      </c>
      <c r="AE4">
        <f t="shared" si="2"/>
        <v>2.7869999999999995</v>
      </c>
      <c r="AF4">
        <f t="shared" si="2"/>
        <v>3.784333333333334</v>
      </c>
      <c r="AG4">
        <f t="shared" si="2"/>
        <v>3.8403333333333336</v>
      </c>
      <c r="AH4">
        <f t="shared" si="2"/>
        <v>6.8616666666666672</v>
      </c>
      <c r="AI4">
        <f t="shared" si="2"/>
        <v>5.355666666666667</v>
      </c>
      <c r="AJ4">
        <f t="shared" si="2"/>
        <v>7.2276666666666669</v>
      </c>
    </row>
    <row r="5" spans="1:36" x14ac:dyDescent="0.25">
      <c r="A5" t="s">
        <v>67</v>
      </c>
      <c r="B5" t="s">
        <v>29</v>
      </c>
      <c r="C5" t="s">
        <v>68</v>
      </c>
      <c r="D5">
        <v>0.5</v>
      </c>
      <c r="E5">
        <v>0.5</v>
      </c>
      <c r="F5">
        <v>0.5</v>
      </c>
      <c r="G5">
        <v>0.5</v>
      </c>
      <c r="H5">
        <v>2.8220000000000001</v>
      </c>
      <c r="I5">
        <v>5.9089999999999998</v>
      </c>
      <c r="J5">
        <v>1.4159999999999999</v>
      </c>
      <c r="K5">
        <v>2.9359999999999999</v>
      </c>
      <c r="L5">
        <v>0.5</v>
      </c>
      <c r="M5">
        <v>0.5</v>
      </c>
      <c r="N5">
        <v>0.5</v>
      </c>
      <c r="O5">
        <v>0.5</v>
      </c>
      <c r="P5">
        <v>0.5</v>
      </c>
      <c r="Q5">
        <v>0.5</v>
      </c>
      <c r="U5" t="s">
        <v>42</v>
      </c>
      <c r="V5" t="s">
        <v>76</v>
      </c>
      <c r="W5">
        <f>AVERAGE(D11:D13)</f>
        <v>3.1116666666666664</v>
      </c>
      <c r="X5">
        <f t="shared" ref="X5:AJ5" si="3">AVERAGE(E11:E13)</f>
        <v>3.66</v>
      </c>
      <c r="Y5">
        <f t="shared" si="3"/>
        <v>0.5</v>
      </c>
      <c r="Z5">
        <f t="shared" si="3"/>
        <v>4.3803333333333336</v>
      </c>
      <c r="AA5">
        <f t="shared" si="3"/>
        <v>5.2546666666666662</v>
      </c>
      <c r="AB5">
        <f t="shared" si="3"/>
        <v>9.2416666666666671</v>
      </c>
      <c r="AC5">
        <f t="shared" si="3"/>
        <v>2.5743333333333331</v>
      </c>
      <c r="AD5">
        <f t="shared" si="3"/>
        <v>5.001666666666666</v>
      </c>
      <c r="AE5">
        <f t="shared" si="3"/>
        <v>0.5</v>
      </c>
      <c r="AF5">
        <f t="shared" si="3"/>
        <v>0.5</v>
      </c>
      <c r="AG5">
        <f t="shared" si="3"/>
        <v>1.3769733570159859</v>
      </c>
      <c r="AH5">
        <f t="shared" si="3"/>
        <v>3.2746666666666666</v>
      </c>
      <c r="AI5">
        <f t="shared" si="3"/>
        <v>0.5</v>
      </c>
      <c r="AJ5">
        <f t="shared" si="3"/>
        <v>0.5</v>
      </c>
    </row>
    <row r="6" spans="1:36" x14ac:dyDescent="0.25">
      <c r="A6" t="s">
        <v>69</v>
      </c>
      <c r="B6" t="s">
        <v>29</v>
      </c>
      <c r="C6" t="s">
        <v>68</v>
      </c>
      <c r="D6">
        <v>0.5</v>
      </c>
      <c r="E6">
        <v>0.5</v>
      </c>
      <c r="F6">
        <v>0.5</v>
      </c>
      <c r="G6">
        <v>0.5</v>
      </c>
      <c r="H6">
        <v>2.9590000000000001</v>
      </c>
      <c r="I6">
        <v>5.601</v>
      </c>
      <c r="J6">
        <v>1.4710000000000001</v>
      </c>
      <c r="K6">
        <v>1.9930000000000001</v>
      </c>
      <c r="L6">
        <v>0.5</v>
      </c>
      <c r="M6">
        <v>0.5</v>
      </c>
      <c r="N6">
        <v>0.5</v>
      </c>
      <c r="O6">
        <v>0.5</v>
      </c>
      <c r="P6">
        <v>0.5</v>
      </c>
      <c r="Q6">
        <v>0.5</v>
      </c>
      <c r="U6" t="s">
        <v>42</v>
      </c>
      <c r="V6" t="s">
        <v>80</v>
      </c>
      <c r="W6">
        <f>AVERAGE(D14:D16)</f>
        <v>3.2749999999999999</v>
      </c>
      <c r="X6">
        <f t="shared" ref="X6:AJ6" si="4">AVERAGE(E14:E16)</f>
        <v>3.0049999999999994</v>
      </c>
      <c r="Y6">
        <f t="shared" si="4"/>
        <v>2.234</v>
      </c>
      <c r="Z6">
        <f t="shared" si="4"/>
        <v>3.0563333333333333</v>
      </c>
      <c r="AA6">
        <f t="shared" si="4"/>
        <v>5.9289999999999994</v>
      </c>
      <c r="AB6">
        <f t="shared" si="4"/>
        <v>13.360333333333335</v>
      </c>
      <c r="AC6">
        <f t="shared" si="4"/>
        <v>3.294</v>
      </c>
      <c r="AD6">
        <f t="shared" si="4"/>
        <v>6.5209999999999999</v>
      </c>
      <c r="AE6">
        <f t="shared" si="4"/>
        <v>0.5</v>
      </c>
      <c r="AF6">
        <f t="shared" si="4"/>
        <v>2.6125666666666665</v>
      </c>
      <c r="AG6">
        <f t="shared" si="4"/>
        <v>0.5</v>
      </c>
      <c r="AH6">
        <f t="shared" si="4"/>
        <v>1.9316666666666666</v>
      </c>
      <c r="AI6">
        <f t="shared" si="4"/>
        <v>1.2693333333333334</v>
      </c>
      <c r="AJ6">
        <f t="shared" si="4"/>
        <v>3.4523333333333337</v>
      </c>
    </row>
    <row r="7" spans="1:36" x14ac:dyDescent="0.25">
      <c r="A7" t="s">
        <v>70</v>
      </c>
      <c r="B7" t="s">
        <v>29</v>
      </c>
      <c r="C7" t="s">
        <v>68</v>
      </c>
      <c r="D7">
        <v>0.5</v>
      </c>
      <c r="E7">
        <v>0.5</v>
      </c>
      <c r="F7">
        <v>0.5</v>
      </c>
      <c r="G7">
        <v>0.5</v>
      </c>
      <c r="H7">
        <v>2.7</v>
      </c>
      <c r="I7">
        <v>6.1379999999999999</v>
      </c>
      <c r="J7">
        <v>1.3759999999999999</v>
      </c>
      <c r="K7">
        <v>2.3839999999999999</v>
      </c>
      <c r="L7">
        <v>0.5</v>
      </c>
      <c r="M7">
        <v>0.5</v>
      </c>
      <c r="N7">
        <v>0.5</v>
      </c>
      <c r="O7">
        <v>0.5</v>
      </c>
      <c r="P7">
        <v>0.5</v>
      </c>
      <c r="Q7">
        <v>0.5</v>
      </c>
      <c r="U7" t="s">
        <v>42</v>
      </c>
      <c r="V7" t="s">
        <v>84</v>
      </c>
      <c r="W7">
        <f>AVERAGE(D17:D19)</f>
        <v>3.5516666666666663</v>
      </c>
      <c r="X7">
        <f t="shared" ref="X7:AJ7" si="5">AVERAGE(E17:E19)</f>
        <v>4.2263333333333337</v>
      </c>
      <c r="Y7">
        <f t="shared" si="5"/>
        <v>3.4160000000000004</v>
      </c>
      <c r="Z7">
        <f t="shared" si="5"/>
        <v>3.8096666666666663</v>
      </c>
      <c r="AA7">
        <f t="shared" si="5"/>
        <v>6.133</v>
      </c>
      <c r="AB7">
        <f t="shared" si="5"/>
        <v>14.393333333333333</v>
      </c>
      <c r="AC7">
        <f t="shared" si="5"/>
        <v>4.386333333333333</v>
      </c>
      <c r="AD7">
        <f t="shared" si="5"/>
        <v>7.6533333333333333</v>
      </c>
      <c r="AE7">
        <f t="shared" si="5"/>
        <v>1.611</v>
      </c>
      <c r="AF7">
        <f t="shared" si="5"/>
        <v>2.94</v>
      </c>
      <c r="AG7">
        <f t="shared" si="5"/>
        <v>1.6553333333333333</v>
      </c>
      <c r="AH7">
        <f t="shared" si="5"/>
        <v>3.2873333333333332</v>
      </c>
      <c r="AI7">
        <f t="shared" si="5"/>
        <v>1.84</v>
      </c>
      <c r="AJ7">
        <f t="shared" si="5"/>
        <v>3.1616666666666666</v>
      </c>
    </row>
    <row r="8" spans="1:36" x14ac:dyDescent="0.25">
      <c r="A8" t="s">
        <v>71</v>
      </c>
      <c r="B8" t="s">
        <v>29</v>
      </c>
      <c r="C8" t="s">
        <v>72</v>
      </c>
      <c r="D8">
        <v>5.2530000000000001</v>
      </c>
      <c r="E8">
        <v>4.9909999999999997</v>
      </c>
      <c r="F8">
        <v>3.133</v>
      </c>
      <c r="G8">
        <v>3.9670000000000001</v>
      </c>
      <c r="H8">
        <v>7.431</v>
      </c>
      <c r="I8">
        <v>12.635999999999999</v>
      </c>
      <c r="J8">
        <v>6.47</v>
      </c>
      <c r="K8">
        <v>12.711</v>
      </c>
      <c r="L8">
        <v>2.528</v>
      </c>
      <c r="M8">
        <v>3.6960000000000002</v>
      </c>
      <c r="N8">
        <v>3.5739999999999998</v>
      </c>
      <c r="O8">
        <v>5.3739999999999997</v>
      </c>
      <c r="P8">
        <v>5.3869999999999996</v>
      </c>
      <c r="Q8">
        <v>7.3390000000000004</v>
      </c>
      <c r="U8" t="s">
        <v>52</v>
      </c>
      <c r="V8" t="s">
        <v>88</v>
      </c>
      <c r="W8">
        <f>AVERAGE(D20:D22)</f>
        <v>4.1109999999999998</v>
      </c>
      <c r="X8">
        <f t="shared" ref="X8:AJ8" si="6">AVERAGE(E20:E22)</f>
        <v>4.1580000000000004</v>
      </c>
      <c r="Y8">
        <f t="shared" si="6"/>
        <v>4.8386666666666658</v>
      </c>
      <c r="Z8">
        <f t="shared" si="6"/>
        <v>4.0270000000000001</v>
      </c>
      <c r="AA8">
        <f t="shared" si="6"/>
        <v>6.0986666666666665</v>
      </c>
      <c r="AB8">
        <f t="shared" si="6"/>
        <v>14.029666666666666</v>
      </c>
      <c r="AC8">
        <f t="shared" si="6"/>
        <v>5.5881666666666669</v>
      </c>
      <c r="AD8">
        <f t="shared" si="6"/>
        <v>11.009</v>
      </c>
      <c r="AE8">
        <f t="shared" si="6"/>
        <v>2.2913333333333337</v>
      </c>
      <c r="AF8">
        <f t="shared" si="6"/>
        <v>3.4736666666666665</v>
      </c>
      <c r="AG8">
        <f t="shared" si="6"/>
        <v>1.5573333333333335</v>
      </c>
      <c r="AH8">
        <f t="shared" si="6"/>
        <v>2.6923333333333335</v>
      </c>
      <c r="AI8">
        <f t="shared" si="6"/>
        <v>0.5</v>
      </c>
      <c r="AJ8">
        <f t="shared" si="6"/>
        <v>2.8649999999999998</v>
      </c>
    </row>
    <row r="9" spans="1:36" x14ac:dyDescent="0.25">
      <c r="A9" t="s">
        <v>73</v>
      </c>
      <c r="B9" t="s">
        <v>29</v>
      </c>
      <c r="C9" t="s">
        <v>72</v>
      </c>
      <c r="D9">
        <v>5.8360000000000003</v>
      </c>
      <c r="E9">
        <v>7.9909999999999997</v>
      </c>
      <c r="F9">
        <v>4.0670000000000002</v>
      </c>
      <c r="G9">
        <v>5.2720000000000002</v>
      </c>
      <c r="H9">
        <v>7.3449999999999998</v>
      </c>
      <c r="I9">
        <v>13.504</v>
      </c>
      <c r="J9">
        <v>6.1619999999999999</v>
      </c>
      <c r="K9">
        <v>12.132999999999999</v>
      </c>
      <c r="L9">
        <v>3.2869999999999999</v>
      </c>
      <c r="M9">
        <v>3.8250000000000002</v>
      </c>
      <c r="N9">
        <v>3.6309999999999998</v>
      </c>
      <c r="O9">
        <v>7.4630000000000001</v>
      </c>
      <c r="P9">
        <v>5.3819999999999997</v>
      </c>
      <c r="Q9">
        <v>7.141</v>
      </c>
      <c r="U9" t="s">
        <v>52</v>
      </c>
      <c r="V9" t="s">
        <v>92</v>
      </c>
      <c r="W9">
        <f>AVERAGE(D23:D25)</f>
        <v>4.7663333333333329</v>
      </c>
      <c r="X9">
        <f t="shared" ref="X9:AJ9" si="7">AVERAGE(E23:E25)</f>
        <v>4.9413333333333327</v>
      </c>
      <c r="Y9">
        <f t="shared" si="7"/>
        <v>4.8496666666666668</v>
      </c>
      <c r="Z9">
        <f t="shared" si="7"/>
        <v>4.112333333333333</v>
      </c>
      <c r="AA9">
        <f t="shared" si="7"/>
        <v>6.5249999999999995</v>
      </c>
      <c r="AB9">
        <f t="shared" si="7"/>
        <v>14.811333333333332</v>
      </c>
      <c r="AC9">
        <f t="shared" si="7"/>
        <v>4.8053333333333335</v>
      </c>
      <c r="AD9">
        <f t="shared" si="7"/>
        <v>9.4696666666666669</v>
      </c>
      <c r="AE9">
        <f t="shared" si="7"/>
        <v>1.9803333333333333</v>
      </c>
      <c r="AF9">
        <f t="shared" si="7"/>
        <v>4.8163333333333327</v>
      </c>
      <c r="AG9">
        <f t="shared" si="7"/>
        <v>1.8836666666666666</v>
      </c>
      <c r="AH9">
        <f t="shared" si="7"/>
        <v>3.9233333333333333</v>
      </c>
      <c r="AI9">
        <f t="shared" si="7"/>
        <v>3.3506666666666667</v>
      </c>
      <c r="AJ9">
        <f t="shared" si="7"/>
        <v>5.3006666666666673</v>
      </c>
    </row>
    <row r="10" spans="1:36" x14ac:dyDescent="0.25">
      <c r="A10" t="s">
        <v>74</v>
      </c>
      <c r="B10" t="s">
        <v>29</v>
      </c>
      <c r="C10" t="s">
        <v>72</v>
      </c>
      <c r="D10">
        <v>6.0979999999999999</v>
      </c>
      <c r="E10">
        <v>7.4390000000000001</v>
      </c>
      <c r="F10">
        <v>3.073</v>
      </c>
      <c r="G10">
        <v>3.4590000000000001</v>
      </c>
      <c r="H10">
        <v>7.4260000000000002</v>
      </c>
      <c r="I10">
        <v>13.555999999999999</v>
      </c>
      <c r="J10">
        <v>5.665</v>
      </c>
      <c r="K10">
        <v>11.169</v>
      </c>
      <c r="L10">
        <v>2.5459999999999998</v>
      </c>
      <c r="M10">
        <v>3.8319999999999999</v>
      </c>
      <c r="N10">
        <v>4.3159999999999998</v>
      </c>
      <c r="O10">
        <v>7.7480000000000002</v>
      </c>
      <c r="P10">
        <v>5.298</v>
      </c>
      <c r="Q10">
        <v>7.2030000000000003</v>
      </c>
      <c r="U10" t="s">
        <v>52</v>
      </c>
      <c r="V10" t="s">
        <v>96</v>
      </c>
      <c r="W10">
        <f>AVERAGE(D26:D28)</f>
        <v>5.4953333333333338</v>
      </c>
      <c r="X10">
        <f t="shared" ref="X10:AJ10" si="8">AVERAGE(E26:E28)</f>
        <v>5.8893333333333331</v>
      </c>
      <c r="Y10">
        <f t="shared" si="8"/>
        <v>5.2126666666666663</v>
      </c>
      <c r="Z10">
        <f t="shared" si="8"/>
        <v>6.944</v>
      </c>
      <c r="AA10">
        <f t="shared" si="8"/>
        <v>7.4319999999999995</v>
      </c>
      <c r="AB10">
        <f t="shared" si="8"/>
        <v>15.013666666666666</v>
      </c>
      <c r="AC10">
        <f t="shared" si="8"/>
        <v>6.1423333333333332</v>
      </c>
      <c r="AD10">
        <f t="shared" si="8"/>
        <v>12.096666666666666</v>
      </c>
      <c r="AE10">
        <f t="shared" si="8"/>
        <v>3.1776666666666666</v>
      </c>
      <c r="AF10">
        <f t="shared" si="8"/>
        <v>5.1403333333333334</v>
      </c>
      <c r="AG10">
        <f t="shared" si="8"/>
        <v>2.9703333333333339</v>
      </c>
      <c r="AH10">
        <f t="shared" si="8"/>
        <v>4.7450000000000001</v>
      </c>
      <c r="AI10">
        <f t="shared" si="8"/>
        <v>3.3426666666666662</v>
      </c>
      <c r="AJ10">
        <f t="shared" si="8"/>
        <v>4.6823333333333332</v>
      </c>
    </row>
    <row r="11" spans="1:36" x14ac:dyDescent="0.25">
      <c r="A11" t="s">
        <v>75</v>
      </c>
      <c r="B11" t="s">
        <v>42</v>
      </c>
      <c r="C11" t="s">
        <v>76</v>
      </c>
      <c r="D11">
        <v>2.9359999999999999</v>
      </c>
      <c r="E11">
        <v>3.0259999999999998</v>
      </c>
      <c r="F11">
        <v>0.5</v>
      </c>
      <c r="G11">
        <v>3.18</v>
      </c>
      <c r="H11">
        <v>5.101</v>
      </c>
      <c r="I11">
        <v>8.7669999999999995</v>
      </c>
      <c r="J11">
        <v>2.157</v>
      </c>
      <c r="K11">
        <v>4.2460000000000004</v>
      </c>
      <c r="L11">
        <v>0.5</v>
      </c>
      <c r="M11">
        <v>0.5</v>
      </c>
      <c r="N11">
        <v>1.7149200710479575</v>
      </c>
      <c r="O11">
        <v>3.6469999999999998</v>
      </c>
      <c r="P11">
        <v>0.5</v>
      </c>
      <c r="Q11">
        <v>0.5</v>
      </c>
      <c r="U11" t="s">
        <v>52</v>
      </c>
      <c r="V11" t="s">
        <v>100</v>
      </c>
      <c r="W11">
        <f>AVERAGE(D29:D31)</f>
        <v>7.1149999999999993</v>
      </c>
      <c r="X11">
        <f t="shared" ref="X11:AJ11" si="9">AVERAGE(E29:E31)</f>
        <v>9.2973333333333343</v>
      </c>
      <c r="Y11">
        <f t="shared" si="9"/>
        <v>5.55</v>
      </c>
      <c r="Z11">
        <f t="shared" si="9"/>
        <v>8.2313333333333336</v>
      </c>
      <c r="AA11">
        <f t="shared" si="9"/>
        <v>7.3569999999999993</v>
      </c>
      <c r="AB11">
        <f t="shared" si="9"/>
        <v>16.916</v>
      </c>
      <c r="AC11">
        <f t="shared" si="9"/>
        <v>7.0643333333333338</v>
      </c>
      <c r="AD11">
        <f t="shared" si="9"/>
        <v>10.976666666666667</v>
      </c>
      <c r="AE11">
        <f t="shared" si="9"/>
        <v>3.3540000000000005</v>
      </c>
      <c r="AF11">
        <f t="shared" si="9"/>
        <v>7.2586666666666666</v>
      </c>
      <c r="AG11">
        <f t="shared" si="9"/>
        <v>3.742666666666667</v>
      </c>
      <c r="AH11">
        <f t="shared" si="9"/>
        <v>5.8973333333333331</v>
      </c>
      <c r="AI11">
        <f t="shared" si="9"/>
        <v>4.4453333333333331</v>
      </c>
      <c r="AJ11">
        <f t="shared" si="9"/>
        <v>5.6109999999999998</v>
      </c>
    </row>
    <row r="12" spans="1:36" x14ac:dyDescent="0.25">
      <c r="A12" t="s">
        <v>77</v>
      </c>
      <c r="B12" t="s">
        <v>42</v>
      </c>
      <c r="C12" t="s">
        <v>76</v>
      </c>
      <c r="D12">
        <v>2.9460000000000002</v>
      </c>
      <c r="E12">
        <v>4.0430000000000001</v>
      </c>
      <c r="F12">
        <v>0.5</v>
      </c>
      <c r="G12">
        <v>6.1479999999999997</v>
      </c>
      <c r="H12">
        <v>5.1070000000000002</v>
      </c>
      <c r="I12">
        <v>11.814</v>
      </c>
      <c r="J12">
        <v>2.1739999999999999</v>
      </c>
      <c r="K12">
        <v>4.1580000000000004</v>
      </c>
      <c r="L12">
        <v>0.5</v>
      </c>
      <c r="M12">
        <v>0.5</v>
      </c>
      <c r="N12">
        <v>1.9159999999999999</v>
      </c>
      <c r="O12">
        <v>2.9140000000000001</v>
      </c>
      <c r="P12">
        <v>0.5</v>
      </c>
      <c r="Q12">
        <v>0.5</v>
      </c>
      <c r="U12" t="s">
        <v>52</v>
      </c>
      <c r="V12" t="s">
        <v>104</v>
      </c>
      <c r="W12">
        <f>AVERAGE(D32:D34)</f>
        <v>9.0266666666666655</v>
      </c>
      <c r="X12">
        <f t="shared" ref="X12:AJ12" si="10">AVERAGE(E32:E34)</f>
        <v>12.452399999999999</v>
      </c>
      <c r="Y12">
        <f t="shared" si="10"/>
        <v>9.2379999999999995</v>
      </c>
      <c r="Z12">
        <f t="shared" si="10"/>
        <v>10.465333333333334</v>
      </c>
      <c r="AA12">
        <f t="shared" si="10"/>
        <v>9.1506666666666678</v>
      </c>
      <c r="AB12">
        <f t="shared" si="10"/>
        <v>21.214666666666666</v>
      </c>
      <c r="AC12">
        <f t="shared" si="10"/>
        <v>8.2456666666666667</v>
      </c>
      <c r="AD12">
        <f t="shared" si="10"/>
        <v>13.670333333333334</v>
      </c>
      <c r="AE12">
        <f t="shared" si="10"/>
        <v>5.2700000000000005</v>
      </c>
      <c r="AF12">
        <f t="shared" si="10"/>
        <v>13.517000000000001</v>
      </c>
      <c r="AG12">
        <f t="shared" si="10"/>
        <v>6.5236666666666663</v>
      </c>
      <c r="AH12">
        <f t="shared" si="10"/>
        <v>8.6383333333333336</v>
      </c>
      <c r="AI12">
        <f t="shared" si="10"/>
        <v>5.9156666666666666</v>
      </c>
      <c r="AJ12">
        <f t="shared" si="10"/>
        <v>8.7763333333333335</v>
      </c>
    </row>
    <row r="13" spans="1:36" x14ac:dyDescent="0.25">
      <c r="A13" t="s">
        <v>78</v>
      </c>
      <c r="B13" t="s">
        <v>42</v>
      </c>
      <c r="C13" t="s">
        <v>76</v>
      </c>
      <c r="D13">
        <v>3.4529999999999998</v>
      </c>
      <c r="E13">
        <v>3.911</v>
      </c>
      <c r="F13">
        <v>0.5</v>
      </c>
      <c r="G13">
        <v>3.8130000000000002</v>
      </c>
      <c r="H13">
        <v>5.556</v>
      </c>
      <c r="I13">
        <v>7.1440000000000001</v>
      </c>
      <c r="J13">
        <v>3.3919999999999999</v>
      </c>
      <c r="K13">
        <v>6.601</v>
      </c>
      <c r="L13">
        <v>0.5</v>
      </c>
      <c r="M13">
        <v>0.5</v>
      </c>
      <c r="N13">
        <v>0.5</v>
      </c>
      <c r="O13">
        <v>3.2629999999999999</v>
      </c>
      <c r="P13">
        <v>0.5</v>
      </c>
      <c r="Q13">
        <v>0.5</v>
      </c>
    </row>
    <row r="14" spans="1:36" x14ac:dyDescent="0.25">
      <c r="A14" t="s">
        <v>79</v>
      </c>
      <c r="B14" t="s">
        <v>42</v>
      </c>
      <c r="C14" t="s">
        <v>80</v>
      </c>
      <c r="D14">
        <v>2.3519999999999999</v>
      </c>
      <c r="E14">
        <v>2.1259999999999999</v>
      </c>
      <c r="F14">
        <v>1.984</v>
      </c>
      <c r="G14">
        <v>3.4119999999999999</v>
      </c>
      <c r="H14">
        <v>6.3019999999999996</v>
      </c>
      <c r="I14">
        <v>13.930999999999999</v>
      </c>
      <c r="J14">
        <v>4.1269999999999998</v>
      </c>
      <c r="K14">
        <v>8.1560000000000006</v>
      </c>
      <c r="L14">
        <v>0.5</v>
      </c>
      <c r="M14">
        <v>2.5607000000000002</v>
      </c>
      <c r="N14">
        <v>0.5</v>
      </c>
      <c r="O14">
        <v>2.4369999999999998</v>
      </c>
      <c r="P14">
        <v>1.2230000000000001</v>
      </c>
      <c r="Q14">
        <v>2.9870000000000001</v>
      </c>
    </row>
    <row r="15" spans="1:36" x14ac:dyDescent="0.25">
      <c r="A15" t="s">
        <v>81</v>
      </c>
      <c r="B15" t="s">
        <v>42</v>
      </c>
      <c r="C15" t="s">
        <v>80</v>
      </c>
      <c r="D15">
        <v>3.121</v>
      </c>
      <c r="E15">
        <v>3.343</v>
      </c>
      <c r="F15">
        <v>2.3540000000000001</v>
      </c>
      <c r="G15">
        <v>3.4009999999999998</v>
      </c>
      <c r="H15">
        <v>5.5670000000000002</v>
      </c>
      <c r="I15">
        <v>13.928000000000001</v>
      </c>
      <c r="J15">
        <v>2.8479999999999999</v>
      </c>
      <c r="K15">
        <v>5.6840000000000002</v>
      </c>
      <c r="L15">
        <v>0.5</v>
      </c>
      <c r="M15">
        <v>2.6040000000000001</v>
      </c>
      <c r="N15">
        <v>0.5</v>
      </c>
      <c r="O15">
        <v>1.994</v>
      </c>
      <c r="P15">
        <v>1.3640000000000001</v>
      </c>
      <c r="Q15">
        <v>3.8839999999999999</v>
      </c>
    </row>
    <row r="16" spans="1:36" x14ac:dyDescent="0.25">
      <c r="A16" t="s">
        <v>82</v>
      </c>
      <c r="B16" t="s">
        <v>42</v>
      </c>
      <c r="C16" t="s">
        <v>80</v>
      </c>
      <c r="D16">
        <v>4.3520000000000003</v>
      </c>
      <c r="E16">
        <v>3.5459999999999998</v>
      </c>
      <c r="F16">
        <v>2.3639999999999999</v>
      </c>
      <c r="G16">
        <v>2.3559999999999999</v>
      </c>
      <c r="H16">
        <v>5.9180000000000001</v>
      </c>
      <c r="I16">
        <v>12.222</v>
      </c>
      <c r="J16">
        <v>2.907</v>
      </c>
      <c r="K16">
        <v>5.7229999999999999</v>
      </c>
      <c r="L16">
        <v>0.5</v>
      </c>
      <c r="M16">
        <v>2.673</v>
      </c>
      <c r="N16">
        <v>0.5</v>
      </c>
      <c r="O16">
        <v>1.3640000000000001</v>
      </c>
      <c r="P16">
        <v>1.2210000000000001</v>
      </c>
      <c r="Q16">
        <v>3.4860000000000002</v>
      </c>
    </row>
    <row r="17" spans="1:17" x14ac:dyDescent="0.25">
      <c r="A17" t="s">
        <v>83</v>
      </c>
      <c r="B17" t="s">
        <v>42</v>
      </c>
      <c r="C17" t="s">
        <v>84</v>
      </c>
      <c r="D17">
        <v>3.234</v>
      </c>
      <c r="E17">
        <v>3.9729999999999999</v>
      </c>
      <c r="F17">
        <v>3.0569999999999999</v>
      </c>
      <c r="G17">
        <v>3.2650000000000001</v>
      </c>
      <c r="H17">
        <v>6.6390000000000002</v>
      </c>
      <c r="I17">
        <v>13.773</v>
      </c>
      <c r="J17">
        <v>3.383</v>
      </c>
      <c r="K17">
        <v>6.5410000000000004</v>
      </c>
      <c r="L17">
        <v>1.532</v>
      </c>
      <c r="M17">
        <v>3.3069999999999999</v>
      </c>
      <c r="N17">
        <v>1.9670000000000001</v>
      </c>
      <c r="O17">
        <v>3.2629999999999999</v>
      </c>
      <c r="P17">
        <v>1.1240000000000001</v>
      </c>
      <c r="Q17">
        <v>3.0880000000000001</v>
      </c>
    </row>
    <row r="18" spans="1:17" x14ac:dyDescent="0.25">
      <c r="A18" t="s">
        <v>85</v>
      </c>
      <c r="B18" t="s">
        <v>42</v>
      </c>
      <c r="C18" t="s">
        <v>84</v>
      </c>
      <c r="D18">
        <v>3.956</v>
      </c>
      <c r="E18">
        <v>4.3540000000000001</v>
      </c>
      <c r="F18">
        <v>3.7330000000000001</v>
      </c>
      <c r="G18">
        <v>4.3929999999999998</v>
      </c>
      <c r="H18">
        <v>4.3129999999999997</v>
      </c>
      <c r="I18">
        <v>14.625999999999999</v>
      </c>
      <c r="J18">
        <v>5.52</v>
      </c>
      <c r="K18">
        <v>8.1069999999999993</v>
      </c>
      <c r="L18">
        <v>1.9359999999999999</v>
      </c>
      <c r="M18">
        <v>2.7589999999999999</v>
      </c>
      <c r="N18">
        <v>1.3560000000000001</v>
      </c>
      <c r="O18">
        <v>3.625</v>
      </c>
      <c r="P18">
        <v>2.1230000000000002</v>
      </c>
      <c r="Q18">
        <v>3.508</v>
      </c>
    </row>
    <row r="19" spans="1:17" x14ac:dyDescent="0.25">
      <c r="A19" t="s">
        <v>86</v>
      </c>
      <c r="B19" t="s">
        <v>42</v>
      </c>
      <c r="C19" t="s">
        <v>84</v>
      </c>
      <c r="D19">
        <v>3.4649999999999999</v>
      </c>
      <c r="E19">
        <v>4.3520000000000003</v>
      </c>
      <c r="F19">
        <v>3.4580000000000002</v>
      </c>
      <c r="G19">
        <v>3.7709999999999999</v>
      </c>
      <c r="H19">
        <v>7.4470000000000001</v>
      </c>
      <c r="I19">
        <v>14.781000000000001</v>
      </c>
      <c r="J19">
        <v>4.2560000000000002</v>
      </c>
      <c r="K19">
        <v>8.3119999999999994</v>
      </c>
      <c r="L19">
        <v>1.365</v>
      </c>
      <c r="M19">
        <v>2.754</v>
      </c>
      <c r="N19">
        <v>1.643</v>
      </c>
      <c r="O19">
        <v>2.9740000000000002</v>
      </c>
      <c r="P19">
        <v>2.2730000000000001</v>
      </c>
      <c r="Q19">
        <v>2.8889999999999998</v>
      </c>
    </row>
    <row r="20" spans="1:17" x14ac:dyDescent="0.25">
      <c r="A20" t="s">
        <v>87</v>
      </c>
      <c r="B20" t="s">
        <v>52</v>
      </c>
      <c r="C20" t="s">
        <v>88</v>
      </c>
      <c r="D20">
        <v>3.956</v>
      </c>
      <c r="E20">
        <v>3.8530000000000002</v>
      </c>
      <c r="F20">
        <v>5.1859999999999999</v>
      </c>
      <c r="G20">
        <v>4.5620000000000003</v>
      </c>
      <c r="H20">
        <v>6.6210000000000004</v>
      </c>
      <c r="I20">
        <v>14.137</v>
      </c>
      <c r="J20">
        <v>5.3635000000000002</v>
      </c>
      <c r="K20">
        <v>10.564</v>
      </c>
      <c r="L20">
        <v>2.5369999999999999</v>
      </c>
      <c r="M20">
        <v>2.7280000000000002</v>
      </c>
      <c r="N20">
        <v>0.5</v>
      </c>
      <c r="O20">
        <v>2.9769999999999999</v>
      </c>
      <c r="P20">
        <v>0.5</v>
      </c>
      <c r="Q20">
        <v>3.702</v>
      </c>
    </row>
    <row r="21" spans="1:17" x14ac:dyDescent="0.25">
      <c r="A21" t="s">
        <v>89</v>
      </c>
      <c r="B21" t="s">
        <v>52</v>
      </c>
      <c r="C21" t="s">
        <v>88</v>
      </c>
      <c r="D21">
        <v>4.3639999999999999</v>
      </c>
      <c r="E21">
        <v>5.3230000000000004</v>
      </c>
      <c r="F21">
        <v>4.9560000000000004</v>
      </c>
      <c r="G21">
        <v>2.1869999999999998</v>
      </c>
      <c r="H21">
        <v>5.8460000000000001</v>
      </c>
      <c r="I21">
        <v>14.465999999999999</v>
      </c>
      <c r="J21">
        <v>6.1980000000000004</v>
      </c>
      <c r="K21">
        <v>12.205</v>
      </c>
      <c r="L21">
        <v>1.833</v>
      </c>
      <c r="M21">
        <v>3.0619999999999998</v>
      </c>
      <c r="N21">
        <v>1.726</v>
      </c>
      <c r="O21">
        <v>2.3439999999999999</v>
      </c>
      <c r="P21">
        <v>0.5</v>
      </c>
      <c r="Q21">
        <v>2.9249999999999998</v>
      </c>
    </row>
    <row r="22" spans="1:17" x14ac:dyDescent="0.25">
      <c r="A22" t="s">
        <v>90</v>
      </c>
      <c r="B22" t="s">
        <v>52</v>
      </c>
      <c r="C22" t="s">
        <v>88</v>
      </c>
      <c r="D22">
        <v>4.0129999999999999</v>
      </c>
      <c r="E22">
        <v>3.298</v>
      </c>
      <c r="F22">
        <v>4.3739999999999997</v>
      </c>
      <c r="G22">
        <v>5.3319999999999999</v>
      </c>
      <c r="H22">
        <v>5.8289999999999997</v>
      </c>
      <c r="I22">
        <v>13.486000000000001</v>
      </c>
      <c r="J22">
        <v>5.2030000000000003</v>
      </c>
      <c r="K22">
        <v>10.257999999999999</v>
      </c>
      <c r="L22">
        <v>2.504</v>
      </c>
      <c r="M22">
        <v>4.6310000000000002</v>
      </c>
      <c r="N22">
        <v>2.4460000000000002</v>
      </c>
      <c r="O22">
        <v>2.7559999999999998</v>
      </c>
      <c r="P22">
        <v>0.5</v>
      </c>
      <c r="Q22">
        <v>1.968</v>
      </c>
    </row>
    <row r="23" spans="1:17" x14ac:dyDescent="0.25">
      <c r="A23" t="s">
        <v>91</v>
      </c>
      <c r="B23" t="s">
        <v>52</v>
      </c>
      <c r="C23" t="s">
        <v>92</v>
      </c>
      <c r="D23">
        <v>3.4649999999999999</v>
      </c>
      <c r="E23">
        <v>4.3529999999999998</v>
      </c>
      <c r="F23">
        <v>4.1950000000000003</v>
      </c>
      <c r="G23">
        <v>3.593</v>
      </c>
      <c r="H23">
        <v>6.6390000000000002</v>
      </c>
      <c r="I23">
        <v>17.181999999999999</v>
      </c>
      <c r="J23">
        <v>3.6349999999999998</v>
      </c>
      <c r="K23">
        <v>7.1159999999999997</v>
      </c>
      <c r="L23">
        <v>1.7350000000000001</v>
      </c>
      <c r="M23">
        <v>5.4749999999999996</v>
      </c>
      <c r="N23">
        <v>2.6160000000000001</v>
      </c>
      <c r="O23">
        <v>4.3639999999999999</v>
      </c>
      <c r="P23">
        <v>3.645</v>
      </c>
      <c r="Q23">
        <v>4.7380000000000004</v>
      </c>
    </row>
    <row r="24" spans="1:17" x14ac:dyDescent="0.25">
      <c r="A24" t="s">
        <v>93</v>
      </c>
      <c r="B24" t="s">
        <v>52</v>
      </c>
      <c r="C24" t="s">
        <v>92</v>
      </c>
      <c r="D24">
        <v>5.4359999999999999</v>
      </c>
      <c r="E24">
        <v>4.1289999999999996</v>
      </c>
      <c r="F24">
        <v>5.0940000000000003</v>
      </c>
      <c r="G24">
        <v>3.3660000000000001</v>
      </c>
      <c r="H24">
        <v>6.5670000000000002</v>
      </c>
      <c r="I24">
        <v>13.468999999999999</v>
      </c>
      <c r="J24">
        <v>4.3789999999999996</v>
      </c>
      <c r="K24">
        <v>8.6039999999999992</v>
      </c>
      <c r="L24">
        <v>1.7989999999999999</v>
      </c>
      <c r="M24">
        <v>4.4720000000000004</v>
      </c>
      <c r="N24">
        <v>0.5</v>
      </c>
      <c r="O24">
        <v>4.2629999999999999</v>
      </c>
      <c r="P24">
        <v>3.1339999999999999</v>
      </c>
      <c r="Q24">
        <v>5.3280000000000003</v>
      </c>
    </row>
    <row r="25" spans="1:17" x14ac:dyDescent="0.25">
      <c r="A25" t="s">
        <v>94</v>
      </c>
      <c r="B25" t="s">
        <v>52</v>
      </c>
      <c r="C25" t="s">
        <v>92</v>
      </c>
      <c r="D25">
        <v>5.3979999999999997</v>
      </c>
      <c r="E25">
        <v>6.3419999999999996</v>
      </c>
      <c r="F25">
        <v>5.26</v>
      </c>
      <c r="G25">
        <v>5.3780000000000001</v>
      </c>
      <c r="H25">
        <v>6.3689999999999998</v>
      </c>
      <c r="I25">
        <v>13.782999999999999</v>
      </c>
      <c r="J25">
        <v>6.4020000000000001</v>
      </c>
      <c r="K25">
        <v>12.689</v>
      </c>
      <c r="L25">
        <v>2.407</v>
      </c>
      <c r="M25">
        <v>4.5019999999999998</v>
      </c>
      <c r="N25">
        <v>2.5350000000000001</v>
      </c>
      <c r="O25">
        <v>3.1429999999999998</v>
      </c>
      <c r="P25">
        <v>3.2730000000000001</v>
      </c>
      <c r="Q25">
        <v>5.8360000000000003</v>
      </c>
    </row>
    <row r="26" spans="1:17" x14ac:dyDescent="0.25">
      <c r="A26" t="s">
        <v>95</v>
      </c>
      <c r="B26" t="s">
        <v>52</v>
      </c>
      <c r="C26" t="s">
        <v>96</v>
      </c>
      <c r="D26">
        <v>4.8650000000000002</v>
      </c>
      <c r="E26">
        <v>4.3540000000000001</v>
      </c>
      <c r="F26">
        <v>4.867</v>
      </c>
      <c r="G26">
        <v>7.5940000000000003</v>
      </c>
      <c r="H26">
        <v>7.52</v>
      </c>
      <c r="I26">
        <v>15.909000000000001</v>
      </c>
      <c r="J26">
        <v>5.7050000000000001</v>
      </c>
      <c r="K26">
        <v>11.105</v>
      </c>
      <c r="L26">
        <v>2.5409999999999999</v>
      </c>
      <c r="M26">
        <v>4.1310000000000002</v>
      </c>
      <c r="N26">
        <v>2.9540000000000002</v>
      </c>
      <c r="O26">
        <v>5.1529999999999996</v>
      </c>
      <c r="P26">
        <v>2.8359999999999999</v>
      </c>
      <c r="Q26">
        <v>5.3929999999999998</v>
      </c>
    </row>
    <row r="27" spans="1:17" x14ac:dyDescent="0.25">
      <c r="A27" t="s">
        <v>97</v>
      </c>
      <c r="B27" t="s">
        <v>52</v>
      </c>
      <c r="C27" t="s">
        <v>96</v>
      </c>
      <c r="D27">
        <v>5.9470000000000001</v>
      </c>
      <c r="E27">
        <v>5.9619999999999997</v>
      </c>
      <c r="F27">
        <v>4.5359999999999996</v>
      </c>
      <c r="G27">
        <v>5.3230000000000004</v>
      </c>
      <c r="H27">
        <v>7.2450000000000001</v>
      </c>
      <c r="I27">
        <v>13.778</v>
      </c>
      <c r="J27">
        <v>6.7140000000000004</v>
      </c>
      <c r="K27">
        <v>13.2</v>
      </c>
      <c r="L27">
        <v>2.758</v>
      </c>
      <c r="M27">
        <v>6.3550000000000004</v>
      </c>
      <c r="N27">
        <v>3.4220000000000002</v>
      </c>
      <c r="O27">
        <v>4.7380000000000004</v>
      </c>
      <c r="P27">
        <v>2.8359999999999999</v>
      </c>
      <c r="Q27">
        <v>4.5330000000000004</v>
      </c>
    </row>
    <row r="28" spans="1:17" x14ac:dyDescent="0.25">
      <c r="A28" t="s">
        <v>98</v>
      </c>
      <c r="B28" t="s">
        <v>52</v>
      </c>
      <c r="C28" t="s">
        <v>96</v>
      </c>
      <c r="D28">
        <v>5.6740000000000004</v>
      </c>
      <c r="E28">
        <v>7.3520000000000003</v>
      </c>
      <c r="F28">
        <v>6.2350000000000003</v>
      </c>
      <c r="G28">
        <v>7.915</v>
      </c>
      <c r="H28">
        <v>7.5309999999999997</v>
      </c>
      <c r="I28">
        <v>15.353999999999999</v>
      </c>
      <c r="J28">
        <v>6.008</v>
      </c>
      <c r="K28">
        <v>11.984999999999999</v>
      </c>
      <c r="L28">
        <v>4.234</v>
      </c>
      <c r="M28">
        <v>4.9349999999999996</v>
      </c>
      <c r="N28">
        <v>2.5350000000000001</v>
      </c>
      <c r="O28">
        <v>4.3440000000000003</v>
      </c>
      <c r="P28">
        <v>4.3559999999999999</v>
      </c>
      <c r="Q28">
        <v>4.1210000000000004</v>
      </c>
    </row>
    <row r="29" spans="1:17" x14ac:dyDescent="0.25">
      <c r="A29" t="s">
        <v>99</v>
      </c>
      <c r="B29" t="s">
        <v>52</v>
      </c>
      <c r="C29" t="s">
        <v>100</v>
      </c>
      <c r="D29">
        <v>7.0439999999999996</v>
      </c>
      <c r="E29">
        <v>9.6920000000000002</v>
      </c>
      <c r="F29">
        <v>4.952</v>
      </c>
      <c r="G29">
        <v>8.8559999999999999</v>
      </c>
      <c r="H29">
        <v>5.8369999999999997</v>
      </c>
      <c r="I29">
        <v>16.832999999999998</v>
      </c>
      <c r="J29">
        <v>7.7140000000000004</v>
      </c>
      <c r="K29">
        <v>9.2940000000000005</v>
      </c>
      <c r="L29">
        <v>2.7970000000000002</v>
      </c>
      <c r="M29">
        <v>6.5410000000000004</v>
      </c>
      <c r="N29">
        <v>3.1190000000000002</v>
      </c>
      <c r="O29">
        <v>5.843</v>
      </c>
      <c r="P29">
        <v>3.8460000000000001</v>
      </c>
      <c r="Q29">
        <v>4.4909999999999997</v>
      </c>
    </row>
    <row r="30" spans="1:17" x14ac:dyDescent="0.25">
      <c r="A30" t="s">
        <v>101</v>
      </c>
      <c r="B30" t="s">
        <v>52</v>
      </c>
      <c r="C30" t="s">
        <v>100</v>
      </c>
      <c r="D30">
        <v>7.5430000000000001</v>
      </c>
      <c r="E30">
        <v>8.2739999999999991</v>
      </c>
      <c r="F30">
        <v>5.9630000000000001</v>
      </c>
      <c r="G30">
        <v>7.9930000000000003</v>
      </c>
      <c r="H30">
        <v>8.0229999999999997</v>
      </c>
      <c r="I30">
        <v>15.89</v>
      </c>
      <c r="J30">
        <v>5.3280000000000003</v>
      </c>
      <c r="K30">
        <v>10.648999999999999</v>
      </c>
      <c r="L30">
        <v>3.6110000000000002</v>
      </c>
      <c r="M30">
        <v>7.6059999999999999</v>
      </c>
      <c r="N30">
        <v>3.8159999999999998</v>
      </c>
      <c r="O30">
        <v>6.4749999999999996</v>
      </c>
      <c r="P30">
        <v>4.0229999999999997</v>
      </c>
      <c r="Q30">
        <v>6.5389999999999997</v>
      </c>
    </row>
    <row r="31" spans="1:17" x14ac:dyDescent="0.25">
      <c r="A31" t="s">
        <v>102</v>
      </c>
      <c r="B31" t="s">
        <v>52</v>
      </c>
      <c r="C31" t="s">
        <v>100</v>
      </c>
      <c r="D31">
        <v>6.758</v>
      </c>
      <c r="E31">
        <v>9.9260000000000002</v>
      </c>
      <c r="F31">
        <v>5.7350000000000003</v>
      </c>
      <c r="G31">
        <v>7.8449999999999998</v>
      </c>
      <c r="H31">
        <v>8.2110000000000003</v>
      </c>
      <c r="I31">
        <v>18.024999999999999</v>
      </c>
      <c r="J31">
        <v>8.1509999999999998</v>
      </c>
      <c r="K31">
        <v>12.987</v>
      </c>
      <c r="L31">
        <v>3.6539999999999999</v>
      </c>
      <c r="M31">
        <v>7.6289999999999996</v>
      </c>
      <c r="N31">
        <v>4.2930000000000001</v>
      </c>
      <c r="O31">
        <v>5.3739999999999997</v>
      </c>
      <c r="P31">
        <v>5.4669999999999996</v>
      </c>
      <c r="Q31">
        <v>5.8029999999999999</v>
      </c>
    </row>
    <row r="32" spans="1:17" x14ac:dyDescent="0.25">
      <c r="A32" t="s">
        <v>103</v>
      </c>
      <c r="B32" t="s">
        <v>52</v>
      </c>
      <c r="C32" t="s">
        <v>104</v>
      </c>
      <c r="D32">
        <v>8.4670000000000005</v>
      </c>
      <c r="E32">
        <v>11.504</v>
      </c>
      <c r="F32">
        <v>9.5459999999999994</v>
      </c>
      <c r="G32">
        <v>10.612</v>
      </c>
      <c r="H32">
        <v>7.5250000000000004</v>
      </c>
      <c r="I32">
        <v>19.132000000000001</v>
      </c>
      <c r="J32">
        <v>9.4369999999999994</v>
      </c>
      <c r="K32">
        <v>14.618</v>
      </c>
      <c r="L32">
        <v>5.048</v>
      </c>
      <c r="M32">
        <v>14.612</v>
      </c>
      <c r="N32">
        <v>6.508</v>
      </c>
      <c r="O32">
        <v>7.399</v>
      </c>
      <c r="P32">
        <v>5.3540000000000001</v>
      </c>
      <c r="Q32">
        <v>7.9189999999999996</v>
      </c>
    </row>
    <row r="33" spans="1:17" x14ac:dyDescent="0.25">
      <c r="A33" t="s">
        <v>105</v>
      </c>
      <c r="B33" t="s">
        <v>52</v>
      </c>
      <c r="C33" t="s">
        <v>104</v>
      </c>
      <c r="D33">
        <v>7.4749999999999996</v>
      </c>
      <c r="E33">
        <v>15.7972</v>
      </c>
      <c r="F33">
        <v>8.843</v>
      </c>
      <c r="G33">
        <v>10.173</v>
      </c>
      <c r="H33">
        <v>9.9440000000000008</v>
      </c>
      <c r="I33">
        <v>21.361999999999998</v>
      </c>
      <c r="J33">
        <v>7.3789999999999996</v>
      </c>
      <c r="K33">
        <v>11.914999999999999</v>
      </c>
      <c r="L33">
        <v>5.476</v>
      </c>
      <c r="M33">
        <v>12.722</v>
      </c>
      <c r="N33">
        <v>6.3140000000000001</v>
      </c>
      <c r="O33">
        <v>9.0380000000000003</v>
      </c>
      <c r="P33">
        <v>6.8460000000000001</v>
      </c>
      <c r="Q33">
        <v>10.176</v>
      </c>
    </row>
    <row r="34" spans="1:17" x14ac:dyDescent="0.25">
      <c r="A34" t="s">
        <v>106</v>
      </c>
      <c r="B34" t="s">
        <v>52</v>
      </c>
      <c r="C34" t="s">
        <v>104</v>
      </c>
      <c r="D34">
        <v>11.138</v>
      </c>
      <c r="E34">
        <v>10.055999999999999</v>
      </c>
      <c r="F34">
        <v>9.3249999999999993</v>
      </c>
      <c r="G34">
        <v>10.611000000000001</v>
      </c>
      <c r="H34">
        <v>9.9830000000000005</v>
      </c>
      <c r="I34">
        <v>23.15</v>
      </c>
      <c r="J34">
        <v>7.9210000000000003</v>
      </c>
      <c r="K34">
        <v>14.478</v>
      </c>
      <c r="L34">
        <v>5.2859999999999996</v>
      </c>
      <c r="M34">
        <v>13.217000000000001</v>
      </c>
      <c r="N34">
        <v>6.7489999999999997</v>
      </c>
      <c r="O34">
        <v>9.4779999999999998</v>
      </c>
      <c r="P34">
        <v>5.5469999999999997</v>
      </c>
      <c r="Q34">
        <v>8.234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12042-AA9B-4F23-9725-FACFE184081A}">
  <dimension ref="A1:P12"/>
  <sheetViews>
    <sheetView workbookViewId="0">
      <selection activeCell="C1" sqref="C1:C1048576"/>
    </sheetView>
  </sheetViews>
  <sheetFormatPr defaultRowHeight="15" x14ac:dyDescent="0.25"/>
  <cols>
    <col min="1" max="1" width="13.140625" bestFit="1" customWidth="1"/>
    <col min="2" max="2" width="26.140625" bestFit="1" customWidth="1"/>
    <col min="3" max="10" width="12" bestFit="1" customWidth="1"/>
    <col min="11" max="11" width="15.42578125" bestFit="1" customWidth="1"/>
    <col min="12" max="15" width="12" bestFit="1" customWidth="1"/>
    <col min="16" max="16" width="18.7109375" bestFit="1" customWidth="1"/>
  </cols>
  <sheetData>
    <row r="1" spans="1:16" x14ac:dyDescent="0.25">
      <c r="A1" t="s">
        <v>12</v>
      </c>
      <c r="B1" t="s">
        <v>62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</row>
    <row r="2" spans="1:16" x14ac:dyDescent="0.25">
      <c r="A2" t="s">
        <v>29</v>
      </c>
      <c r="B2" t="s">
        <v>64</v>
      </c>
      <c r="C2">
        <v>2.7946666666666666</v>
      </c>
      <c r="D2">
        <v>6.4113333333333342</v>
      </c>
      <c r="E2">
        <v>3.7826666666666662</v>
      </c>
      <c r="F2">
        <v>3.7826666666666671</v>
      </c>
      <c r="G2">
        <v>8.1226666666666656</v>
      </c>
      <c r="H2">
        <v>10.883666666666665</v>
      </c>
      <c r="I2">
        <v>2.5306666666666668</v>
      </c>
      <c r="J2">
        <v>4.9856666666666669</v>
      </c>
      <c r="K2">
        <v>0.5</v>
      </c>
      <c r="L2">
        <v>0.5</v>
      </c>
      <c r="M2">
        <v>0.5</v>
      </c>
      <c r="N2">
        <v>1.0449999999999999</v>
      </c>
      <c r="O2">
        <v>0.5</v>
      </c>
      <c r="P2">
        <v>2.2070000000000003</v>
      </c>
    </row>
    <row r="3" spans="1:16" x14ac:dyDescent="0.25">
      <c r="A3" t="s">
        <v>29</v>
      </c>
      <c r="B3" t="s">
        <v>68</v>
      </c>
      <c r="C3">
        <v>0.5</v>
      </c>
      <c r="D3">
        <v>4.6760000000000002</v>
      </c>
      <c r="E3">
        <v>0.5</v>
      </c>
      <c r="F3">
        <v>0.5</v>
      </c>
      <c r="G3">
        <v>7.261333333333333</v>
      </c>
      <c r="H3">
        <v>8.3356666666666666</v>
      </c>
      <c r="I3">
        <v>0.5</v>
      </c>
      <c r="J3">
        <v>0.98499999999999999</v>
      </c>
      <c r="K3">
        <v>0.5</v>
      </c>
      <c r="L3">
        <v>0.5</v>
      </c>
      <c r="M3">
        <v>0.5</v>
      </c>
      <c r="N3">
        <v>0.5</v>
      </c>
      <c r="O3">
        <v>0.5</v>
      </c>
      <c r="P3">
        <v>0.5</v>
      </c>
    </row>
    <row r="4" spans="1:16" x14ac:dyDescent="0.25">
      <c r="A4" t="s">
        <v>29</v>
      </c>
      <c r="B4" t="s">
        <v>72</v>
      </c>
      <c r="C4">
        <v>7.5616666666666665</v>
      </c>
      <c r="D4">
        <v>11.585333333333333</v>
      </c>
      <c r="E4">
        <v>7.0156666666666672</v>
      </c>
      <c r="F4">
        <v>8.6126666666666676</v>
      </c>
      <c r="G4">
        <v>9.2243333333333339</v>
      </c>
      <c r="H4">
        <v>18.710333333333335</v>
      </c>
      <c r="I4">
        <v>7.4119999999999999</v>
      </c>
      <c r="J4">
        <v>14.601999999999999</v>
      </c>
      <c r="K4">
        <v>3.6903333333333337</v>
      </c>
      <c r="L4">
        <v>4.2789999999999999</v>
      </c>
      <c r="M4">
        <v>4.3643333333333336</v>
      </c>
      <c r="N4">
        <v>7.1326666666666663</v>
      </c>
      <c r="O4">
        <v>6.7296666666666667</v>
      </c>
      <c r="P4">
        <v>9.5573333333333341</v>
      </c>
    </row>
    <row r="5" spans="1:16" x14ac:dyDescent="0.25">
      <c r="A5" t="s">
        <v>42</v>
      </c>
      <c r="B5" t="s">
        <v>76</v>
      </c>
      <c r="C5">
        <v>4.2979999999999992</v>
      </c>
      <c r="D5">
        <v>6.1230000000000002</v>
      </c>
      <c r="E5">
        <v>0.5</v>
      </c>
      <c r="F5">
        <v>5.4633333333333338</v>
      </c>
      <c r="G5">
        <v>6.5479999999999992</v>
      </c>
      <c r="H5">
        <v>13</v>
      </c>
      <c r="I5">
        <v>3.0996666666666663</v>
      </c>
      <c r="J5">
        <v>6.105666666666667</v>
      </c>
      <c r="K5">
        <v>0.5</v>
      </c>
      <c r="L5">
        <v>0.5</v>
      </c>
      <c r="M5">
        <v>1.1813333333333333</v>
      </c>
      <c r="N5">
        <v>3.3569999999999998</v>
      </c>
      <c r="O5">
        <v>0.5</v>
      </c>
      <c r="P5">
        <v>0.5</v>
      </c>
    </row>
    <row r="6" spans="1:16" x14ac:dyDescent="0.25">
      <c r="A6" t="s">
        <v>42</v>
      </c>
      <c r="B6" t="s">
        <v>80</v>
      </c>
      <c r="C6">
        <v>6.0546666666666669</v>
      </c>
      <c r="D6">
        <v>8.6763333333333339</v>
      </c>
      <c r="E6">
        <v>5.0189999999999992</v>
      </c>
      <c r="F6">
        <v>3.3926666666666669</v>
      </c>
      <c r="G6">
        <v>7.387999999999999</v>
      </c>
      <c r="H6">
        <v>18.89</v>
      </c>
      <c r="I6">
        <v>4.0103333333333335</v>
      </c>
      <c r="J6">
        <v>7.9003333333333332</v>
      </c>
      <c r="K6">
        <v>0.5</v>
      </c>
      <c r="L6">
        <v>2.9736666666666665</v>
      </c>
      <c r="M6">
        <v>0.5</v>
      </c>
      <c r="N6">
        <v>2.5180000000000002</v>
      </c>
      <c r="O6">
        <v>1.1856666666666669</v>
      </c>
      <c r="P6">
        <v>3.7963333333333331</v>
      </c>
    </row>
    <row r="7" spans="1:16" x14ac:dyDescent="0.25">
      <c r="A7" t="s">
        <v>42</v>
      </c>
      <c r="B7" t="s">
        <v>84</v>
      </c>
      <c r="C7">
        <v>6.5976666666666661</v>
      </c>
      <c r="D7">
        <v>9.0756666666666685</v>
      </c>
      <c r="E7">
        <v>5.8589999999999991</v>
      </c>
      <c r="F7">
        <v>4.7519999999999998</v>
      </c>
      <c r="G7">
        <v>7.6419999999999995</v>
      </c>
      <c r="H7">
        <v>20.352</v>
      </c>
      <c r="I7">
        <v>5.3076666666666661</v>
      </c>
      <c r="J7">
        <v>10.522666666666668</v>
      </c>
      <c r="K7">
        <v>0.5</v>
      </c>
      <c r="L7">
        <v>3.3516666666666666</v>
      </c>
      <c r="M7">
        <v>1.5026666666666666</v>
      </c>
      <c r="N7">
        <v>0.5</v>
      </c>
      <c r="O7">
        <v>1.3339999999999999</v>
      </c>
      <c r="P7">
        <v>3.5363333333333333</v>
      </c>
    </row>
    <row r="8" spans="1:16" x14ac:dyDescent="0.25">
      <c r="A8" t="s">
        <v>52</v>
      </c>
      <c r="B8" t="s">
        <v>88</v>
      </c>
      <c r="C8">
        <v>8.3486666666666682</v>
      </c>
      <c r="D8">
        <v>8.9196666666666662</v>
      </c>
      <c r="E8">
        <v>0.5</v>
      </c>
      <c r="F8">
        <v>5.0226666666666668</v>
      </c>
      <c r="G8">
        <v>7.5989999999999993</v>
      </c>
      <c r="H8">
        <v>19.880666666666666</v>
      </c>
      <c r="I8">
        <v>6.7890000000000006</v>
      </c>
      <c r="J8">
        <v>13.374333333333334</v>
      </c>
      <c r="K8">
        <v>2.7393333333333332</v>
      </c>
      <c r="L8">
        <v>3.1933333333333334</v>
      </c>
      <c r="M8">
        <v>1.7313333333333334</v>
      </c>
      <c r="N8">
        <v>3.690666666666667</v>
      </c>
      <c r="O8">
        <v>0.5</v>
      </c>
      <c r="P8">
        <v>3.1716666666666669</v>
      </c>
    </row>
    <row r="9" spans="1:16" x14ac:dyDescent="0.25">
      <c r="A9" t="s">
        <v>52</v>
      </c>
      <c r="B9" t="s">
        <v>92</v>
      </c>
      <c r="C9">
        <v>9.2173333333333325</v>
      </c>
      <c r="D9">
        <v>8.7166666666666668</v>
      </c>
      <c r="E9">
        <v>8.5176666666666652</v>
      </c>
      <c r="F9">
        <v>5.1293333333333333</v>
      </c>
      <c r="G9">
        <v>8.1310000000000002</v>
      </c>
      <c r="H9">
        <v>20.945666666666668</v>
      </c>
      <c r="I9">
        <v>5.839666666666667</v>
      </c>
      <c r="J9">
        <v>11.503666666666668</v>
      </c>
      <c r="K9">
        <v>2.33</v>
      </c>
      <c r="L9">
        <v>5.4856666666666669</v>
      </c>
      <c r="M9">
        <v>2.0963333333333334</v>
      </c>
      <c r="N9">
        <v>3.7639999999999998</v>
      </c>
      <c r="O9">
        <v>3.3260000000000001</v>
      </c>
      <c r="P9">
        <v>5.7333333333333334</v>
      </c>
    </row>
    <row r="10" spans="1:16" x14ac:dyDescent="0.25">
      <c r="A10" t="s">
        <v>52</v>
      </c>
      <c r="B10" t="s">
        <v>96</v>
      </c>
      <c r="C10">
        <v>9.4560000000000013</v>
      </c>
      <c r="D10">
        <v>10.034666666666666</v>
      </c>
      <c r="E10">
        <v>6.3860000000000001</v>
      </c>
      <c r="F10">
        <v>8.6613333333333333</v>
      </c>
      <c r="G10">
        <v>9.2606666666666673</v>
      </c>
      <c r="H10">
        <v>21.23</v>
      </c>
      <c r="I10">
        <v>7.4593333333333334</v>
      </c>
      <c r="J10">
        <v>14.695666666666668</v>
      </c>
      <c r="K10">
        <v>2.2613333333333334</v>
      </c>
      <c r="L10">
        <v>6.0459999999999994</v>
      </c>
      <c r="M10">
        <v>3.3306666666666671</v>
      </c>
      <c r="N10">
        <v>4.6463333333333336</v>
      </c>
      <c r="O10">
        <v>2.8656666666666673</v>
      </c>
      <c r="P10">
        <v>5.407</v>
      </c>
    </row>
    <row r="11" spans="1:16" x14ac:dyDescent="0.25">
      <c r="A11" t="s">
        <v>52</v>
      </c>
      <c r="B11" t="s">
        <v>100</v>
      </c>
      <c r="C11">
        <v>9.984</v>
      </c>
      <c r="D11">
        <v>13.183666666666667</v>
      </c>
      <c r="E11">
        <v>9.1683333333333348</v>
      </c>
      <c r="F11">
        <v>6.5249999999999995</v>
      </c>
      <c r="G11">
        <v>9.1703333333333337</v>
      </c>
      <c r="H11">
        <v>23.928666666666668</v>
      </c>
      <c r="I11">
        <v>6.7353333333333332</v>
      </c>
      <c r="J11">
        <v>13.335666666666667</v>
      </c>
      <c r="K11">
        <v>3.5483333333333333</v>
      </c>
      <c r="L11">
        <v>8.250333333333332</v>
      </c>
      <c r="M11">
        <v>4.323666666666667</v>
      </c>
      <c r="N11">
        <v>7.2303333333333333</v>
      </c>
      <c r="O11">
        <v>4.9573333333333336</v>
      </c>
      <c r="P11">
        <v>8.24</v>
      </c>
    </row>
    <row r="12" spans="1:16" x14ac:dyDescent="0.25">
      <c r="A12" t="s">
        <v>52</v>
      </c>
      <c r="B12" t="s">
        <v>104</v>
      </c>
      <c r="C12">
        <v>12.125666666666667</v>
      </c>
      <c r="D12">
        <v>13.853</v>
      </c>
      <c r="E12">
        <v>11.514000000000001</v>
      </c>
      <c r="F12">
        <v>9.3116666666666674</v>
      </c>
      <c r="G12">
        <v>11.402666666666667</v>
      </c>
      <c r="H12">
        <v>29.953333333333333</v>
      </c>
      <c r="I12">
        <v>8.4113333333333333</v>
      </c>
      <c r="J12">
        <v>16.603666666666669</v>
      </c>
      <c r="K12">
        <v>4.4656666666666665</v>
      </c>
      <c r="L12">
        <v>15.354666666666667</v>
      </c>
      <c r="M12">
        <v>7.7853333333333339</v>
      </c>
      <c r="N12">
        <v>10.729999999999999</v>
      </c>
      <c r="O12">
        <v>9.1616666666666671</v>
      </c>
      <c r="P12">
        <v>13.557666666666668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AA45-EAE9-4C0A-A076-B7C8640D70C5}">
  <dimension ref="A1:AL28"/>
  <sheetViews>
    <sheetView topLeftCell="R1" workbookViewId="0">
      <selection activeCell="AD35" sqref="AD35"/>
    </sheetView>
  </sheetViews>
  <sheetFormatPr defaultRowHeight="15" x14ac:dyDescent="0.25"/>
  <cols>
    <col min="1" max="1" width="9.85546875" bestFit="1" customWidth="1"/>
    <col min="2" max="2" width="13.140625" bestFit="1" customWidth="1"/>
    <col min="3" max="3" width="7.7109375" bestFit="1" customWidth="1"/>
    <col min="4" max="5" width="8.5703125" bestFit="1" customWidth="1"/>
    <col min="6" max="7" width="8.85546875" bestFit="1" customWidth="1"/>
    <col min="8" max="9" width="8.5703125" bestFit="1" customWidth="1"/>
    <col min="10" max="10" width="6.7109375" bestFit="1" customWidth="1"/>
    <col min="11" max="11" width="6.5703125" bestFit="1" customWidth="1"/>
    <col min="12" max="12" width="15.42578125" bestFit="1" customWidth="1"/>
    <col min="13" max="13" width="6.5703125" bestFit="1" customWidth="1"/>
    <col min="14" max="14" width="6.42578125" bestFit="1" customWidth="1"/>
    <col min="15" max="15" width="8.140625" bestFit="1" customWidth="1"/>
    <col min="16" max="16" width="10.7109375" bestFit="1" customWidth="1"/>
    <col min="17" max="17" width="18.7109375" bestFit="1" customWidth="1"/>
    <col min="21" max="21" width="13.140625" bestFit="1" customWidth="1"/>
    <col min="22" max="22" width="7.7109375" bestFit="1" customWidth="1"/>
    <col min="23" max="30" width="12" bestFit="1" customWidth="1"/>
    <col min="31" max="31" width="15.42578125" bestFit="1" customWidth="1"/>
    <col min="32" max="35" width="12" bestFit="1" customWidth="1"/>
    <col min="36" max="36" width="18.7109375" bestFit="1" customWidth="1"/>
    <col min="37" max="38" width="12" bestFit="1" customWidth="1"/>
  </cols>
  <sheetData>
    <row r="1" spans="1:38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107</v>
      </c>
      <c r="AL1" t="s">
        <v>108</v>
      </c>
    </row>
    <row r="2" spans="1:38" x14ac:dyDescent="0.25">
      <c r="A2" t="s">
        <v>28</v>
      </c>
      <c r="B2" t="s">
        <v>29</v>
      </c>
      <c r="C2" t="s">
        <v>30</v>
      </c>
      <c r="D2">
        <v>0.5</v>
      </c>
      <c r="E2">
        <v>0.5</v>
      </c>
      <c r="F2">
        <v>0.5</v>
      </c>
      <c r="G2">
        <v>1.1200000000000001</v>
      </c>
      <c r="H2">
        <v>1.2410000000000001</v>
      </c>
      <c r="I2">
        <v>2.2839999999999998</v>
      </c>
      <c r="J2">
        <v>1.0289999999999999</v>
      </c>
      <c r="K2">
        <v>5.3810000000000002</v>
      </c>
      <c r="L2">
        <v>0.5</v>
      </c>
      <c r="M2">
        <v>2.5379999999999998</v>
      </c>
      <c r="N2">
        <v>0.5</v>
      </c>
      <c r="O2">
        <v>0.5</v>
      </c>
      <c r="P2">
        <v>0.5</v>
      </c>
      <c r="Q2">
        <v>0.5</v>
      </c>
      <c r="U2" t="s">
        <v>29</v>
      </c>
      <c r="V2" t="s">
        <v>30</v>
      </c>
      <c r="W2">
        <v>0.5</v>
      </c>
      <c r="X2">
        <v>0.5</v>
      </c>
      <c r="Y2">
        <v>0.5</v>
      </c>
      <c r="Z2">
        <v>1.8913333333333335</v>
      </c>
      <c r="AA2">
        <v>1.502</v>
      </c>
      <c r="AB2">
        <v>2.8546666666666667</v>
      </c>
      <c r="AC2">
        <v>1.1599999999999999</v>
      </c>
      <c r="AD2">
        <v>5.4933333333333332</v>
      </c>
      <c r="AE2">
        <v>0.5</v>
      </c>
      <c r="AF2">
        <v>2.1590000000000003</v>
      </c>
      <c r="AG2">
        <v>0.5</v>
      </c>
      <c r="AH2">
        <v>0.5</v>
      </c>
      <c r="AI2">
        <v>0.5</v>
      </c>
      <c r="AJ2">
        <v>0.5</v>
      </c>
      <c r="AK2">
        <f>SUM(W2:AJ2)</f>
        <v>19.060333333333332</v>
      </c>
      <c r="AL2">
        <f>SUM(W14:AJ14)</f>
        <v>3.0042623617983111</v>
      </c>
    </row>
    <row r="3" spans="1:38" x14ac:dyDescent="0.25">
      <c r="A3" t="s">
        <v>31</v>
      </c>
      <c r="B3" t="s">
        <v>29</v>
      </c>
      <c r="C3" t="s">
        <v>30</v>
      </c>
      <c r="D3">
        <v>0.5</v>
      </c>
      <c r="E3">
        <v>0.5</v>
      </c>
      <c r="F3">
        <v>0.5</v>
      </c>
      <c r="G3">
        <v>2.1760000000000002</v>
      </c>
      <c r="H3">
        <v>2.0339999999999998</v>
      </c>
      <c r="I3">
        <v>3.7330000000000001</v>
      </c>
      <c r="J3">
        <v>1.2989999999999999</v>
      </c>
      <c r="K3">
        <v>5.1630000000000003</v>
      </c>
      <c r="L3">
        <v>0.5</v>
      </c>
      <c r="M3">
        <v>1.5129999999999999</v>
      </c>
      <c r="N3">
        <v>0.5</v>
      </c>
      <c r="O3">
        <v>0.5</v>
      </c>
      <c r="P3">
        <v>0.5</v>
      </c>
      <c r="Q3">
        <v>0.5</v>
      </c>
      <c r="U3" t="s">
        <v>29</v>
      </c>
      <c r="V3" t="s">
        <v>61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1.407</v>
      </c>
      <c r="AD3">
        <v>0.5</v>
      </c>
      <c r="AE3">
        <v>0.5</v>
      </c>
      <c r="AF3">
        <v>0.5</v>
      </c>
      <c r="AG3">
        <v>0.5</v>
      </c>
      <c r="AH3">
        <v>0.5</v>
      </c>
      <c r="AI3">
        <v>0.5</v>
      </c>
      <c r="AJ3">
        <v>0.5</v>
      </c>
      <c r="AK3">
        <f t="shared" ref="AK3:AK10" si="0">SUM(W3:AJ3)</f>
        <v>7.907</v>
      </c>
      <c r="AL3">
        <f t="shared" ref="AL3:AL10" si="1">SUM(W15:AJ15)</f>
        <v>0.85571432148819415</v>
      </c>
    </row>
    <row r="4" spans="1:38" x14ac:dyDescent="0.25">
      <c r="A4" t="s">
        <v>32</v>
      </c>
      <c r="B4" t="s">
        <v>29</v>
      </c>
      <c r="C4" t="s">
        <v>30</v>
      </c>
      <c r="D4">
        <v>0.5</v>
      </c>
      <c r="E4">
        <v>0.5</v>
      </c>
      <c r="F4">
        <v>0.5</v>
      </c>
      <c r="G4">
        <v>2.3780000000000001</v>
      </c>
      <c r="H4">
        <v>1.2310000000000001</v>
      </c>
      <c r="I4">
        <v>2.5470000000000002</v>
      </c>
      <c r="J4">
        <v>1.1519999999999999</v>
      </c>
      <c r="K4">
        <v>5.9359999999999999</v>
      </c>
      <c r="L4">
        <v>0.5</v>
      </c>
      <c r="M4">
        <v>2.4260000000000002</v>
      </c>
      <c r="N4">
        <v>0.5</v>
      </c>
      <c r="O4">
        <v>0.5</v>
      </c>
      <c r="P4">
        <v>0.5</v>
      </c>
      <c r="Q4">
        <v>0.5</v>
      </c>
      <c r="U4" t="s">
        <v>29</v>
      </c>
      <c r="V4" t="s">
        <v>38</v>
      </c>
      <c r="W4">
        <v>1.542</v>
      </c>
      <c r="X4">
        <v>2.7673333333333332</v>
      </c>
      <c r="Y4">
        <v>0.5</v>
      </c>
      <c r="Z4">
        <v>2.6396666666666668</v>
      </c>
      <c r="AA4">
        <v>3.6816666666666666</v>
      </c>
      <c r="AB4">
        <v>5.8436666666666666</v>
      </c>
      <c r="AC4">
        <v>3.8210000000000002</v>
      </c>
      <c r="AD4">
        <v>5.5489999999999995</v>
      </c>
      <c r="AE4">
        <v>0.5</v>
      </c>
      <c r="AF4">
        <v>4.1486666666666672</v>
      </c>
      <c r="AG4">
        <v>0.5</v>
      </c>
      <c r="AH4">
        <v>0.5</v>
      </c>
      <c r="AI4">
        <v>0.5</v>
      </c>
      <c r="AJ4">
        <v>3.1326666666666667</v>
      </c>
      <c r="AK4">
        <f t="shared" si="0"/>
        <v>35.625666666666667</v>
      </c>
      <c r="AL4">
        <f t="shared" si="1"/>
        <v>8.574452065858738</v>
      </c>
    </row>
    <row r="5" spans="1:38" x14ac:dyDescent="0.25">
      <c r="A5" t="s">
        <v>33</v>
      </c>
      <c r="B5" t="s">
        <v>29</v>
      </c>
      <c r="C5" t="s">
        <v>34</v>
      </c>
      <c r="D5">
        <v>0.5</v>
      </c>
      <c r="E5">
        <v>0.5</v>
      </c>
      <c r="F5">
        <v>0.5</v>
      </c>
      <c r="G5">
        <v>0.5</v>
      </c>
      <c r="H5">
        <v>0.5</v>
      </c>
      <c r="I5">
        <v>0.5</v>
      </c>
      <c r="J5">
        <v>2.2000000000000002</v>
      </c>
      <c r="K5">
        <v>0.5</v>
      </c>
      <c r="L5">
        <v>0.5</v>
      </c>
      <c r="M5">
        <v>0.5</v>
      </c>
      <c r="N5">
        <v>0.5</v>
      </c>
      <c r="O5">
        <v>0.5</v>
      </c>
      <c r="P5">
        <v>0.5</v>
      </c>
      <c r="Q5">
        <v>0.5</v>
      </c>
      <c r="U5" t="s">
        <v>42</v>
      </c>
      <c r="V5" t="s">
        <v>30</v>
      </c>
      <c r="W5">
        <v>2.2143333333333333</v>
      </c>
      <c r="X5">
        <v>2.7930000000000006</v>
      </c>
      <c r="Y5">
        <v>0.5</v>
      </c>
      <c r="Z5">
        <v>2.7316666666666669</v>
      </c>
      <c r="AA5">
        <v>5.4939999999999998</v>
      </c>
      <c r="AB5">
        <v>3.1656666666666666</v>
      </c>
      <c r="AC5">
        <v>1.5703333333333334</v>
      </c>
      <c r="AD5">
        <v>5.5399999999999991</v>
      </c>
      <c r="AE5">
        <v>0.5</v>
      </c>
      <c r="AF5">
        <v>3.3123333333333331</v>
      </c>
      <c r="AG5">
        <v>0.5</v>
      </c>
      <c r="AH5">
        <v>5.9229999999999992</v>
      </c>
      <c r="AI5">
        <v>1.5603333333333333</v>
      </c>
      <c r="AJ5">
        <v>2.8940000000000001</v>
      </c>
      <c r="AK5">
        <f t="shared" si="0"/>
        <v>38.698666666666668</v>
      </c>
      <c r="AL5">
        <f t="shared" si="1"/>
        <v>7.3746883170420787</v>
      </c>
    </row>
    <row r="6" spans="1:38" x14ac:dyDescent="0.25">
      <c r="A6" t="s">
        <v>35</v>
      </c>
      <c r="B6" t="s">
        <v>29</v>
      </c>
      <c r="C6" t="s">
        <v>34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J6">
        <v>0.5</v>
      </c>
      <c r="K6">
        <v>0.5</v>
      </c>
      <c r="L6">
        <v>0.5</v>
      </c>
      <c r="M6">
        <v>0.5</v>
      </c>
      <c r="N6">
        <v>0.5</v>
      </c>
      <c r="O6">
        <v>0.5</v>
      </c>
      <c r="P6">
        <v>0.5</v>
      </c>
      <c r="Q6">
        <v>0.5</v>
      </c>
      <c r="U6" t="s">
        <v>42</v>
      </c>
      <c r="V6" t="s">
        <v>61</v>
      </c>
      <c r="W6">
        <v>0.5</v>
      </c>
      <c r="X6">
        <v>1.7686666666666666</v>
      </c>
      <c r="Y6">
        <v>0.5</v>
      </c>
      <c r="Z6">
        <v>1.2796666666666667</v>
      </c>
      <c r="AA6">
        <v>3.6199999999999997</v>
      </c>
      <c r="AB6">
        <v>3.8669999999999995</v>
      </c>
      <c r="AC6">
        <v>0.5</v>
      </c>
      <c r="AD6">
        <v>4.319</v>
      </c>
      <c r="AE6">
        <v>0.5</v>
      </c>
      <c r="AF6">
        <v>0.5</v>
      </c>
      <c r="AG6">
        <v>0.5</v>
      </c>
      <c r="AH6">
        <v>0.5</v>
      </c>
      <c r="AI6">
        <v>0.5</v>
      </c>
      <c r="AJ6">
        <v>0.5</v>
      </c>
      <c r="AK6">
        <f t="shared" si="0"/>
        <v>19.354333333333333</v>
      </c>
      <c r="AL6">
        <f t="shared" si="1"/>
        <v>6.3502845777509149</v>
      </c>
    </row>
    <row r="7" spans="1:38" x14ac:dyDescent="0.25">
      <c r="A7" t="s">
        <v>36</v>
      </c>
      <c r="B7" t="s">
        <v>29</v>
      </c>
      <c r="C7" t="s">
        <v>34</v>
      </c>
      <c r="D7">
        <v>0.5</v>
      </c>
      <c r="E7">
        <v>0.5</v>
      </c>
      <c r="F7">
        <v>0.5</v>
      </c>
      <c r="G7">
        <v>0.5</v>
      </c>
      <c r="H7">
        <v>0.5</v>
      </c>
      <c r="I7">
        <v>0.5</v>
      </c>
      <c r="J7">
        <v>1.5209999999999999</v>
      </c>
      <c r="K7">
        <v>0.5</v>
      </c>
      <c r="L7">
        <v>0.5</v>
      </c>
      <c r="M7">
        <v>0.5</v>
      </c>
      <c r="N7">
        <v>0.5</v>
      </c>
      <c r="O7">
        <v>0.5</v>
      </c>
      <c r="P7">
        <v>0.5</v>
      </c>
      <c r="Q7">
        <v>0.5</v>
      </c>
      <c r="U7" t="s">
        <v>42</v>
      </c>
      <c r="V7" t="s">
        <v>38</v>
      </c>
      <c r="W7">
        <v>1.87</v>
      </c>
      <c r="X7">
        <v>4.432666666666667</v>
      </c>
      <c r="Y7">
        <v>0.5</v>
      </c>
      <c r="Z7">
        <v>2.3759999999999999</v>
      </c>
      <c r="AA7">
        <v>5.8323333333333336</v>
      </c>
      <c r="AB7">
        <v>5.3816666666666668</v>
      </c>
      <c r="AC7">
        <v>3.4523333333333333</v>
      </c>
      <c r="AD7">
        <v>5.6186666666666669</v>
      </c>
      <c r="AE7">
        <v>0.5</v>
      </c>
      <c r="AF7">
        <v>1.2400000000000002</v>
      </c>
      <c r="AG7">
        <v>3.5686666666666667</v>
      </c>
      <c r="AH7">
        <v>6.1656666666666666</v>
      </c>
      <c r="AI7">
        <v>2.3516666666666666</v>
      </c>
      <c r="AJ7">
        <v>4.4316666666666666</v>
      </c>
      <c r="AK7">
        <f t="shared" si="0"/>
        <v>47.721333333333327</v>
      </c>
      <c r="AL7">
        <f t="shared" si="1"/>
        <v>7.7193351623696893</v>
      </c>
    </row>
    <row r="8" spans="1:38" x14ac:dyDescent="0.25">
      <c r="A8" t="s">
        <v>37</v>
      </c>
      <c r="B8" t="s">
        <v>29</v>
      </c>
      <c r="C8" t="s">
        <v>38</v>
      </c>
      <c r="D8">
        <v>2.1030000000000002</v>
      </c>
      <c r="E8">
        <v>2.335</v>
      </c>
      <c r="F8">
        <v>0.5</v>
      </c>
      <c r="G8">
        <v>2.4740000000000002</v>
      </c>
      <c r="H8">
        <v>5.14</v>
      </c>
      <c r="I8">
        <v>5.2640000000000002</v>
      </c>
      <c r="J8">
        <v>3.8140000000000001</v>
      </c>
      <c r="K8">
        <v>5.3559999999999999</v>
      </c>
      <c r="L8">
        <v>0.5</v>
      </c>
      <c r="M8">
        <v>3.48</v>
      </c>
      <c r="N8">
        <v>0.5</v>
      </c>
      <c r="O8">
        <v>0.5</v>
      </c>
      <c r="P8">
        <v>0.5</v>
      </c>
      <c r="Q8">
        <v>3.8239999999999998</v>
      </c>
      <c r="U8" t="s">
        <v>52</v>
      </c>
      <c r="V8" t="s">
        <v>30</v>
      </c>
      <c r="W8">
        <v>2.9503333333333335</v>
      </c>
      <c r="X8">
        <v>3.1516666666666668</v>
      </c>
      <c r="Y8">
        <v>2.855</v>
      </c>
      <c r="Z8">
        <v>2.5113333333333334</v>
      </c>
      <c r="AA8">
        <v>6.1026666666666669</v>
      </c>
      <c r="AB8">
        <v>4.7093333333333334</v>
      </c>
      <c r="AC8">
        <v>2.7416666666666667</v>
      </c>
      <c r="AD8">
        <v>5.9433333333333325</v>
      </c>
      <c r="AE8">
        <v>1.8763333333333332</v>
      </c>
      <c r="AF8">
        <v>3.9603333333333333</v>
      </c>
      <c r="AG8">
        <v>5.301000000000001</v>
      </c>
      <c r="AH8">
        <v>5.9676666666666671</v>
      </c>
      <c r="AI8">
        <v>2.718666666666667</v>
      </c>
      <c r="AJ8">
        <v>4.6520000000000001</v>
      </c>
      <c r="AK8">
        <f t="shared" si="0"/>
        <v>55.441333333333333</v>
      </c>
      <c r="AL8">
        <f t="shared" si="1"/>
        <v>6.4406706369280888</v>
      </c>
    </row>
    <row r="9" spans="1:38" x14ac:dyDescent="0.25">
      <c r="A9" t="s">
        <v>39</v>
      </c>
      <c r="B9" t="s">
        <v>29</v>
      </c>
      <c r="C9" t="s">
        <v>38</v>
      </c>
      <c r="D9">
        <v>0.5</v>
      </c>
      <c r="E9">
        <v>3.2040000000000002</v>
      </c>
      <c r="F9">
        <v>0.5</v>
      </c>
      <c r="G9">
        <v>3.2879999999999998</v>
      </c>
      <c r="H9">
        <v>0.5</v>
      </c>
      <c r="I9">
        <v>6.7350000000000003</v>
      </c>
      <c r="J9">
        <v>2.375</v>
      </c>
      <c r="K9">
        <v>5.8339999999999996</v>
      </c>
      <c r="L9">
        <v>0.5</v>
      </c>
      <c r="M9">
        <v>4.1660000000000004</v>
      </c>
      <c r="N9">
        <v>0.5</v>
      </c>
      <c r="O9">
        <v>0.5</v>
      </c>
      <c r="P9">
        <v>0.5</v>
      </c>
      <c r="Q9">
        <v>2.3359999999999999</v>
      </c>
      <c r="U9" t="s">
        <v>52</v>
      </c>
      <c r="V9" t="s">
        <v>61</v>
      </c>
      <c r="W9">
        <v>2.2269999999999999</v>
      </c>
      <c r="X9">
        <v>2.4296666666666664</v>
      </c>
      <c r="Y9">
        <v>0.5</v>
      </c>
      <c r="Z9">
        <v>2.5646666666666667</v>
      </c>
      <c r="AA9">
        <v>5.8043333333333331</v>
      </c>
      <c r="AB9">
        <v>6.1640000000000006</v>
      </c>
      <c r="AC9">
        <v>2.5430000000000001</v>
      </c>
      <c r="AD9">
        <v>6.0363333333333342</v>
      </c>
      <c r="AE9">
        <v>0.5</v>
      </c>
      <c r="AF9">
        <v>2.8026666666666666</v>
      </c>
      <c r="AG9">
        <v>4.1133333333333333</v>
      </c>
      <c r="AH9">
        <v>5.637666666666667</v>
      </c>
      <c r="AI9">
        <v>1.8473333333333333</v>
      </c>
      <c r="AJ9">
        <v>3.1950000000000003</v>
      </c>
      <c r="AK9">
        <f t="shared" si="0"/>
        <v>46.365000000000002</v>
      </c>
      <c r="AL9">
        <f t="shared" si="1"/>
        <v>8.3723028976382885</v>
      </c>
    </row>
    <row r="10" spans="1:38" x14ac:dyDescent="0.25">
      <c r="A10" t="s">
        <v>40</v>
      </c>
      <c r="B10" t="s">
        <v>29</v>
      </c>
      <c r="C10" t="s">
        <v>38</v>
      </c>
      <c r="D10">
        <v>2.0230000000000001</v>
      </c>
      <c r="E10">
        <v>2.7629999999999999</v>
      </c>
      <c r="F10">
        <v>0.5</v>
      </c>
      <c r="G10">
        <v>2.157</v>
      </c>
      <c r="H10">
        <v>5.4050000000000002</v>
      </c>
      <c r="I10">
        <v>5.532</v>
      </c>
      <c r="J10">
        <v>5.274</v>
      </c>
      <c r="K10">
        <v>5.4569999999999999</v>
      </c>
      <c r="L10">
        <v>0.5</v>
      </c>
      <c r="M10">
        <v>4.8</v>
      </c>
      <c r="N10">
        <v>0.5</v>
      </c>
      <c r="O10">
        <v>0.5</v>
      </c>
      <c r="P10">
        <v>0.5</v>
      </c>
      <c r="Q10">
        <v>3.238</v>
      </c>
      <c r="U10" t="s">
        <v>52</v>
      </c>
      <c r="V10" t="s">
        <v>38</v>
      </c>
      <c r="W10">
        <v>5.2746666666666666</v>
      </c>
      <c r="X10">
        <v>6.448666666666667</v>
      </c>
      <c r="Y10">
        <v>4.6343333333333332</v>
      </c>
      <c r="Z10">
        <v>4.8306666666666667</v>
      </c>
      <c r="AA10">
        <v>7.1000000000000005</v>
      </c>
      <c r="AB10">
        <v>8.01</v>
      </c>
      <c r="AC10">
        <v>5.956666666666667</v>
      </c>
      <c r="AD10">
        <v>6.4470000000000001</v>
      </c>
      <c r="AE10">
        <v>2.6983333333333337</v>
      </c>
      <c r="AF10">
        <v>5.9740000000000002</v>
      </c>
      <c r="AG10">
        <v>5.8746666666666663</v>
      </c>
      <c r="AH10">
        <v>7.2079999999999993</v>
      </c>
      <c r="AI10">
        <v>3.170666666666667</v>
      </c>
      <c r="AJ10">
        <v>4.7396666666666665</v>
      </c>
      <c r="AK10">
        <f t="shared" si="0"/>
        <v>78.36733333333332</v>
      </c>
      <c r="AL10">
        <f t="shared" si="1"/>
        <v>10.256927058511492</v>
      </c>
    </row>
    <row r="11" spans="1:38" x14ac:dyDescent="0.25">
      <c r="A11" t="s">
        <v>41</v>
      </c>
      <c r="B11" t="s">
        <v>42</v>
      </c>
      <c r="C11" t="s">
        <v>30</v>
      </c>
      <c r="D11">
        <v>2.0459999999999998</v>
      </c>
      <c r="E11">
        <v>3.6360000000000001</v>
      </c>
      <c r="F11">
        <v>0.5</v>
      </c>
      <c r="G11">
        <v>1.9830000000000001</v>
      </c>
      <c r="H11">
        <v>5.35</v>
      </c>
      <c r="I11">
        <v>3.536</v>
      </c>
      <c r="J11">
        <v>0.5</v>
      </c>
      <c r="K11">
        <v>6.0229999999999997</v>
      </c>
      <c r="L11">
        <v>0.5</v>
      </c>
      <c r="M11">
        <v>3.411</v>
      </c>
      <c r="N11">
        <v>0.5</v>
      </c>
      <c r="O11">
        <v>6.5890000000000004</v>
      </c>
      <c r="P11">
        <v>2.0409999999999999</v>
      </c>
      <c r="Q11">
        <v>1.9410000000000001</v>
      </c>
    </row>
    <row r="12" spans="1:38" x14ac:dyDescent="0.25">
      <c r="A12" t="s">
        <v>43</v>
      </c>
      <c r="B12" t="s">
        <v>42</v>
      </c>
      <c r="C12" t="s">
        <v>30</v>
      </c>
      <c r="D12">
        <v>2.3290000000000002</v>
      </c>
      <c r="E12">
        <v>3.3889999999999998</v>
      </c>
      <c r="F12">
        <v>0.5</v>
      </c>
      <c r="G12">
        <v>3.8340000000000001</v>
      </c>
      <c r="H12">
        <v>5.7380000000000004</v>
      </c>
      <c r="I12">
        <v>2.024</v>
      </c>
      <c r="J12">
        <v>3.0129999999999999</v>
      </c>
      <c r="K12">
        <v>5.3540000000000001</v>
      </c>
      <c r="L12">
        <v>0.5</v>
      </c>
      <c r="M12">
        <v>3.222</v>
      </c>
      <c r="N12">
        <v>0.5</v>
      </c>
      <c r="O12">
        <v>5.55</v>
      </c>
      <c r="P12">
        <v>1.046</v>
      </c>
      <c r="Q12">
        <v>3.0459999999999998</v>
      </c>
    </row>
    <row r="13" spans="1:38" x14ac:dyDescent="0.25">
      <c r="A13" t="s">
        <v>44</v>
      </c>
      <c r="B13" t="s">
        <v>42</v>
      </c>
      <c r="C13" t="s">
        <v>30</v>
      </c>
      <c r="D13">
        <v>2.2679999999999998</v>
      </c>
      <c r="E13">
        <v>1.3540000000000001</v>
      </c>
      <c r="F13">
        <v>0.5</v>
      </c>
      <c r="G13">
        <v>2.3780000000000001</v>
      </c>
      <c r="H13">
        <v>5.3940000000000001</v>
      </c>
      <c r="I13">
        <v>3.9369999999999998</v>
      </c>
      <c r="J13">
        <v>1.198</v>
      </c>
      <c r="K13">
        <v>5.2430000000000003</v>
      </c>
      <c r="L13">
        <v>0.5</v>
      </c>
      <c r="M13">
        <v>3.3039999999999998</v>
      </c>
      <c r="N13">
        <v>0.5</v>
      </c>
      <c r="O13">
        <v>5.63</v>
      </c>
      <c r="P13">
        <v>1.5940000000000001</v>
      </c>
      <c r="Q13">
        <v>3.6949999999999998</v>
      </c>
      <c r="U13" t="s">
        <v>12</v>
      </c>
      <c r="V13" t="s">
        <v>13</v>
      </c>
      <c r="W13" t="s">
        <v>14</v>
      </c>
      <c r="X13" t="s">
        <v>15</v>
      </c>
      <c r="Y13" t="s">
        <v>16</v>
      </c>
      <c r="Z13" t="s">
        <v>17</v>
      </c>
      <c r="AA13" t="s">
        <v>18</v>
      </c>
      <c r="AB13" t="s">
        <v>19</v>
      </c>
      <c r="AC13" t="s">
        <v>20</v>
      </c>
      <c r="AD13" t="s">
        <v>21</v>
      </c>
      <c r="AE13" t="s">
        <v>22</v>
      </c>
      <c r="AF13" t="s">
        <v>23</v>
      </c>
      <c r="AG13" t="s">
        <v>24</v>
      </c>
      <c r="AH13" t="s">
        <v>25</v>
      </c>
      <c r="AI13" t="s">
        <v>26</v>
      </c>
      <c r="AJ13" t="s">
        <v>27</v>
      </c>
    </row>
    <row r="14" spans="1:38" x14ac:dyDescent="0.25">
      <c r="A14" t="s">
        <v>45</v>
      </c>
      <c r="B14" t="s">
        <v>42</v>
      </c>
      <c r="C14" t="s">
        <v>34</v>
      </c>
      <c r="D14">
        <v>0.5</v>
      </c>
      <c r="E14">
        <v>2.06</v>
      </c>
      <c r="F14">
        <v>0.5</v>
      </c>
      <c r="G14">
        <v>2.1280000000000001</v>
      </c>
      <c r="H14">
        <v>5.3010000000000002</v>
      </c>
      <c r="I14">
        <v>3.3820000000000001</v>
      </c>
      <c r="J14">
        <v>0.5</v>
      </c>
      <c r="K14">
        <v>2</v>
      </c>
      <c r="L14">
        <v>0.5</v>
      </c>
      <c r="M14">
        <v>0.5</v>
      </c>
      <c r="N14">
        <v>0.5</v>
      </c>
      <c r="O14">
        <v>0.5</v>
      </c>
      <c r="P14">
        <v>0.5</v>
      </c>
      <c r="Q14">
        <v>0.5</v>
      </c>
      <c r="U14" t="s">
        <v>29</v>
      </c>
      <c r="V14" t="s">
        <v>30</v>
      </c>
      <c r="W14">
        <f>STDEV(D2:D4)</f>
        <v>0</v>
      </c>
      <c r="X14">
        <f t="shared" ref="X14:AL14" si="2">STDEV(E2:E4)</f>
        <v>0</v>
      </c>
      <c r="Y14">
        <f t="shared" si="2"/>
        <v>0</v>
      </c>
      <c r="Z14">
        <f t="shared" si="2"/>
        <v>0.6755866586407212</v>
      </c>
      <c r="AA14">
        <f t="shared" si="2"/>
        <v>0.46075264513619385</v>
      </c>
      <c r="AB14">
        <f t="shared" si="2"/>
        <v>0.77194192354952051</v>
      </c>
      <c r="AC14">
        <f t="shared" si="2"/>
        <v>0.13517766087634453</v>
      </c>
      <c r="AD14">
        <f t="shared" si="2"/>
        <v>0.39855530774703429</v>
      </c>
      <c r="AE14">
        <f t="shared" si="2"/>
        <v>0</v>
      </c>
      <c r="AF14">
        <f t="shared" si="2"/>
        <v>0.56224816584849724</v>
      </c>
      <c r="AG14">
        <f t="shared" si="2"/>
        <v>0</v>
      </c>
      <c r="AH14">
        <f t="shared" si="2"/>
        <v>0</v>
      </c>
      <c r="AI14">
        <f t="shared" si="2"/>
        <v>0</v>
      </c>
      <c r="AJ14">
        <f t="shared" si="2"/>
        <v>0</v>
      </c>
    </row>
    <row r="15" spans="1:38" x14ac:dyDescent="0.25">
      <c r="A15" t="s">
        <v>46</v>
      </c>
      <c r="B15" t="s">
        <v>42</v>
      </c>
      <c r="C15" t="s">
        <v>34</v>
      </c>
      <c r="D15">
        <v>0.5</v>
      </c>
      <c r="E15">
        <v>1.8220000000000001</v>
      </c>
      <c r="F15">
        <v>0.5</v>
      </c>
      <c r="G15">
        <v>0.5</v>
      </c>
      <c r="H15">
        <v>0.5</v>
      </c>
      <c r="I15">
        <v>4.2729999999999997</v>
      </c>
      <c r="J15">
        <v>0.5</v>
      </c>
      <c r="K15">
        <v>5.032</v>
      </c>
      <c r="L15">
        <v>0.5</v>
      </c>
      <c r="M15">
        <v>0.5</v>
      </c>
      <c r="N15">
        <v>0.5</v>
      </c>
      <c r="O15">
        <v>0.5</v>
      </c>
      <c r="P15">
        <v>0.5</v>
      </c>
      <c r="Q15">
        <v>0.5</v>
      </c>
      <c r="U15" t="s">
        <v>29</v>
      </c>
      <c r="V15" t="s">
        <v>61</v>
      </c>
      <c r="W15">
        <f>STDEV(D5:D7)</f>
        <v>0</v>
      </c>
      <c r="X15">
        <f t="shared" ref="X15:AL15" si="3">STDEV(E5:E7)</f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0.85571432148819415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</row>
    <row r="16" spans="1:38" x14ac:dyDescent="0.25">
      <c r="A16" t="s">
        <v>47</v>
      </c>
      <c r="B16" t="s">
        <v>42</v>
      </c>
      <c r="C16" t="s">
        <v>34</v>
      </c>
      <c r="D16">
        <v>0.5</v>
      </c>
      <c r="E16">
        <v>1.4239999999999999</v>
      </c>
      <c r="F16">
        <v>0.5</v>
      </c>
      <c r="G16">
        <v>1.2110000000000001</v>
      </c>
      <c r="H16">
        <v>5.0590000000000002</v>
      </c>
      <c r="I16">
        <v>3.9460000000000002</v>
      </c>
      <c r="J16">
        <v>0.5</v>
      </c>
      <c r="K16">
        <v>5.9249999999999998</v>
      </c>
      <c r="L16">
        <v>0.5</v>
      </c>
      <c r="M16">
        <v>0.5</v>
      </c>
      <c r="N16">
        <v>0.5</v>
      </c>
      <c r="O16">
        <v>0.5</v>
      </c>
      <c r="P16">
        <v>0.5</v>
      </c>
      <c r="Q16">
        <v>0.5</v>
      </c>
      <c r="U16" t="s">
        <v>29</v>
      </c>
      <c r="V16" t="s">
        <v>38</v>
      </c>
      <c r="W16">
        <f>STDEV(D8:D10)</f>
        <v>0.90328456202904284</v>
      </c>
      <c r="X16">
        <f t="shared" ref="X16:AL16" si="4">STDEV(E8:E10)</f>
        <v>0.43451620606524399</v>
      </c>
      <c r="Y16">
        <f t="shared" si="4"/>
        <v>0</v>
      </c>
      <c r="Z16">
        <f t="shared" si="4"/>
        <v>0.58341608936789968</v>
      </c>
      <c r="AA16">
        <f t="shared" si="4"/>
        <v>2.7585881050518091</v>
      </c>
      <c r="AB16">
        <f t="shared" si="4"/>
        <v>0.78346176252153465</v>
      </c>
      <c r="AC16">
        <f t="shared" si="4"/>
        <v>1.4495126767296642</v>
      </c>
      <c r="AD16">
        <f t="shared" si="4"/>
        <v>0.25193054598440406</v>
      </c>
      <c r="AE16">
        <f t="shared" si="4"/>
        <v>0</v>
      </c>
      <c r="AF16">
        <f t="shared" si="4"/>
        <v>0.66017068499997045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0.7495714331091694</v>
      </c>
    </row>
    <row r="17" spans="1:36" x14ac:dyDescent="0.25">
      <c r="A17" t="s">
        <v>48</v>
      </c>
      <c r="B17" t="s">
        <v>42</v>
      </c>
      <c r="C17" t="s">
        <v>38</v>
      </c>
      <c r="D17">
        <v>1.143</v>
      </c>
      <c r="E17">
        <v>3.6739999999999999</v>
      </c>
      <c r="F17">
        <v>0.5</v>
      </c>
      <c r="G17">
        <v>2.036</v>
      </c>
      <c r="H17">
        <v>5.734</v>
      </c>
      <c r="I17">
        <v>4.9349999999999996</v>
      </c>
      <c r="J17">
        <v>3.5779999999999998</v>
      </c>
      <c r="K17">
        <v>5.3289999999999997</v>
      </c>
      <c r="L17">
        <v>0.5</v>
      </c>
      <c r="M17">
        <v>1.431</v>
      </c>
      <c r="N17">
        <v>5.1840000000000002</v>
      </c>
      <c r="O17">
        <v>6.6840000000000002</v>
      </c>
      <c r="P17">
        <v>2.347</v>
      </c>
      <c r="Q17">
        <v>4.3470000000000004</v>
      </c>
      <c r="U17" t="s">
        <v>42</v>
      </c>
      <c r="V17" t="s">
        <v>30</v>
      </c>
      <c r="W17">
        <f>STDEV(D11:D13)</f>
        <v>0.14893734700649591</v>
      </c>
      <c r="X17">
        <f t="shared" ref="X17:AL17" si="5">STDEV(E11:E13)</f>
        <v>1.2523150562059036</v>
      </c>
      <c r="Y17">
        <f t="shared" si="5"/>
        <v>0</v>
      </c>
      <c r="Z17">
        <f t="shared" si="5"/>
        <v>0.97486426405594151</v>
      </c>
      <c r="AA17">
        <f t="shared" si="5"/>
        <v>0.21245234759823234</v>
      </c>
      <c r="AB17">
        <f t="shared" si="5"/>
        <v>1.0088371193276604</v>
      </c>
      <c r="AC17">
        <f t="shared" si="5"/>
        <v>1.2972148370001526</v>
      </c>
      <c r="AD17">
        <f t="shared" si="5"/>
        <v>0.42195615886013532</v>
      </c>
      <c r="AE17">
        <f t="shared" si="5"/>
        <v>0</v>
      </c>
      <c r="AF17">
        <f t="shared" si="5"/>
        <v>9.4775172557655316E-2</v>
      </c>
      <c r="AG17">
        <f t="shared" si="5"/>
        <v>0</v>
      </c>
      <c r="AH17">
        <f t="shared" si="5"/>
        <v>0.57815828282573312</v>
      </c>
      <c r="AI17">
        <f t="shared" si="5"/>
        <v>0.49835362277536693</v>
      </c>
      <c r="AJ17">
        <f t="shared" si="5"/>
        <v>0.88682410882880192</v>
      </c>
    </row>
    <row r="18" spans="1:36" x14ac:dyDescent="0.25">
      <c r="A18" t="s">
        <v>49</v>
      </c>
      <c r="B18" t="s">
        <v>42</v>
      </c>
      <c r="C18" t="s">
        <v>38</v>
      </c>
      <c r="D18">
        <v>2.2440000000000002</v>
      </c>
      <c r="E18">
        <v>4.87</v>
      </c>
      <c r="F18">
        <v>0.5</v>
      </c>
      <c r="G18">
        <v>2.74</v>
      </c>
      <c r="H18">
        <v>5.8929999999999998</v>
      </c>
      <c r="I18">
        <v>5.3630000000000004</v>
      </c>
      <c r="J18">
        <v>3.2789999999999999</v>
      </c>
      <c r="K18">
        <v>5.2359999999999998</v>
      </c>
      <c r="L18">
        <v>0.5</v>
      </c>
      <c r="M18">
        <v>1.2430000000000001</v>
      </c>
      <c r="N18">
        <v>0.5</v>
      </c>
      <c r="O18">
        <v>5.9909999999999997</v>
      </c>
      <c r="P18">
        <v>3.5</v>
      </c>
      <c r="Q18">
        <v>4.1399999999999997</v>
      </c>
      <c r="U18" t="s">
        <v>42</v>
      </c>
      <c r="V18" t="s">
        <v>61</v>
      </c>
      <c r="W18">
        <f>STDEV(D14:D16)</f>
        <v>0</v>
      </c>
      <c r="X18">
        <f t="shared" ref="X18:AL18" si="6">STDEV(E14:E16)</f>
        <v>0.32133679112938912</v>
      </c>
      <c r="Y18">
        <f t="shared" si="6"/>
        <v>0</v>
      </c>
      <c r="Z18">
        <f t="shared" si="6"/>
        <v>0.81616930433172574</v>
      </c>
      <c r="AA18">
        <f t="shared" si="6"/>
        <v>2.7047071930247837</v>
      </c>
      <c r="AB18">
        <f t="shared" si="6"/>
        <v>0.45072275292024011</v>
      </c>
      <c r="AC18">
        <f t="shared" si="6"/>
        <v>0</v>
      </c>
      <c r="AD18">
        <f t="shared" si="6"/>
        <v>2.0573485363447768</v>
      </c>
      <c r="AE18">
        <f t="shared" si="6"/>
        <v>0</v>
      </c>
      <c r="AF18">
        <f t="shared" si="6"/>
        <v>0</v>
      </c>
      <c r="AG18">
        <f t="shared" si="6"/>
        <v>0</v>
      </c>
      <c r="AH18">
        <f t="shared" si="6"/>
        <v>0</v>
      </c>
      <c r="AI18">
        <f t="shared" si="6"/>
        <v>0</v>
      </c>
      <c r="AJ18">
        <f t="shared" si="6"/>
        <v>0</v>
      </c>
    </row>
    <row r="19" spans="1:36" x14ac:dyDescent="0.25">
      <c r="A19" t="s">
        <v>50</v>
      </c>
      <c r="B19" t="s">
        <v>42</v>
      </c>
      <c r="C19" t="s">
        <v>38</v>
      </c>
      <c r="D19">
        <v>2.2229999999999999</v>
      </c>
      <c r="E19">
        <v>4.7539999999999996</v>
      </c>
      <c r="F19">
        <v>0.5</v>
      </c>
      <c r="G19">
        <v>2.3519999999999999</v>
      </c>
      <c r="H19">
        <v>5.87</v>
      </c>
      <c r="I19">
        <v>5.8470000000000004</v>
      </c>
      <c r="J19">
        <v>3.5</v>
      </c>
      <c r="K19">
        <v>6.2910000000000004</v>
      </c>
      <c r="L19">
        <v>0.5</v>
      </c>
      <c r="M19">
        <v>1.046</v>
      </c>
      <c r="N19">
        <v>5.0220000000000002</v>
      </c>
      <c r="O19">
        <v>5.8220000000000001</v>
      </c>
      <c r="P19">
        <v>1.208</v>
      </c>
      <c r="Q19">
        <v>4.8079999999999998</v>
      </c>
      <c r="U19" t="s">
        <v>42</v>
      </c>
      <c r="V19" t="s">
        <v>38</v>
      </c>
      <c r="W19">
        <f>STDEV(D17:D19)</f>
        <v>0.62968801798986052</v>
      </c>
      <c r="X19">
        <f t="shared" ref="X19:AL19" si="7">STDEV(E17:E19)</f>
        <v>0.65957966412961166</v>
      </c>
      <c r="Y19">
        <f t="shared" si="7"/>
        <v>0</v>
      </c>
      <c r="Z19">
        <f t="shared" si="7"/>
        <v>0.35261310242247285</v>
      </c>
      <c r="AA19">
        <f t="shared" si="7"/>
        <v>8.5932143772475073E-2</v>
      </c>
      <c r="AB19">
        <f t="shared" si="7"/>
        <v>0.4562864597304348</v>
      </c>
      <c r="AC19">
        <f t="shared" si="7"/>
        <v>0.15509459479083509</v>
      </c>
      <c r="AD19">
        <f t="shared" si="7"/>
        <v>0.58411157609940734</v>
      </c>
      <c r="AE19">
        <f t="shared" si="7"/>
        <v>0</v>
      </c>
      <c r="AF19">
        <f t="shared" si="7"/>
        <v>0.19251753166919358</v>
      </c>
      <c r="AG19">
        <f t="shared" si="7"/>
        <v>2.6587774132735023</v>
      </c>
      <c r="AH19">
        <f t="shared" si="7"/>
        <v>0.45677383170813701</v>
      </c>
      <c r="AI19">
        <f t="shared" si="7"/>
        <v>1.1460071262140279</v>
      </c>
      <c r="AJ19">
        <f t="shared" si="7"/>
        <v>0.34195370056973112</v>
      </c>
    </row>
    <row r="20" spans="1:36" x14ac:dyDescent="0.25">
      <c r="A20" t="s">
        <v>51</v>
      </c>
      <c r="B20" t="s">
        <v>52</v>
      </c>
      <c r="C20" t="s">
        <v>30</v>
      </c>
      <c r="D20">
        <v>3.1230000000000002</v>
      </c>
      <c r="E20">
        <v>2.5219999999999998</v>
      </c>
      <c r="F20">
        <v>3.1469999999999998</v>
      </c>
      <c r="G20">
        <v>2.8450000000000002</v>
      </c>
      <c r="H20">
        <v>6.3849999999999998</v>
      </c>
      <c r="I20">
        <v>4.3449999999999998</v>
      </c>
      <c r="J20">
        <v>2.0219999999999998</v>
      </c>
      <c r="K20">
        <v>5.9359999999999999</v>
      </c>
      <c r="L20">
        <v>1.732</v>
      </c>
      <c r="M20">
        <v>4.2610000000000001</v>
      </c>
      <c r="N20">
        <v>5.1950000000000003</v>
      </c>
      <c r="O20">
        <v>6.1950000000000003</v>
      </c>
      <c r="P20">
        <v>3.17</v>
      </c>
      <c r="Q20">
        <v>4.17</v>
      </c>
      <c r="U20" t="s">
        <v>52</v>
      </c>
      <c r="V20" t="s">
        <v>30</v>
      </c>
      <c r="W20">
        <f>STDEV(D20:D22)</f>
        <v>0.16911928728957365</v>
      </c>
      <c r="X20">
        <f t="shared" ref="X20:AL20" si="8">STDEV(E20:E22)</f>
        <v>0.54562105286850116</v>
      </c>
      <c r="Y20">
        <f t="shared" si="8"/>
        <v>0.3338742278164038</v>
      </c>
      <c r="Z20">
        <f t="shared" si="8"/>
        <v>1.0221938824573986</v>
      </c>
      <c r="AA20">
        <f t="shared" si="8"/>
        <v>0.2454512850512974</v>
      </c>
      <c r="AB20">
        <f t="shared" si="8"/>
        <v>0.71220526067513112</v>
      </c>
      <c r="AC20">
        <f t="shared" si="8"/>
        <v>0.77078034052078381</v>
      </c>
      <c r="AD20">
        <f t="shared" si="8"/>
        <v>0.41504859153276663</v>
      </c>
      <c r="AE20">
        <f t="shared" si="8"/>
        <v>0.12718621518597578</v>
      </c>
      <c r="AF20">
        <f t="shared" si="8"/>
        <v>0.55842307736458707</v>
      </c>
      <c r="AG20">
        <f t="shared" si="8"/>
        <v>0.24578649271267913</v>
      </c>
      <c r="AH20">
        <f t="shared" si="8"/>
        <v>0.33577422970402826</v>
      </c>
      <c r="AI20">
        <f t="shared" si="8"/>
        <v>0.54097350520458121</v>
      </c>
      <c r="AJ20">
        <f t="shared" si="8"/>
        <v>0.41823318854438124</v>
      </c>
    </row>
    <row r="21" spans="1:36" x14ac:dyDescent="0.25">
      <c r="A21" t="s">
        <v>53</v>
      </c>
      <c r="B21" t="s">
        <v>52</v>
      </c>
      <c r="C21" t="s">
        <v>30</v>
      </c>
      <c r="D21">
        <v>2.9430000000000001</v>
      </c>
      <c r="E21">
        <v>3.448</v>
      </c>
      <c r="F21">
        <v>2.927</v>
      </c>
      <c r="G21">
        <v>1.3640000000000001</v>
      </c>
      <c r="H21">
        <v>5.94</v>
      </c>
      <c r="I21">
        <v>4.2530000000000001</v>
      </c>
      <c r="J21">
        <v>3.5550000000000002</v>
      </c>
      <c r="K21">
        <v>5.532</v>
      </c>
      <c r="L21">
        <v>1.925</v>
      </c>
      <c r="M21">
        <v>3.3159999999999998</v>
      </c>
      <c r="N21">
        <v>5.1260000000000003</v>
      </c>
      <c r="O21">
        <v>6.1260000000000003</v>
      </c>
      <c r="P21">
        <v>2.867</v>
      </c>
      <c r="Q21">
        <v>4.867</v>
      </c>
      <c r="U21" t="s">
        <v>52</v>
      </c>
      <c r="V21" t="s">
        <v>61</v>
      </c>
      <c r="W21">
        <f>STDEV(D23:D25)</f>
        <v>0.9555459172640528</v>
      </c>
      <c r="X21">
        <f t="shared" ref="X21:AL21" si="9">STDEV(E23:E25)</f>
        <v>0.7389569225153354</v>
      </c>
      <c r="Y21">
        <f t="shared" si="9"/>
        <v>0</v>
      </c>
      <c r="Z21">
        <f t="shared" si="9"/>
        <v>0.68726001872168929</v>
      </c>
      <c r="AA21">
        <f t="shared" si="9"/>
        <v>0.58550946476836152</v>
      </c>
      <c r="AB21">
        <f t="shared" si="9"/>
        <v>0.35395479937415758</v>
      </c>
      <c r="AC21">
        <f t="shared" si="9"/>
        <v>0.36249551721365991</v>
      </c>
      <c r="AD21">
        <f t="shared" si="9"/>
        <v>0.70614469716435113</v>
      </c>
      <c r="AE21">
        <f t="shared" si="9"/>
        <v>0</v>
      </c>
      <c r="AF21">
        <f t="shared" si="9"/>
        <v>0.59530272411046037</v>
      </c>
      <c r="AG21">
        <f t="shared" si="9"/>
        <v>1.8302006265252273</v>
      </c>
      <c r="AH21">
        <f t="shared" si="9"/>
        <v>5.9475485145842631E-2</v>
      </c>
      <c r="AI21">
        <f t="shared" si="9"/>
        <v>1.2651487396086412</v>
      </c>
      <c r="AJ21">
        <f t="shared" si="9"/>
        <v>0.23230798522650906</v>
      </c>
    </row>
    <row r="22" spans="1:36" x14ac:dyDescent="0.25">
      <c r="A22" t="s">
        <v>54</v>
      </c>
      <c r="B22" t="s">
        <v>52</v>
      </c>
      <c r="C22" t="s">
        <v>30</v>
      </c>
      <c r="D22">
        <v>2.7850000000000001</v>
      </c>
      <c r="E22">
        <v>3.4849999999999999</v>
      </c>
      <c r="F22">
        <v>2.4910000000000001</v>
      </c>
      <c r="G22">
        <v>3.3250000000000002</v>
      </c>
      <c r="H22">
        <v>5.9829999999999997</v>
      </c>
      <c r="I22">
        <v>5.53</v>
      </c>
      <c r="J22">
        <v>2.6480000000000001</v>
      </c>
      <c r="K22">
        <v>6.3620000000000001</v>
      </c>
      <c r="L22">
        <v>1.972</v>
      </c>
      <c r="M22">
        <v>4.3040000000000003</v>
      </c>
      <c r="N22">
        <v>5.5819999999999999</v>
      </c>
      <c r="O22">
        <v>5.5819999999999999</v>
      </c>
      <c r="P22">
        <v>2.1190000000000002</v>
      </c>
      <c r="Q22">
        <v>4.9189999999999996</v>
      </c>
      <c r="U22" t="s">
        <v>52</v>
      </c>
      <c r="V22" t="s">
        <v>38</v>
      </c>
      <c r="W22">
        <f>STDEV(D26:D28)</f>
        <v>0.64196676964881394</v>
      </c>
      <c r="X22">
        <f t="shared" ref="X22:AL22" si="10">STDEV(E26:E28)</f>
        <v>0.72201962115536278</v>
      </c>
      <c r="Y22">
        <f t="shared" si="10"/>
        <v>1.9902030884644233</v>
      </c>
      <c r="Z22">
        <f t="shared" si="10"/>
        <v>1.460850893600486</v>
      </c>
      <c r="AA22">
        <f t="shared" si="10"/>
        <v>0.54799361310146666</v>
      </c>
      <c r="AB22">
        <f t="shared" si="10"/>
        <v>0.79202714599942881</v>
      </c>
      <c r="AC22">
        <f t="shared" si="10"/>
        <v>0.97918146088114799</v>
      </c>
      <c r="AD22">
        <f t="shared" si="10"/>
        <v>0.58921558024207032</v>
      </c>
      <c r="AE22">
        <f t="shared" si="10"/>
        <v>0.45647599425745589</v>
      </c>
      <c r="AF22">
        <f t="shared" si="10"/>
        <v>0.12135485157174382</v>
      </c>
      <c r="AG22">
        <f t="shared" si="10"/>
        <v>0.17653989162037406</v>
      </c>
      <c r="AH22">
        <f t="shared" si="10"/>
        <v>0.57169309948607905</v>
      </c>
      <c r="AI22">
        <f t="shared" si="10"/>
        <v>0.58975277306116269</v>
      </c>
      <c r="AJ22">
        <f t="shared" si="10"/>
        <v>0.61765227542147771</v>
      </c>
    </row>
    <row r="23" spans="1:36" x14ac:dyDescent="0.25">
      <c r="A23" t="s">
        <v>55</v>
      </c>
      <c r="B23" t="s">
        <v>52</v>
      </c>
      <c r="C23" t="s">
        <v>34</v>
      </c>
      <c r="D23">
        <v>1.153</v>
      </c>
      <c r="E23">
        <v>1.7450000000000001</v>
      </c>
      <c r="F23">
        <v>0.5</v>
      </c>
      <c r="G23">
        <v>2.2410000000000001</v>
      </c>
      <c r="H23">
        <v>5.3949999999999996</v>
      </c>
      <c r="I23">
        <v>5.8259999999999996</v>
      </c>
      <c r="J23">
        <v>2.512</v>
      </c>
      <c r="K23">
        <v>5.452</v>
      </c>
      <c r="L23">
        <v>0.5</v>
      </c>
      <c r="M23">
        <v>3.198</v>
      </c>
      <c r="N23">
        <v>5.1689999999999996</v>
      </c>
      <c r="O23">
        <v>5.569</v>
      </c>
      <c r="P23">
        <v>0.5</v>
      </c>
      <c r="Q23">
        <v>3.4609999999999999</v>
      </c>
    </row>
    <row r="24" spans="1:36" x14ac:dyDescent="0.25">
      <c r="A24" t="s">
        <v>56</v>
      </c>
      <c r="B24" t="s">
        <v>52</v>
      </c>
      <c r="C24" t="s">
        <v>34</v>
      </c>
      <c r="D24">
        <v>2.9830000000000001</v>
      </c>
      <c r="E24">
        <v>3.2130000000000001</v>
      </c>
      <c r="F24">
        <v>0.5</v>
      </c>
      <c r="G24">
        <v>2.0990000000000002</v>
      </c>
      <c r="H24">
        <v>6.4749999999999996</v>
      </c>
      <c r="I24">
        <v>6.532</v>
      </c>
      <c r="J24">
        <v>2.92</v>
      </c>
      <c r="K24">
        <v>5.8360000000000003</v>
      </c>
      <c r="L24">
        <v>0.5</v>
      </c>
      <c r="M24">
        <v>3.0920000000000001</v>
      </c>
      <c r="N24">
        <v>2</v>
      </c>
      <c r="O24">
        <v>5.673</v>
      </c>
      <c r="P24">
        <v>2.032</v>
      </c>
      <c r="Q24">
        <v>3.032</v>
      </c>
    </row>
    <row r="25" spans="1:36" x14ac:dyDescent="0.25">
      <c r="A25" t="s">
        <v>57</v>
      </c>
      <c r="B25" t="s">
        <v>52</v>
      </c>
      <c r="C25" t="s">
        <v>34</v>
      </c>
      <c r="D25">
        <v>2.5449999999999999</v>
      </c>
      <c r="E25">
        <v>2.331</v>
      </c>
      <c r="F25">
        <v>0.5</v>
      </c>
      <c r="G25">
        <v>3.3540000000000001</v>
      </c>
      <c r="H25">
        <v>5.5430000000000001</v>
      </c>
      <c r="I25">
        <v>6.1340000000000003</v>
      </c>
      <c r="J25">
        <v>2.1970000000000001</v>
      </c>
      <c r="K25">
        <v>6.8209999999999997</v>
      </c>
      <c r="L25">
        <v>0.5</v>
      </c>
      <c r="M25">
        <v>2.1179999999999999</v>
      </c>
      <c r="N25">
        <v>5.1710000000000003</v>
      </c>
      <c r="O25">
        <v>5.6710000000000003</v>
      </c>
      <c r="P25">
        <v>3.01</v>
      </c>
      <c r="Q25">
        <v>3.0920000000000001</v>
      </c>
    </row>
    <row r="26" spans="1:36" x14ac:dyDescent="0.25">
      <c r="A26" t="s">
        <v>58</v>
      </c>
      <c r="B26" t="s">
        <v>52</v>
      </c>
      <c r="C26" t="s">
        <v>38</v>
      </c>
      <c r="D26">
        <v>5.234</v>
      </c>
      <c r="E26">
        <v>6.5970000000000004</v>
      </c>
      <c r="F26">
        <v>3.7309999999999999</v>
      </c>
      <c r="G26">
        <v>6.2359999999999998</v>
      </c>
      <c r="H26">
        <v>6.468</v>
      </c>
      <c r="I26">
        <v>7.9370000000000003</v>
      </c>
      <c r="J26">
        <v>4.8440000000000003</v>
      </c>
      <c r="K26">
        <v>5.9370000000000003</v>
      </c>
      <c r="L26">
        <v>2.1720000000000002</v>
      </c>
      <c r="M26">
        <v>5.88</v>
      </c>
      <c r="N26">
        <v>5.8369999999999997</v>
      </c>
      <c r="O26">
        <v>7.8369999999999997</v>
      </c>
      <c r="P26">
        <v>3.6890000000000001</v>
      </c>
      <c r="Q26">
        <v>5.452</v>
      </c>
    </row>
    <row r="27" spans="1:36" x14ac:dyDescent="0.25">
      <c r="A27" t="s">
        <v>59</v>
      </c>
      <c r="B27" t="s">
        <v>52</v>
      </c>
      <c r="C27" t="s">
        <v>38</v>
      </c>
      <c r="D27">
        <v>4.6539999999999999</v>
      </c>
      <c r="E27">
        <v>5.6639999999999997</v>
      </c>
      <c r="F27">
        <v>6.9160000000000004</v>
      </c>
      <c r="G27">
        <v>3.32</v>
      </c>
      <c r="H27">
        <v>7.4429999999999996</v>
      </c>
      <c r="I27">
        <v>8.8360000000000003</v>
      </c>
      <c r="J27">
        <v>6.6870000000000003</v>
      </c>
      <c r="K27">
        <v>7.0919999999999996</v>
      </c>
      <c r="L27">
        <v>2.9860000000000002</v>
      </c>
      <c r="M27">
        <v>5.931</v>
      </c>
      <c r="N27">
        <v>6.0670000000000002</v>
      </c>
      <c r="O27">
        <v>7.0670000000000002</v>
      </c>
      <c r="P27">
        <v>2.5289999999999999</v>
      </c>
      <c r="Q27">
        <v>4.3529999999999998</v>
      </c>
    </row>
    <row r="28" spans="1:36" x14ac:dyDescent="0.25">
      <c r="A28" t="s">
        <v>60</v>
      </c>
      <c r="B28" t="s">
        <v>52</v>
      </c>
      <c r="C28" t="s">
        <v>38</v>
      </c>
      <c r="D28">
        <v>5.9359999999999999</v>
      </c>
      <c r="E28">
        <v>7.085</v>
      </c>
      <c r="F28">
        <v>3.2559999999999998</v>
      </c>
      <c r="G28">
        <v>4.9359999999999999</v>
      </c>
      <c r="H28">
        <v>7.3890000000000002</v>
      </c>
      <c r="I28">
        <v>7.2569999999999997</v>
      </c>
      <c r="J28">
        <v>6.3390000000000004</v>
      </c>
      <c r="K28">
        <v>6.3120000000000003</v>
      </c>
      <c r="L28">
        <v>2.9369999999999998</v>
      </c>
      <c r="M28">
        <v>6.1109999999999998</v>
      </c>
      <c r="N28">
        <v>5.72</v>
      </c>
      <c r="O28">
        <v>6.72</v>
      </c>
      <c r="P28">
        <v>3.294</v>
      </c>
      <c r="Q28">
        <v>4.4139999999999997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8921-47E9-422A-94B4-FA40405CC16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Doughnut pie</vt:lpstr>
      <vt:lpstr>H_Fish</vt:lpstr>
      <vt:lpstr>H_Water</vt:lpstr>
      <vt:lpstr>H_Sediment</vt:lpstr>
      <vt:lpstr>Fish bar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Ashputi</dc:creator>
  <cp:lastModifiedBy>Md. Ashikur Rahman</cp:lastModifiedBy>
  <dcterms:created xsi:type="dcterms:W3CDTF">2015-06-05T18:17:20Z</dcterms:created>
  <dcterms:modified xsi:type="dcterms:W3CDTF">2026-09-23T11:32:47Z</dcterms:modified>
</cp:coreProperties>
</file>