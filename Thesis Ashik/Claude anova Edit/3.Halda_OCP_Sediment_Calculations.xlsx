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X:\Fisheries\THESIS\Data New\Claude anova Edit\"/>
    </mc:Choice>
  </mc:AlternateContent>
  <xr:revisionPtr revIDLastSave="0" documentId="13_ncr:1_{4635E0B0-4469-4CA9-9D9E-63A3AD41925C}" xr6:coauthVersionLast="47" xr6:coauthVersionMax="47" xr10:uidLastSave="{00000000-0000-0000-0000-000000000000}"/>
  <bookViews>
    <workbookView xWindow="-120" yWindow="-120" windowWidth="29040" windowHeight="15720" tabRatio="500" firstSheet="1" activeTab="1" xr2:uid="{00000000-000D-0000-FFFF-FFFF00000000}"/>
  </bookViews>
  <sheets>
    <sheet name="README" sheetId="1" r:id="rId1"/>
    <sheet name="Raw Data" sheetId="2" r:id="rId2"/>
    <sheet name="Descriptive Stats" sheetId="3" r:id="rId3"/>
    <sheet name="Site Means" sheetId="4" r:id="rId4"/>
    <sheet name="Zone Means" sheetId="5" r:id="rId5"/>
    <sheet name="Group Means" sheetId="6" r:id="rId6"/>
    <sheet name="Statistics" sheetId="7" r:id="rId7"/>
    <sheet name="Diagnostic Ratios" sheetId="8" r:id="rId8"/>
    <sheet name="SQG" sheetId="9" r:id="rId9"/>
    <sheet name="Ecological Risk" sheetId="10" r:id="rId10"/>
    <sheet name="Parameters" sheetId="11" r:id="rId11"/>
    <sheet name="Toxicity" sheetId="12" r:id="rId12"/>
    <sheet name="Health Risk" sheetId="13" r:id="rId13"/>
    <sheet name="Kruskal-Wallis Test" sheetId="14" r:id="rId14"/>
    <sheet name="Two-Way ANOVA" sheetId="15" r:id="rId15"/>
  </sheets>
  <calcPr calcId="181029"/>
  <extLs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calcChain.xml><?xml version="1.0" encoding="utf-8"?>
<calcChain xmlns="http://schemas.openxmlformats.org/spreadsheetml/2006/main">
  <c r="R5" i="2" l="1"/>
  <c r="R6" i="2"/>
  <c r="R7" i="2"/>
  <c r="R8" i="2"/>
  <c r="R9" i="2"/>
  <c r="R10" i="2"/>
  <c r="R11" i="2"/>
  <c r="R12" i="2"/>
  <c r="R13" i="2"/>
  <c r="R14" i="2"/>
  <c r="R15" i="2"/>
  <c r="D15" i="15" s="1"/>
  <c r="R16" i="2"/>
  <c r="D16" i="15" s="1"/>
  <c r="R17" i="2"/>
  <c r="R18" i="2"/>
  <c r="R19" i="2"/>
  <c r="R20" i="2"/>
  <c r="R21" i="2"/>
  <c r="R22" i="2"/>
  <c r="R23" i="2"/>
  <c r="R24" i="2"/>
  <c r="D24" i="15" s="1"/>
  <c r="R25" i="2"/>
  <c r="R26" i="2"/>
  <c r="D26" i="15" s="1"/>
  <c r="R27" i="2"/>
  <c r="D27" i="15" s="1"/>
  <c r="R28" i="2"/>
  <c r="D28" i="15" s="1"/>
  <c r="R29" i="2"/>
  <c r="R30" i="2"/>
  <c r="R31" i="2"/>
  <c r="R32" i="2"/>
  <c r="R33" i="2"/>
  <c r="R34" i="2"/>
  <c r="R35" i="2"/>
  <c r="R36" i="2"/>
  <c r="R37" i="2"/>
  <c r="W14" i="4"/>
  <c r="W6" i="2"/>
  <c r="W7" i="2"/>
  <c r="W8" i="2"/>
  <c r="W20" i="4" s="1"/>
  <c r="W9" i="2"/>
  <c r="W10" i="2"/>
  <c r="W11" i="2"/>
  <c r="W12" i="2"/>
  <c r="W13" i="2"/>
  <c r="W14" i="2"/>
  <c r="W15" i="2"/>
  <c r="W16" i="2"/>
  <c r="W17" i="2"/>
  <c r="W18" i="2"/>
  <c r="W19" i="2"/>
  <c r="W20" i="2"/>
  <c r="W10" i="4" s="1"/>
  <c r="W21" i="2"/>
  <c r="W22" i="2"/>
  <c r="W23" i="2"/>
  <c r="W24" i="2"/>
  <c r="W25" i="2"/>
  <c r="W26" i="2"/>
  <c r="W27" i="2"/>
  <c r="W28" i="2"/>
  <c r="W29" i="2"/>
  <c r="W30" i="2"/>
  <c r="W31" i="2"/>
  <c r="W32" i="2"/>
  <c r="W28" i="4" s="1"/>
  <c r="W33" i="2"/>
  <c r="W34" i="2"/>
  <c r="W35" i="2"/>
  <c r="W36" i="2"/>
  <c r="W37" i="2"/>
  <c r="W5" i="2"/>
  <c r="T7" i="2"/>
  <c r="T8" i="2"/>
  <c r="D74" i="15" s="1"/>
  <c r="T9" i="2"/>
  <c r="D75" i="15" s="1"/>
  <c r="T10" i="2"/>
  <c r="D76" i="15" s="1"/>
  <c r="T11" i="2"/>
  <c r="T12" i="2"/>
  <c r="T13" i="2"/>
  <c r="T14" i="2"/>
  <c r="T15" i="2"/>
  <c r="D81" i="15" s="1"/>
  <c r="T16" i="2"/>
  <c r="T17" i="2"/>
  <c r="D83" i="15" s="1"/>
  <c r="T18" i="2"/>
  <c r="D84" i="15" s="1"/>
  <c r="T19" i="2"/>
  <c r="T20" i="2"/>
  <c r="D86" i="15" s="1"/>
  <c r="T21" i="2"/>
  <c r="D87" i="15" s="1"/>
  <c r="T22" i="2"/>
  <c r="D88" i="15" s="1"/>
  <c r="T23" i="2"/>
  <c r="T24" i="2"/>
  <c r="T25" i="2"/>
  <c r="T26" i="2"/>
  <c r="T27" i="2"/>
  <c r="D93" i="15" s="1"/>
  <c r="T28" i="2"/>
  <c r="D94" i="15" s="1"/>
  <c r="T29" i="2"/>
  <c r="D95" i="15" s="1"/>
  <c r="T30" i="2"/>
  <c r="D96" i="15" s="1"/>
  <c r="T31" i="2"/>
  <c r="D97" i="15" s="1"/>
  <c r="T32" i="2"/>
  <c r="D98" i="15" s="1"/>
  <c r="T33" i="2"/>
  <c r="D99" i="15" s="1"/>
  <c r="T34" i="2"/>
  <c r="D100" i="15" s="1"/>
  <c r="T35" i="2"/>
  <c r="T36" i="2"/>
  <c r="T37" i="2"/>
  <c r="T6" i="2"/>
  <c r="T5" i="2"/>
  <c r="D71" i="15" s="1"/>
  <c r="C133" i="15"/>
  <c r="C132" i="15"/>
  <c r="C131" i="15"/>
  <c r="D111" i="15"/>
  <c r="C111" i="15"/>
  <c r="B111" i="15"/>
  <c r="B103" i="15"/>
  <c r="A103" i="15"/>
  <c r="B102" i="15"/>
  <c r="A102" i="15"/>
  <c r="B101" i="15"/>
  <c r="A101" i="15"/>
  <c r="B100" i="15"/>
  <c r="A100" i="15"/>
  <c r="B99" i="15"/>
  <c r="A99" i="15"/>
  <c r="B98" i="15"/>
  <c r="A98" i="15"/>
  <c r="B97" i="15"/>
  <c r="A97" i="15"/>
  <c r="B96" i="15"/>
  <c r="A96" i="15"/>
  <c r="B95" i="15"/>
  <c r="A95" i="15"/>
  <c r="B94" i="15"/>
  <c r="A94" i="15"/>
  <c r="B93" i="15"/>
  <c r="A93" i="15"/>
  <c r="B92" i="15"/>
  <c r="A92" i="15"/>
  <c r="B91" i="15"/>
  <c r="A91" i="15"/>
  <c r="B90" i="15"/>
  <c r="A90" i="15"/>
  <c r="B89" i="15"/>
  <c r="A89" i="15"/>
  <c r="B88" i="15"/>
  <c r="A88" i="15"/>
  <c r="B87" i="15"/>
  <c r="A87" i="15"/>
  <c r="B86" i="15"/>
  <c r="A86" i="15"/>
  <c r="B85" i="15"/>
  <c r="A85" i="15"/>
  <c r="B84" i="15"/>
  <c r="A84" i="15"/>
  <c r="B83" i="15"/>
  <c r="A83" i="15"/>
  <c r="B82" i="15"/>
  <c r="A82" i="15"/>
  <c r="B81" i="15"/>
  <c r="A81" i="15"/>
  <c r="B80" i="15"/>
  <c r="A80" i="15"/>
  <c r="B79" i="15"/>
  <c r="A79" i="15"/>
  <c r="B78" i="15"/>
  <c r="A78" i="15"/>
  <c r="B77" i="15"/>
  <c r="A77" i="15"/>
  <c r="B76" i="15"/>
  <c r="A76" i="15"/>
  <c r="B75" i="15"/>
  <c r="A75" i="15"/>
  <c r="B74" i="15"/>
  <c r="A74" i="15"/>
  <c r="B73" i="15"/>
  <c r="A73" i="15"/>
  <c r="B72" i="15"/>
  <c r="A72" i="15"/>
  <c r="B71" i="15"/>
  <c r="A71" i="15"/>
  <c r="B70" i="15"/>
  <c r="A70" i="15"/>
  <c r="B69" i="15"/>
  <c r="A69" i="15"/>
  <c r="B68" i="15"/>
  <c r="A68" i="15"/>
  <c r="B67" i="15"/>
  <c r="A67" i="15"/>
  <c r="B66" i="15"/>
  <c r="A66" i="15"/>
  <c r="B65" i="15"/>
  <c r="A65" i="15"/>
  <c r="B64" i="15"/>
  <c r="A64" i="15"/>
  <c r="B63" i="15"/>
  <c r="A63" i="15"/>
  <c r="B62" i="15"/>
  <c r="A62" i="15"/>
  <c r="B61" i="15"/>
  <c r="A61" i="15"/>
  <c r="B60" i="15"/>
  <c r="A60" i="15"/>
  <c r="B59" i="15"/>
  <c r="A59" i="15"/>
  <c r="B58" i="15"/>
  <c r="A58" i="15"/>
  <c r="B57" i="15"/>
  <c r="A57" i="15"/>
  <c r="B56" i="15"/>
  <c r="A56" i="15"/>
  <c r="B55" i="15"/>
  <c r="A55" i="15"/>
  <c r="B54" i="15"/>
  <c r="A54" i="15"/>
  <c r="B53" i="15"/>
  <c r="A53" i="15"/>
  <c r="B52" i="15"/>
  <c r="A52" i="15"/>
  <c r="B51" i="15"/>
  <c r="A51" i="15"/>
  <c r="B50" i="15"/>
  <c r="A50" i="15"/>
  <c r="B49" i="15"/>
  <c r="A49" i="15"/>
  <c r="B48" i="15"/>
  <c r="A48" i="15"/>
  <c r="B47" i="15"/>
  <c r="A47" i="15"/>
  <c r="B46" i="15"/>
  <c r="A46" i="15"/>
  <c r="B45" i="15"/>
  <c r="A45" i="15"/>
  <c r="B44" i="15"/>
  <c r="A44" i="15"/>
  <c r="B43" i="15"/>
  <c r="A43" i="15"/>
  <c r="B42" i="15"/>
  <c r="A42" i="15"/>
  <c r="B41" i="15"/>
  <c r="A41" i="15"/>
  <c r="B40" i="15"/>
  <c r="A40" i="15"/>
  <c r="B39" i="15"/>
  <c r="A39" i="15"/>
  <c r="B38" i="15"/>
  <c r="A38" i="15"/>
  <c r="B37" i="15"/>
  <c r="A37" i="15"/>
  <c r="B36" i="15"/>
  <c r="A36" i="15"/>
  <c r="B35" i="15"/>
  <c r="A35" i="15"/>
  <c r="B34" i="15"/>
  <c r="A34" i="15"/>
  <c r="B33" i="15"/>
  <c r="A33" i="15"/>
  <c r="B32" i="15"/>
  <c r="A32" i="15"/>
  <c r="B31" i="15"/>
  <c r="A31" i="15"/>
  <c r="B30" i="15"/>
  <c r="A30" i="15"/>
  <c r="B29" i="15"/>
  <c r="A29" i="15"/>
  <c r="B28" i="15"/>
  <c r="A28" i="15"/>
  <c r="B27" i="15"/>
  <c r="A27" i="15"/>
  <c r="B26" i="15"/>
  <c r="A26" i="15"/>
  <c r="B25" i="15"/>
  <c r="A25" i="15"/>
  <c r="B24" i="15"/>
  <c r="A24" i="15"/>
  <c r="B23" i="15"/>
  <c r="A23" i="15"/>
  <c r="B22" i="15"/>
  <c r="A22" i="15"/>
  <c r="B21" i="15"/>
  <c r="A21" i="15"/>
  <c r="B20" i="15"/>
  <c r="A20" i="15"/>
  <c r="B19" i="15"/>
  <c r="A19" i="15"/>
  <c r="B18" i="15"/>
  <c r="A18" i="15"/>
  <c r="B17" i="15"/>
  <c r="A17" i="15"/>
  <c r="B16" i="15"/>
  <c r="A16" i="15"/>
  <c r="B15" i="15"/>
  <c r="A15" i="15"/>
  <c r="B14" i="15"/>
  <c r="A14" i="15"/>
  <c r="B13" i="15"/>
  <c r="A13" i="15"/>
  <c r="B12" i="15"/>
  <c r="A12" i="15"/>
  <c r="B11" i="15"/>
  <c r="A11" i="15"/>
  <c r="B10" i="15"/>
  <c r="A10" i="15"/>
  <c r="B9" i="15"/>
  <c r="A9" i="15"/>
  <c r="B8" i="15"/>
  <c r="A8" i="15"/>
  <c r="B7" i="15"/>
  <c r="A7" i="15"/>
  <c r="B6" i="15"/>
  <c r="A6" i="15"/>
  <c r="B5" i="15"/>
  <c r="A5" i="15"/>
  <c r="B63" i="14"/>
  <c r="C52" i="14"/>
  <c r="B37" i="14"/>
  <c r="A37" i="14"/>
  <c r="B36" i="14"/>
  <c r="A36" i="14"/>
  <c r="B35" i="14"/>
  <c r="A35" i="14"/>
  <c r="B34" i="14"/>
  <c r="A34" i="14"/>
  <c r="B33" i="14"/>
  <c r="A33" i="14"/>
  <c r="B32" i="14"/>
  <c r="A32" i="14"/>
  <c r="B31" i="14"/>
  <c r="A31" i="14"/>
  <c r="B30" i="14"/>
  <c r="A30" i="14"/>
  <c r="B29" i="14"/>
  <c r="A29" i="14"/>
  <c r="B28" i="14"/>
  <c r="A28" i="14"/>
  <c r="B27" i="14"/>
  <c r="A27" i="14"/>
  <c r="B26" i="14"/>
  <c r="A26" i="14"/>
  <c r="B25" i="14"/>
  <c r="A25" i="14"/>
  <c r="B24" i="14"/>
  <c r="A24" i="14"/>
  <c r="B23" i="14"/>
  <c r="A23" i="14"/>
  <c r="B22" i="14"/>
  <c r="A22" i="14"/>
  <c r="B21" i="14"/>
  <c r="A21" i="14"/>
  <c r="B20" i="14"/>
  <c r="A20" i="14"/>
  <c r="B19" i="14"/>
  <c r="A19" i="14"/>
  <c r="B18" i="14"/>
  <c r="A18" i="14"/>
  <c r="B17" i="14"/>
  <c r="A17" i="14"/>
  <c r="B16" i="14"/>
  <c r="A16" i="14"/>
  <c r="B15" i="14"/>
  <c r="A15" i="14"/>
  <c r="B14" i="14"/>
  <c r="A14" i="14"/>
  <c r="B13" i="14"/>
  <c r="A13" i="14"/>
  <c r="B12" i="14"/>
  <c r="A12" i="14"/>
  <c r="B11" i="14"/>
  <c r="A11" i="14"/>
  <c r="B10" i="14"/>
  <c r="A10" i="14"/>
  <c r="B9" i="14"/>
  <c r="A9" i="14"/>
  <c r="B8" i="14"/>
  <c r="A8" i="14"/>
  <c r="B7" i="14"/>
  <c r="A7" i="14"/>
  <c r="B6" i="14"/>
  <c r="A6" i="14"/>
  <c r="B5" i="14"/>
  <c r="B43" i="14" s="1"/>
  <c r="A5" i="14"/>
  <c r="K229" i="13"/>
  <c r="K228" i="13"/>
  <c r="K227" i="13"/>
  <c r="K226" i="13"/>
  <c r="K225" i="13"/>
  <c r="K224" i="13"/>
  <c r="K223" i="13"/>
  <c r="K222" i="13"/>
  <c r="K221" i="13"/>
  <c r="K220" i="13"/>
  <c r="K219" i="13"/>
  <c r="K218" i="13"/>
  <c r="K217" i="13"/>
  <c r="K216" i="13"/>
  <c r="K215" i="13"/>
  <c r="K115" i="13"/>
  <c r="K114" i="13"/>
  <c r="K113" i="13"/>
  <c r="K112" i="13"/>
  <c r="K111" i="13"/>
  <c r="K110" i="13"/>
  <c r="K109" i="13"/>
  <c r="K108" i="13"/>
  <c r="K107" i="13"/>
  <c r="K106" i="13"/>
  <c r="K105" i="13"/>
  <c r="K104" i="13"/>
  <c r="K103" i="13"/>
  <c r="K102" i="13"/>
  <c r="K101" i="13"/>
  <c r="D18" i="11"/>
  <c r="C15" i="11"/>
  <c r="D14" i="11"/>
  <c r="D17" i="11" s="1"/>
  <c r="C14" i="11"/>
  <c r="C18" i="11" s="1"/>
  <c r="D13" i="11"/>
  <c r="D16" i="11" s="1"/>
  <c r="C13" i="11"/>
  <c r="C16" i="11" s="1"/>
  <c r="C114" i="10"/>
  <c r="F114" i="10" s="1"/>
  <c r="G114" i="10" s="1"/>
  <c r="B114" i="10"/>
  <c r="D114" i="10" s="1"/>
  <c r="E114" i="10" s="1"/>
  <c r="C113" i="10"/>
  <c r="F113" i="10" s="1"/>
  <c r="G113" i="10" s="1"/>
  <c r="B113" i="10"/>
  <c r="D113" i="10" s="1"/>
  <c r="E113" i="10" s="1"/>
  <c r="C112" i="10"/>
  <c r="F112" i="10" s="1"/>
  <c r="G112" i="10" s="1"/>
  <c r="B112" i="10"/>
  <c r="D112" i="10" s="1"/>
  <c r="E112" i="10" s="1"/>
  <c r="C111" i="10"/>
  <c r="F111" i="10" s="1"/>
  <c r="G111" i="10" s="1"/>
  <c r="B111" i="10"/>
  <c r="D111" i="10" s="1"/>
  <c r="E111" i="10" s="1"/>
  <c r="C110" i="10"/>
  <c r="F110" i="10" s="1"/>
  <c r="G110" i="10" s="1"/>
  <c r="B110" i="10"/>
  <c r="D110" i="10" s="1"/>
  <c r="E110" i="10" s="1"/>
  <c r="C109" i="10"/>
  <c r="F109" i="10" s="1"/>
  <c r="G109" i="10" s="1"/>
  <c r="B109" i="10"/>
  <c r="D109" i="10" s="1"/>
  <c r="E109" i="10" s="1"/>
  <c r="C108" i="10"/>
  <c r="F108" i="10" s="1"/>
  <c r="G108" i="10" s="1"/>
  <c r="B108" i="10"/>
  <c r="D108" i="10" s="1"/>
  <c r="E108" i="10" s="1"/>
  <c r="C107" i="10"/>
  <c r="F107" i="10" s="1"/>
  <c r="G107" i="10" s="1"/>
  <c r="B107" i="10"/>
  <c r="D107" i="10" s="1"/>
  <c r="E107" i="10" s="1"/>
  <c r="C106" i="10"/>
  <c r="F106" i="10" s="1"/>
  <c r="G106" i="10" s="1"/>
  <c r="B106" i="10"/>
  <c r="D106" i="10" s="1"/>
  <c r="E106" i="10" s="1"/>
  <c r="C105" i="10"/>
  <c r="F105" i="10" s="1"/>
  <c r="G105" i="10" s="1"/>
  <c r="B105" i="10"/>
  <c r="D105" i="10" s="1"/>
  <c r="E105" i="10" s="1"/>
  <c r="C104" i="10"/>
  <c r="F104" i="10" s="1"/>
  <c r="G104" i="10" s="1"/>
  <c r="B104" i="10"/>
  <c r="D104" i="10" s="1"/>
  <c r="E104" i="10" s="1"/>
  <c r="C103" i="10"/>
  <c r="F103" i="10" s="1"/>
  <c r="G103" i="10" s="1"/>
  <c r="B103" i="10"/>
  <c r="D103" i="10" s="1"/>
  <c r="E103" i="10" s="1"/>
  <c r="C102" i="10"/>
  <c r="F102" i="10" s="1"/>
  <c r="G102" i="10" s="1"/>
  <c r="B102" i="10"/>
  <c r="D102" i="10" s="1"/>
  <c r="E102" i="10" s="1"/>
  <c r="C101" i="10"/>
  <c r="F101" i="10" s="1"/>
  <c r="G101" i="10" s="1"/>
  <c r="B101" i="10"/>
  <c r="D101" i="10" s="1"/>
  <c r="E101" i="10" s="1"/>
  <c r="D63" i="7"/>
  <c r="E63" i="7" s="1"/>
  <c r="D62" i="7"/>
  <c r="E62" i="7" s="1"/>
  <c r="D61" i="7"/>
  <c r="E61" i="7" s="1"/>
  <c r="F37" i="7"/>
  <c r="B37" i="7"/>
  <c r="A37" i="7"/>
  <c r="F36" i="7"/>
  <c r="B36" i="7"/>
  <c r="A36" i="7"/>
  <c r="F35" i="7"/>
  <c r="B35" i="7"/>
  <c r="A35" i="7"/>
  <c r="F34" i="7"/>
  <c r="B34" i="7"/>
  <c r="A34" i="7"/>
  <c r="F33" i="7"/>
  <c r="B33" i="7"/>
  <c r="A33" i="7"/>
  <c r="F32" i="7"/>
  <c r="B32" i="7"/>
  <c r="A32" i="7"/>
  <c r="F31" i="7"/>
  <c r="B31" i="7"/>
  <c r="A31" i="7"/>
  <c r="F30" i="7"/>
  <c r="B30" i="7"/>
  <c r="A30" i="7"/>
  <c r="F29" i="7"/>
  <c r="B29" i="7"/>
  <c r="A29" i="7"/>
  <c r="F28" i="7"/>
  <c r="B28" i="7"/>
  <c r="A28" i="7"/>
  <c r="F27" i="7"/>
  <c r="B27" i="7"/>
  <c r="A27" i="7"/>
  <c r="F26" i="7"/>
  <c r="B26" i="7"/>
  <c r="A26" i="7"/>
  <c r="F25" i="7"/>
  <c r="B25" i="7"/>
  <c r="A25" i="7"/>
  <c r="F24" i="7"/>
  <c r="B24" i="7"/>
  <c r="A24" i="7"/>
  <c r="F23" i="7"/>
  <c r="B23" i="7"/>
  <c r="A23" i="7"/>
  <c r="F22" i="7"/>
  <c r="B22" i="7"/>
  <c r="A22" i="7"/>
  <c r="F21" i="7"/>
  <c r="B21" i="7"/>
  <c r="A21" i="7"/>
  <c r="F20" i="7"/>
  <c r="B20" i="7"/>
  <c r="A20" i="7"/>
  <c r="F19" i="7"/>
  <c r="B19" i="7"/>
  <c r="A19" i="7"/>
  <c r="F18" i="7"/>
  <c r="B18" i="7"/>
  <c r="A18" i="7"/>
  <c r="F17" i="7"/>
  <c r="B17" i="7"/>
  <c r="A17" i="7"/>
  <c r="F16" i="7"/>
  <c r="B16" i="7"/>
  <c r="A16" i="7"/>
  <c r="F15" i="7"/>
  <c r="B15" i="7"/>
  <c r="A15" i="7"/>
  <c r="F14" i="7"/>
  <c r="B14" i="7"/>
  <c r="A14" i="7"/>
  <c r="F13" i="7"/>
  <c r="B13" i="7"/>
  <c r="A13" i="7"/>
  <c r="F12" i="7"/>
  <c r="B12" i="7"/>
  <c r="A12" i="7"/>
  <c r="F11" i="7"/>
  <c r="B11" i="7"/>
  <c r="A11" i="7"/>
  <c r="F10" i="7"/>
  <c r="B10" i="7"/>
  <c r="A10" i="7"/>
  <c r="F9" i="7"/>
  <c r="B9" i="7"/>
  <c r="A9" i="7"/>
  <c r="F8" i="7"/>
  <c r="B8" i="7"/>
  <c r="A8" i="7"/>
  <c r="F7" i="7"/>
  <c r="B7" i="7"/>
  <c r="A7" i="7"/>
  <c r="F6" i="7"/>
  <c r="B6" i="7"/>
  <c r="A6" i="7"/>
  <c r="F5" i="7"/>
  <c r="B5" i="7"/>
  <c r="B43" i="7" s="1"/>
  <c r="A5" i="7"/>
  <c r="Q13" i="5"/>
  <c r="P13" i="5"/>
  <c r="O13" i="5"/>
  <c r="N13" i="5"/>
  <c r="M13" i="5"/>
  <c r="L13" i="5"/>
  <c r="K13" i="5"/>
  <c r="J13" i="5"/>
  <c r="I13" i="5"/>
  <c r="H13" i="5"/>
  <c r="G13" i="5"/>
  <c r="F13" i="5"/>
  <c r="E13" i="5"/>
  <c r="D13" i="5"/>
  <c r="Q12" i="5"/>
  <c r="P12" i="5"/>
  <c r="O12" i="5"/>
  <c r="N12" i="5"/>
  <c r="M12" i="5"/>
  <c r="L12" i="5"/>
  <c r="K12" i="5"/>
  <c r="J12" i="5"/>
  <c r="I12" i="5"/>
  <c r="H12" i="5"/>
  <c r="G12" i="5"/>
  <c r="F12" i="5"/>
  <c r="E12" i="5"/>
  <c r="D12" i="5"/>
  <c r="Q11" i="5"/>
  <c r="P11" i="5"/>
  <c r="O11" i="5"/>
  <c r="N11" i="5"/>
  <c r="M11" i="5"/>
  <c r="L11" i="5"/>
  <c r="K11" i="5"/>
  <c r="J11" i="5"/>
  <c r="I11" i="5"/>
  <c r="H11" i="5"/>
  <c r="G11" i="5"/>
  <c r="F11" i="5"/>
  <c r="E11" i="5"/>
  <c r="D11" i="5"/>
  <c r="Q7" i="5"/>
  <c r="P18" i="6" s="1"/>
  <c r="P7" i="5"/>
  <c r="O18" i="6" s="1"/>
  <c r="O7" i="5"/>
  <c r="N18" i="6" s="1"/>
  <c r="N7" i="5"/>
  <c r="M18" i="6" s="1"/>
  <c r="M7" i="5"/>
  <c r="L18" i="6" s="1"/>
  <c r="L7" i="5"/>
  <c r="K18" i="6" s="1"/>
  <c r="K7" i="5"/>
  <c r="J18" i="6" s="1"/>
  <c r="J7" i="5"/>
  <c r="I18" i="6" s="1"/>
  <c r="I7" i="5"/>
  <c r="H18" i="6" s="1"/>
  <c r="H7" i="5"/>
  <c r="G18" i="6" s="1"/>
  <c r="G7" i="5"/>
  <c r="F18" i="6" s="1"/>
  <c r="F7" i="5"/>
  <c r="E18" i="6" s="1"/>
  <c r="E7" i="5"/>
  <c r="D18" i="6" s="1"/>
  <c r="D7" i="5"/>
  <c r="C18" i="6" s="1"/>
  <c r="B7" i="5"/>
  <c r="B13" i="5" s="1"/>
  <c r="Q6" i="5"/>
  <c r="P17" i="6" s="1"/>
  <c r="P6" i="5"/>
  <c r="O17" i="6" s="1"/>
  <c r="O6" i="5"/>
  <c r="N17" i="6" s="1"/>
  <c r="N6" i="5"/>
  <c r="M17" i="6" s="1"/>
  <c r="M6" i="5"/>
  <c r="L17" i="6" s="1"/>
  <c r="L6" i="5"/>
  <c r="K17" i="6" s="1"/>
  <c r="K6" i="5"/>
  <c r="J17" i="6" s="1"/>
  <c r="J6" i="5"/>
  <c r="I17" i="6" s="1"/>
  <c r="I6" i="5"/>
  <c r="H17" i="6" s="1"/>
  <c r="H6" i="5"/>
  <c r="G17" i="6" s="1"/>
  <c r="G6" i="5"/>
  <c r="F17" i="6" s="1"/>
  <c r="F6" i="5"/>
  <c r="E17" i="6" s="1"/>
  <c r="E6" i="5"/>
  <c r="D17" i="6" s="1"/>
  <c r="D6" i="5"/>
  <c r="C17" i="6" s="1"/>
  <c r="B6" i="5"/>
  <c r="B12" i="5" s="1"/>
  <c r="Q5" i="5"/>
  <c r="P16" i="6" s="1"/>
  <c r="P5" i="5"/>
  <c r="O16" i="6" s="1"/>
  <c r="O5" i="5"/>
  <c r="N16" i="6" s="1"/>
  <c r="N5" i="5"/>
  <c r="M16" i="6" s="1"/>
  <c r="M5" i="5"/>
  <c r="L16" i="6" s="1"/>
  <c r="L5" i="5"/>
  <c r="K16" i="6" s="1"/>
  <c r="K5" i="5"/>
  <c r="J16" i="6" s="1"/>
  <c r="J5" i="5"/>
  <c r="I16" i="6" s="1"/>
  <c r="I5" i="5"/>
  <c r="H16" i="6" s="1"/>
  <c r="H5" i="5"/>
  <c r="G16" i="6" s="1"/>
  <c r="G5" i="5"/>
  <c r="F16" i="6" s="1"/>
  <c r="F5" i="5"/>
  <c r="E16" i="6" s="1"/>
  <c r="E5" i="5"/>
  <c r="D16" i="6" s="1"/>
  <c r="D5" i="5"/>
  <c r="C16" i="6" s="1"/>
  <c r="B5" i="5"/>
  <c r="B11" i="5" s="1"/>
  <c r="Q29" i="4"/>
  <c r="P29" i="4"/>
  <c r="O29" i="4"/>
  <c r="N29" i="4"/>
  <c r="M29" i="4"/>
  <c r="L29" i="4"/>
  <c r="K29" i="4"/>
  <c r="J29" i="4"/>
  <c r="I29" i="4"/>
  <c r="H29" i="4"/>
  <c r="G29" i="4"/>
  <c r="F29" i="4"/>
  <c r="E29" i="4"/>
  <c r="D29" i="4"/>
  <c r="Q28" i="4"/>
  <c r="P28" i="4"/>
  <c r="O28" i="4"/>
  <c r="N28" i="4"/>
  <c r="M28" i="4"/>
  <c r="L28" i="4"/>
  <c r="K28" i="4"/>
  <c r="J28" i="4"/>
  <c r="I28" i="4"/>
  <c r="H28" i="4"/>
  <c r="G28" i="4"/>
  <c r="F28" i="4"/>
  <c r="E28" i="4"/>
  <c r="D28" i="4"/>
  <c r="Q27" i="4"/>
  <c r="P27" i="4"/>
  <c r="O27" i="4"/>
  <c r="N27" i="4"/>
  <c r="M27" i="4"/>
  <c r="L27" i="4"/>
  <c r="K27" i="4"/>
  <c r="J27" i="4"/>
  <c r="I27" i="4"/>
  <c r="H27" i="4"/>
  <c r="G27" i="4"/>
  <c r="F27" i="4"/>
  <c r="E27" i="4"/>
  <c r="D27" i="4"/>
  <c r="Q26" i="4"/>
  <c r="P26" i="4"/>
  <c r="O26" i="4"/>
  <c r="N26" i="4"/>
  <c r="M26" i="4"/>
  <c r="L26" i="4"/>
  <c r="K26" i="4"/>
  <c r="J26" i="4"/>
  <c r="I26" i="4"/>
  <c r="H26" i="4"/>
  <c r="G26" i="4"/>
  <c r="F26" i="4"/>
  <c r="E26" i="4"/>
  <c r="D26" i="4"/>
  <c r="Q25" i="4"/>
  <c r="P25" i="4"/>
  <c r="O25" i="4"/>
  <c r="N25" i="4"/>
  <c r="M25" i="4"/>
  <c r="L25" i="4"/>
  <c r="K25" i="4"/>
  <c r="J25" i="4"/>
  <c r="I25" i="4"/>
  <c r="H25" i="4"/>
  <c r="G25" i="4"/>
  <c r="F25" i="4"/>
  <c r="E25" i="4"/>
  <c r="D25" i="4"/>
  <c r="Q24" i="4"/>
  <c r="P24" i="4"/>
  <c r="O24" i="4"/>
  <c r="N24" i="4"/>
  <c r="M24" i="4"/>
  <c r="L24" i="4"/>
  <c r="K24" i="4"/>
  <c r="J24" i="4"/>
  <c r="I24" i="4"/>
  <c r="H24" i="4"/>
  <c r="G24" i="4"/>
  <c r="F24" i="4"/>
  <c r="E24" i="4"/>
  <c r="D24" i="4"/>
  <c r="Q23" i="4"/>
  <c r="P23" i="4"/>
  <c r="O23" i="4"/>
  <c r="N23" i="4"/>
  <c r="M23" i="4"/>
  <c r="L23" i="4"/>
  <c r="K23" i="4"/>
  <c r="J23" i="4"/>
  <c r="I23" i="4"/>
  <c r="H23" i="4"/>
  <c r="G23" i="4"/>
  <c r="F23" i="4"/>
  <c r="E23" i="4"/>
  <c r="D23" i="4"/>
  <c r="Q22" i="4"/>
  <c r="P22" i="4"/>
  <c r="O22" i="4"/>
  <c r="N22" i="4"/>
  <c r="M22" i="4"/>
  <c r="L22" i="4"/>
  <c r="K22" i="4"/>
  <c r="J22" i="4"/>
  <c r="I22" i="4"/>
  <c r="H22" i="4"/>
  <c r="G22" i="4"/>
  <c r="F22" i="4"/>
  <c r="E22" i="4"/>
  <c r="D22" i="4"/>
  <c r="Q21" i="4"/>
  <c r="P21" i="4"/>
  <c r="O21" i="4"/>
  <c r="N21" i="4"/>
  <c r="M21" i="4"/>
  <c r="L21" i="4"/>
  <c r="K21" i="4"/>
  <c r="J21" i="4"/>
  <c r="I21" i="4"/>
  <c r="H21" i="4"/>
  <c r="G21" i="4"/>
  <c r="F21" i="4"/>
  <c r="E21" i="4"/>
  <c r="D21" i="4"/>
  <c r="Q20" i="4"/>
  <c r="P20" i="4"/>
  <c r="O20" i="4"/>
  <c r="N20" i="4"/>
  <c r="M20" i="4"/>
  <c r="L20" i="4"/>
  <c r="K20" i="4"/>
  <c r="J20" i="4"/>
  <c r="I20" i="4"/>
  <c r="H20" i="4"/>
  <c r="G20" i="4"/>
  <c r="F20" i="4"/>
  <c r="E20" i="4"/>
  <c r="D20" i="4"/>
  <c r="Q19" i="4"/>
  <c r="P19" i="4"/>
  <c r="O19" i="4"/>
  <c r="N19" i="4"/>
  <c r="M19" i="4"/>
  <c r="L19" i="4"/>
  <c r="K19" i="4"/>
  <c r="J19" i="4"/>
  <c r="I19" i="4"/>
  <c r="H19" i="4"/>
  <c r="G19" i="4"/>
  <c r="F19" i="4"/>
  <c r="E19" i="4"/>
  <c r="D19" i="4"/>
  <c r="Q15" i="4"/>
  <c r="P15" i="6" s="1"/>
  <c r="P15" i="4"/>
  <c r="O15" i="6" s="1"/>
  <c r="O15" i="4"/>
  <c r="N15" i="6" s="1"/>
  <c r="N15" i="4"/>
  <c r="M15" i="6" s="1"/>
  <c r="M15" i="4"/>
  <c r="L15" i="6" s="1"/>
  <c r="L15" i="4"/>
  <c r="K15" i="6" s="1"/>
  <c r="K15" i="4"/>
  <c r="J15" i="6" s="1"/>
  <c r="J15" i="4"/>
  <c r="I15" i="6" s="1"/>
  <c r="I15" i="4"/>
  <c r="H15" i="6" s="1"/>
  <c r="H15" i="4"/>
  <c r="G15" i="6" s="1"/>
  <c r="G15" i="4"/>
  <c r="F15" i="6" s="1"/>
  <c r="F15" i="4"/>
  <c r="E15" i="6" s="1"/>
  <c r="E15" i="4"/>
  <c r="D15" i="6" s="1"/>
  <c r="D15" i="4"/>
  <c r="C15" i="6" s="1"/>
  <c r="Q14" i="4"/>
  <c r="P14" i="6" s="1"/>
  <c r="P14" i="4"/>
  <c r="O14" i="6" s="1"/>
  <c r="O14" i="4"/>
  <c r="N14" i="6" s="1"/>
  <c r="N14" i="4"/>
  <c r="M14" i="6" s="1"/>
  <c r="M14" i="4"/>
  <c r="L14" i="6" s="1"/>
  <c r="L14" i="4"/>
  <c r="K14" i="6" s="1"/>
  <c r="K14" i="4"/>
  <c r="J14" i="6" s="1"/>
  <c r="J14" i="4"/>
  <c r="I14" i="6" s="1"/>
  <c r="I14" i="4"/>
  <c r="H14" i="6" s="1"/>
  <c r="H14" i="4"/>
  <c r="G14" i="6" s="1"/>
  <c r="G14" i="4"/>
  <c r="F14" i="6" s="1"/>
  <c r="F14" i="4"/>
  <c r="E14" i="6" s="1"/>
  <c r="E14" i="4"/>
  <c r="D14" i="6" s="1"/>
  <c r="D14" i="4"/>
  <c r="C14" i="6" s="1"/>
  <c r="Q13" i="4"/>
  <c r="P13" i="6" s="1"/>
  <c r="P13" i="4"/>
  <c r="O13" i="6" s="1"/>
  <c r="O13" i="4"/>
  <c r="N13" i="6" s="1"/>
  <c r="N13" i="4"/>
  <c r="M13" i="6" s="1"/>
  <c r="M13" i="4"/>
  <c r="L13" i="6" s="1"/>
  <c r="L13" i="4"/>
  <c r="K13" i="6" s="1"/>
  <c r="K13" i="4"/>
  <c r="J13" i="6" s="1"/>
  <c r="J13" i="4"/>
  <c r="I13" i="6" s="1"/>
  <c r="I13" i="4"/>
  <c r="H13" i="6" s="1"/>
  <c r="H13" i="4"/>
  <c r="G13" i="6" s="1"/>
  <c r="G13" i="4"/>
  <c r="F13" i="6" s="1"/>
  <c r="F13" i="4"/>
  <c r="E13" i="6" s="1"/>
  <c r="E13" i="4"/>
  <c r="D13" i="6" s="1"/>
  <c r="D13" i="4"/>
  <c r="C13" i="6" s="1"/>
  <c r="Q12" i="4"/>
  <c r="P12" i="6" s="1"/>
  <c r="P12" i="4"/>
  <c r="O12" i="6" s="1"/>
  <c r="O12" i="4"/>
  <c r="N12" i="6" s="1"/>
  <c r="N12" i="4"/>
  <c r="M12" i="6" s="1"/>
  <c r="M12" i="4"/>
  <c r="L12" i="6" s="1"/>
  <c r="L12" i="4"/>
  <c r="K12" i="6" s="1"/>
  <c r="K12" i="4"/>
  <c r="J12" i="6" s="1"/>
  <c r="J12" i="4"/>
  <c r="I12" i="6" s="1"/>
  <c r="I12" i="4"/>
  <c r="H12" i="6" s="1"/>
  <c r="H12" i="4"/>
  <c r="G12" i="6" s="1"/>
  <c r="G12" i="4"/>
  <c r="F12" i="6" s="1"/>
  <c r="F12" i="4"/>
  <c r="E12" i="6" s="1"/>
  <c r="E12" i="4"/>
  <c r="D12" i="6" s="1"/>
  <c r="D12" i="4"/>
  <c r="C12" i="6" s="1"/>
  <c r="Q11" i="4"/>
  <c r="P11" i="6" s="1"/>
  <c r="P11" i="4"/>
  <c r="O11" i="6" s="1"/>
  <c r="O11" i="4"/>
  <c r="N11" i="6" s="1"/>
  <c r="N11" i="4"/>
  <c r="M11" i="6" s="1"/>
  <c r="M11" i="4"/>
  <c r="L11" i="6" s="1"/>
  <c r="L11" i="4"/>
  <c r="K11" i="6" s="1"/>
  <c r="K11" i="4"/>
  <c r="J11" i="6" s="1"/>
  <c r="J11" i="4"/>
  <c r="I11" i="6" s="1"/>
  <c r="I11" i="4"/>
  <c r="H11" i="6" s="1"/>
  <c r="H11" i="4"/>
  <c r="G11" i="6" s="1"/>
  <c r="G11" i="4"/>
  <c r="F11" i="6" s="1"/>
  <c r="F11" i="4"/>
  <c r="E11" i="6" s="1"/>
  <c r="E11" i="4"/>
  <c r="D11" i="6" s="1"/>
  <c r="D11" i="4"/>
  <c r="C11" i="6" s="1"/>
  <c r="Q10" i="4"/>
  <c r="P10" i="6" s="1"/>
  <c r="P10" i="4"/>
  <c r="O10" i="6" s="1"/>
  <c r="O10" i="4"/>
  <c r="N10" i="6" s="1"/>
  <c r="N10" i="4"/>
  <c r="M10" i="6" s="1"/>
  <c r="M10" i="4"/>
  <c r="L10" i="6" s="1"/>
  <c r="L10" i="4"/>
  <c r="K10" i="6" s="1"/>
  <c r="K10" i="4"/>
  <c r="J10" i="6" s="1"/>
  <c r="J10" i="4"/>
  <c r="I10" i="6" s="1"/>
  <c r="I10" i="4"/>
  <c r="H10" i="6" s="1"/>
  <c r="H10" i="4"/>
  <c r="G10" i="6" s="1"/>
  <c r="G10" i="4"/>
  <c r="F10" i="6" s="1"/>
  <c r="F10" i="4"/>
  <c r="E10" i="6" s="1"/>
  <c r="E10" i="4"/>
  <c r="D10" i="6" s="1"/>
  <c r="D10" i="4"/>
  <c r="C10" i="6" s="1"/>
  <c r="Q9" i="4"/>
  <c r="P9" i="6" s="1"/>
  <c r="P9" i="4"/>
  <c r="O9" i="6" s="1"/>
  <c r="O9" i="4"/>
  <c r="N9" i="6" s="1"/>
  <c r="N9" i="4"/>
  <c r="M9" i="6" s="1"/>
  <c r="M9" i="4"/>
  <c r="L9" i="6" s="1"/>
  <c r="L9" i="4"/>
  <c r="K9" i="6" s="1"/>
  <c r="K9" i="4"/>
  <c r="J9" i="6" s="1"/>
  <c r="J9" i="4"/>
  <c r="I9" i="6" s="1"/>
  <c r="I9" i="4"/>
  <c r="H9" i="6" s="1"/>
  <c r="H9" i="4"/>
  <c r="G9" i="6" s="1"/>
  <c r="G9" i="4"/>
  <c r="F9" i="6" s="1"/>
  <c r="F9" i="4"/>
  <c r="E9" i="6" s="1"/>
  <c r="E9" i="4"/>
  <c r="D9" i="6" s="1"/>
  <c r="D9" i="4"/>
  <c r="C9" i="6" s="1"/>
  <c r="Q8" i="4"/>
  <c r="P8" i="6" s="1"/>
  <c r="P8" i="4"/>
  <c r="O8" i="6" s="1"/>
  <c r="O8" i="4"/>
  <c r="N8" i="6" s="1"/>
  <c r="N8" i="4"/>
  <c r="M8" i="6" s="1"/>
  <c r="M8" i="4"/>
  <c r="L8" i="6" s="1"/>
  <c r="L8" i="4"/>
  <c r="K8" i="6" s="1"/>
  <c r="K8" i="4"/>
  <c r="J8" i="6" s="1"/>
  <c r="J8" i="4"/>
  <c r="I8" i="6" s="1"/>
  <c r="I8" i="4"/>
  <c r="H8" i="6" s="1"/>
  <c r="H8" i="4"/>
  <c r="G8" i="6" s="1"/>
  <c r="G8" i="4"/>
  <c r="F8" i="6" s="1"/>
  <c r="F8" i="4"/>
  <c r="E8" i="6" s="1"/>
  <c r="E8" i="4"/>
  <c r="D8" i="6" s="1"/>
  <c r="D8" i="4"/>
  <c r="C8" i="6" s="1"/>
  <c r="Q7" i="4"/>
  <c r="P7" i="6" s="1"/>
  <c r="P7" i="4"/>
  <c r="O7" i="6" s="1"/>
  <c r="O7" i="4"/>
  <c r="N7" i="6" s="1"/>
  <c r="N7" i="4"/>
  <c r="M7" i="6" s="1"/>
  <c r="M7" i="4"/>
  <c r="L7" i="6" s="1"/>
  <c r="L7" i="4"/>
  <c r="K7" i="6" s="1"/>
  <c r="K7" i="4"/>
  <c r="J7" i="6" s="1"/>
  <c r="J7" i="4"/>
  <c r="I7" i="6" s="1"/>
  <c r="I7" i="4"/>
  <c r="H7" i="6" s="1"/>
  <c r="H7" i="4"/>
  <c r="G7" i="6" s="1"/>
  <c r="G7" i="4"/>
  <c r="F7" i="6" s="1"/>
  <c r="F7" i="4"/>
  <c r="E7" i="6" s="1"/>
  <c r="E7" i="4"/>
  <c r="D7" i="6" s="1"/>
  <c r="D7" i="4"/>
  <c r="C7" i="6" s="1"/>
  <c r="Q6" i="4"/>
  <c r="P6" i="6" s="1"/>
  <c r="P6" i="4"/>
  <c r="O6" i="6" s="1"/>
  <c r="O6" i="4"/>
  <c r="N6" i="6" s="1"/>
  <c r="N6" i="4"/>
  <c r="M6" i="6" s="1"/>
  <c r="M6" i="4"/>
  <c r="L6" i="6" s="1"/>
  <c r="L6" i="4"/>
  <c r="K6" i="6" s="1"/>
  <c r="K6" i="4"/>
  <c r="J6" i="6" s="1"/>
  <c r="J6" i="4"/>
  <c r="I6" i="6" s="1"/>
  <c r="I6" i="4"/>
  <c r="H6" i="6" s="1"/>
  <c r="H6" i="4"/>
  <c r="G6" i="6" s="1"/>
  <c r="G6" i="4"/>
  <c r="F6" i="6" s="1"/>
  <c r="F6" i="4"/>
  <c r="E6" i="6" s="1"/>
  <c r="E6" i="4"/>
  <c r="D6" i="6" s="1"/>
  <c r="D6" i="4"/>
  <c r="C6" i="6" s="1"/>
  <c r="Q5" i="4"/>
  <c r="P5" i="6" s="1"/>
  <c r="P5" i="4"/>
  <c r="O5" i="6" s="1"/>
  <c r="O5" i="4"/>
  <c r="N5" i="6" s="1"/>
  <c r="N5" i="4"/>
  <c r="M5" i="6" s="1"/>
  <c r="M5" i="4"/>
  <c r="L5" i="6" s="1"/>
  <c r="L5" i="4"/>
  <c r="K5" i="6" s="1"/>
  <c r="K5" i="4"/>
  <c r="J5" i="6" s="1"/>
  <c r="J5" i="4"/>
  <c r="I5" i="6" s="1"/>
  <c r="I5" i="4"/>
  <c r="H5" i="6" s="1"/>
  <c r="H5" i="4"/>
  <c r="G5" i="6" s="1"/>
  <c r="G5" i="4"/>
  <c r="F5" i="6" s="1"/>
  <c r="F5" i="4"/>
  <c r="E5" i="6" s="1"/>
  <c r="E5" i="4"/>
  <c r="D5" i="6" s="1"/>
  <c r="D5" i="4"/>
  <c r="C5" i="6" s="1"/>
  <c r="G18" i="3"/>
  <c r="H18" i="3" s="1"/>
  <c r="F18" i="3"/>
  <c r="E18" i="3"/>
  <c r="D18" i="3"/>
  <c r="C18" i="3"/>
  <c r="B18" i="3"/>
  <c r="P19" i="6" s="1"/>
  <c r="G17" i="3"/>
  <c r="H17" i="3" s="1"/>
  <c r="F17" i="3"/>
  <c r="E17" i="3"/>
  <c r="D17" i="3"/>
  <c r="C17" i="3"/>
  <c r="B17" i="3"/>
  <c r="G16" i="3"/>
  <c r="H16" i="3" s="1"/>
  <c r="F16" i="3"/>
  <c r="E16" i="3"/>
  <c r="D16" i="3"/>
  <c r="C16" i="3"/>
  <c r="B16" i="3"/>
  <c r="N19" i="6" s="1"/>
  <c r="G15" i="3"/>
  <c r="H15" i="3" s="1"/>
  <c r="F15" i="3"/>
  <c r="E15" i="3"/>
  <c r="D15" i="3"/>
  <c r="C15" i="3"/>
  <c r="B15" i="3"/>
  <c r="M19" i="6" s="1"/>
  <c r="G14" i="3"/>
  <c r="H14" i="3" s="1"/>
  <c r="F14" i="3"/>
  <c r="E14" i="3"/>
  <c r="D14" i="3"/>
  <c r="C14" i="3"/>
  <c r="B14" i="3"/>
  <c r="G13" i="3"/>
  <c r="H13" i="3" s="1"/>
  <c r="F13" i="3"/>
  <c r="E13" i="3"/>
  <c r="D13" i="3"/>
  <c r="C13" i="3"/>
  <c r="B13" i="3"/>
  <c r="K19" i="6" s="1"/>
  <c r="G12" i="3"/>
  <c r="H12" i="3" s="1"/>
  <c r="F12" i="3"/>
  <c r="E12" i="3"/>
  <c r="D12" i="3"/>
  <c r="C12" i="3"/>
  <c r="B12" i="3"/>
  <c r="J19" i="6" s="1"/>
  <c r="G11" i="3"/>
  <c r="H11" i="3" s="1"/>
  <c r="F11" i="3"/>
  <c r="E11" i="3"/>
  <c r="D11" i="3"/>
  <c r="C11" i="3"/>
  <c r="B11" i="3"/>
  <c r="I19" i="6" s="1"/>
  <c r="G10" i="3"/>
  <c r="H10" i="3" s="1"/>
  <c r="F10" i="3"/>
  <c r="E10" i="3"/>
  <c r="D10" i="3"/>
  <c r="C10" i="3"/>
  <c r="B10" i="3"/>
  <c r="H19" i="6" s="1"/>
  <c r="G9" i="3"/>
  <c r="H9" i="3" s="1"/>
  <c r="F9" i="3"/>
  <c r="E9" i="3"/>
  <c r="D9" i="3"/>
  <c r="C9" i="3"/>
  <c r="B9" i="3"/>
  <c r="G19" i="6" s="1"/>
  <c r="G8" i="3"/>
  <c r="H8" i="3" s="1"/>
  <c r="F8" i="3"/>
  <c r="E8" i="3"/>
  <c r="D8" i="3"/>
  <c r="C8" i="3"/>
  <c r="B8" i="3"/>
  <c r="F19" i="6" s="1"/>
  <c r="G7" i="3"/>
  <c r="H7" i="3" s="1"/>
  <c r="F7" i="3"/>
  <c r="E7" i="3"/>
  <c r="D7" i="3"/>
  <c r="C7" i="3"/>
  <c r="B7" i="3"/>
  <c r="G6" i="3"/>
  <c r="H6" i="3" s="1"/>
  <c r="F6" i="3"/>
  <c r="E6" i="3"/>
  <c r="D6" i="3"/>
  <c r="C6" i="3"/>
  <c r="B6" i="3"/>
  <c r="D19" i="6" s="1"/>
  <c r="G5" i="3"/>
  <c r="H5" i="3" s="1"/>
  <c r="F5" i="3"/>
  <c r="E5" i="3"/>
  <c r="D5" i="3"/>
  <c r="C5" i="3"/>
  <c r="B5" i="3"/>
  <c r="V37" i="2"/>
  <c r="U37" i="2"/>
  <c r="D103" i="15"/>
  <c r="S37" i="2"/>
  <c r="D70" i="15" s="1"/>
  <c r="D37" i="15"/>
  <c r="V36" i="2"/>
  <c r="U36" i="2"/>
  <c r="D102" i="15"/>
  <c r="S36" i="2"/>
  <c r="D69" i="15" s="1"/>
  <c r="D36" i="15"/>
  <c r="V35" i="2"/>
  <c r="U35" i="2"/>
  <c r="D101" i="15"/>
  <c r="S35" i="2"/>
  <c r="D68" i="15" s="1"/>
  <c r="D35" i="15"/>
  <c r="V34" i="2"/>
  <c r="U34" i="2"/>
  <c r="C34" i="14" s="1"/>
  <c r="S34" i="2"/>
  <c r="D67" i="15" s="1"/>
  <c r="D34" i="15"/>
  <c r="V33" i="2"/>
  <c r="U33" i="2"/>
  <c r="S33" i="2"/>
  <c r="D66" i="15" s="1"/>
  <c r="D33" i="15"/>
  <c r="V32" i="2"/>
  <c r="U32" i="2"/>
  <c r="S32" i="2"/>
  <c r="D65" i="15" s="1"/>
  <c r="D32" i="15"/>
  <c r="V31" i="2"/>
  <c r="U31" i="2"/>
  <c r="S31" i="2"/>
  <c r="D64" i="15" s="1"/>
  <c r="D31" i="15"/>
  <c r="V30" i="2"/>
  <c r="U30" i="2"/>
  <c r="S30" i="2"/>
  <c r="D63" i="15" s="1"/>
  <c r="D30" i="15"/>
  <c r="V29" i="2"/>
  <c r="U29" i="2"/>
  <c r="C29" i="14" s="1"/>
  <c r="S29" i="2"/>
  <c r="D62" i="15" s="1"/>
  <c r="D29" i="15"/>
  <c r="V28" i="2"/>
  <c r="U28" i="2"/>
  <c r="S28" i="2"/>
  <c r="D61" i="15" s="1"/>
  <c r="V27" i="2"/>
  <c r="U27" i="2"/>
  <c r="C27" i="14" s="1"/>
  <c r="S27" i="2"/>
  <c r="D60" i="15" s="1"/>
  <c r="V26" i="2"/>
  <c r="U26" i="2"/>
  <c r="D92" i="15"/>
  <c r="S26" i="2"/>
  <c r="D59" i="15" s="1"/>
  <c r="V25" i="2"/>
  <c r="U25" i="2"/>
  <c r="C25" i="14" s="1"/>
  <c r="D91" i="15"/>
  <c r="S25" i="2"/>
  <c r="D58" i="15" s="1"/>
  <c r="D25" i="15"/>
  <c r="V24" i="2"/>
  <c r="U24" i="2"/>
  <c r="D90" i="15"/>
  <c r="S24" i="2"/>
  <c r="D57" i="15" s="1"/>
  <c r="V23" i="2"/>
  <c r="U23" i="2"/>
  <c r="C23" i="14" s="1"/>
  <c r="D89" i="15"/>
  <c r="S23" i="2"/>
  <c r="D56" i="15" s="1"/>
  <c r="D23" i="15"/>
  <c r="V22" i="2"/>
  <c r="U22" i="2"/>
  <c r="C22" i="14" s="1"/>
  <c r="S22" i="2"/>
  <c r="D55" i="15" s="1"/>
  <c r="D22" i="15"/>
  <c r="V21" i="2"/>
  <c r="U21" i="2"/>
  <c r="C21" i="14" s="1"/>
  <c r="S21" i="2"/>
  <c r="D54" i="15" s="1"/>
  <c r="D21" i="15"/>
  <c r="V20" i="2"/>
  <c r="U20" i="2"/>
  <c r="C20" i="14" s="1"/>
  <c r="S20" i="2"/>
  <c r="D53" i="15" s="1"/>
  <c r="D20" i="15"/>
  <c r="V19" i="2"/>
  <c r="U19" i="2"/>
  <c r="C19" i="14" s="1"/>
  <c r="S19" i="2"/>
  <c r="D52" i="15" s="1"/>
  <c r="D19" i="15"/>
  <c r="V18" i="2"/>
  <c r="U18" i="2"/>
  <c r="C18" i="14" s="1"/>
  <c r="S18" i="2"/>
  <c r="D51" i="15" s="1"/>
  <c r="D18" i="15"/>
  <c r="V17" i="2"/>
  <c r="U17" i="2"/>
  <c r="C17" i="14" s="1"/>
  <c r="S17" i="2"/>
  <c r="D50" i="15" s="1"/>
  <c r="D17" i="15"/>
  <c r="V16" i="2"/>
  <c r="U16" i="2"/>
  <c r="C16" i="14" s="1"/>
  <c r="D82" i="15"/>
  <c r="S16" i="2"/>
  <c r="D49" i="15" s="1"/>
  <c r="V15" i="2"/>
  <c r="U15" i="2"/>
  <c r="C15" i="14" s="1"/>
  <c r="S15" i="2"/>
  <c r="D48" i="15" s="1"/>
  <c r="V14" i="2"/>
  <c r="U14" i="2"/>
  <c r="C14" i="14" s="1"/>
  <c r="D80" i="15"/>
  <c r="S14" i="2"/>
  <c r="D47" i="15" s="1"/>
  <c r="D14" i="15"/>
  <c r="V13" i="2"/>
  <c r="U13" i="2"/>
  <c r="C13" i="14" s="1"/>
  <c r="D79" i="15"/>
  <c r="S13" i="2"/>
  <c r="D46" i="15" s="1"/>
  <c r="D13" i="15"/>
  <c r="V12" i="2"/>
  <c r="U12" i="2"/>
  <c r="C12" i="14" s="1"/>
  <c r="D78" i="15"/>
  <c r="S12" i="2"/>
  <c r="D45" i="15" s="1"/>
  <c r="D12" i="15"/>
  <c r="V11" i="2"/>
  <c r="U11" i="2"/>
  <c r="C11" i="14" s="1"/>
  <c r="D77" i="15"/>
  <c r="S11" i="2"/>
  <c r="D44" i="15" s="1"/>
  <c r="D11" i="15"/>
  <c r="V10" i="2"/>
  <c r="U10" i="2"/>
  <c r="C10" i="14" s="1"/>
  <c r="S10" i="2"/>
  <c r="D43" i="15" s="1"/>
  <c r="D10" i="15"/>
  <c r="V9" i="2"/>
  <c r="U9" i="2"/>
  <c r="C9" i="14" s="1"/>
  <c r="S9" i="2"/>
  <c r="D42" i="15" s="1"/>
  <c r="D9" i="15"/>
  <c r="V8" i="2"/>
  <c r="U8" i="2"/>
  <c r="C8" i="14" s="1"/>
  <c r="S8" i="2"/>
  <c r="D41" i="15" s="1"/>
  <c r="D8" i="15"/>
  <c r="V7" i="2"/>
  <c r="U7" i="2"/>
  <c r="C7" i="14" s="1"/>
  <c r="S7" i="2"/>
  <c r="D40" i="15" s="1"/>
  <c r="D7" i="15"/>
  <c r="V6" i="2"/>
  <c r="U6" i="2"/>
  <c r="C6" i="14" s="1"/>
  <c r="D72" i="15"/>
  <c r="S6" i="2"/>
  <c r="D39" i="15" s="1"/>
  <c r="D6" i="15"/>
  <c r="V5" i="2"/>
  <c r="U5" i="2"/>
  <c r="C5" i="14" s="1"/>
  <c r="S5" i="2"/>
  <c r="D38" i="15" s="1"/>
  <c r="D5" i="15"/>
  <c r="W27" i="4" l="1"/>
  <c r="W9" i="4"/>
  <c r="W13" i="4"/>
  <c r="W6" i="4"/>
  <c r="W15" i="4"/>
  <c r="W11" i="4"/>
  <c r="D23" i="3"/>
  <c r="W8" i="4"/>
  <c r="F23" i="3"/>
  <c r="W12" i="4"/>
  <c r="G23" i="3"/>
  <c r="H23" i="3" s="1"/>
  <c r="W29" i="4"/>
  <c r="W5" i="5"/>
  <c r="W19" i="4"/>
  <c r="W6" i="5"/>
  <c r="W5" i="4"/>
  <c r="W7" i="5"/>
  <c r="W21" i="4"/>
  <c r="W11" i="5"/>
  <c r="W7" i="4"/>
  <c r="W22" i="4"/>
  <c r="W12" i="5"/>
  <c r="B23" i="3"/>
  <c r="W23" i="4"/>
  <c r="W13" i="5"/>
  <c r="C23" i="3"/>
  <c r="W24" i="4"/>
  <c r="W25" i="4"/>
  <c r="E23" i="3"/>
  <c r="W26" i="4"/>
  <c r="D73" i="15"/>
  <c r="D85" i="15"/>
  <c r="U26" i="4"/>
  <c r="U29" i="4"/>
  <c r="U5" i="4"/>
  <c r="T5" i="6" s="1"/>
  <c r="U11" i="4"/>
  <c r="T11" i="6" s="1"/>
  <c r="U13" i="4"/>
  <c r="T13" i="6" s="1"/>
  <c r="U9" i="4"/>
  <c r="T9" i="6" s="1"/>
  <c r="F210" i="13"/>
  <c r="F191" i="13"/>
  <c r="F153" i="13"/>
  <c r="F20" i="13"/>
  <c r="F96" i="13"/>
  <c r="F39" i="13"/>
  <c r="F20" i="10"/>
  <c r="D19" i="8"/>
  <c r="K178" i="13"/>
  <c r="K197" i="13"/>
  <c r="K140" i="13"/>
  <c r="K26" i="13"/>
  <c r="K83" i="13"/>
  <c r="K7" i="13"/>
  <c r="K7" i="10"/>
  <c r="E205" i="13"/>
  <c r="E186" i="13"/>
  <c r="E148" i="13"/>
  <c r="E91" i="13"/>
  <c r="E15" i="13"/>
  <c r="E34" i="13"/>
  <c r="E15" i="10"/>
  <c r="C206" i="13"/>
  <c r="C187" i="13"/>
  <c r="C149" i="13"/>
  <c r="C16" i="13"/>
  <c r="C92" i="13"/>
  <c r="C35" i="13"/>
  <c r="H15" i="8"/>
  <c r="C16" i="10"/>
  <c r="O206" i="13"/>
  <c r="O187" i="13"/>
  <c r="O149" i="13"/>
  <c r="O16" i="13"/>
  <c r="O35" i="13"/>
  <c r="O92" i="13"/>
  <c r="O16" i="10"/>
  <c r="M207" i="13"/>
  <c r="M188" i="13"/>
  <c r="M150" i="13"/>
  <c r="M93" i="13"/>
  <c r="M17" i="13"/>
  <c r="M36" i="13"/>
  <c r="M17" i="10"/>
  <c r="J189" i="13"/>
  <c r="J208" i="13"/>
  <c r="J151" i="13"/>
  <c r="J18" i="13"/>
  <c r="J94" i="13"/>
  <c r="J37" i="13"/>
  <c r="J18" i="10"/>
  <c r="I17" i="8"/>
  <c r="C177" i="13"/>
  <c r="C196" i="13"/>
  <c r="C25" i="13"/>
  <c r="C139" i="13"/>
  <c r="C82" i="13"/>
  <c r="C6" i="13"/>
  <c r="C6" i="10"/>
  <c r="H5" i="8"/>
  <c r="O177" i="13"/>
  <c r="O196" i="13"/>
  <c r="O25" i="13"/>
  <c r="O139" i="13"/>
  <c r="O82" i="13"/>
  <c r="O6" i="13"/>
  <c r="O6" i="10"/>
  <c r="L178" i="13"/>
  <c r="L197" i="13"/>
  <c r="L140" i="13"/>
  <c r="L26" i="13"/>
  <c r="L83" i="13"/>
  <c r="L7" i="13"/>
  <c r="L7" i="10"/>
  <c r="J179" i="13"/>
  <c r="J198" i="13"/>
  <c r="J141" i="13"/>
  <c r="J27" i="13"/>
  <c r="J84" i="13"/>
  <c r="J8" i="13"/>
  <c r="I7" i="8"/>
  <c r="J8" i="10"/>
  <c r="H180" i="13"/>
  <c r="H199" i="13"/>
  <c r="H142" i="13"/>
  <c r="H28" i="13"/>
  <c r="H85" i="13"/>
  <c r="H9" i="13"/>
  <c r="H9" i="10"/>
  <c r="F181" i="13"/>
  <c r="F200" i="13"/>
  <c r="F143" i="13"/>
  <c r="F29" i="13"/>
  <c r="F86" i="13"/>
  <c r="F10" i="13"/>
  <c r="D9" i="8"/>
  <c r="F10" i="10"/>
  <c r="C201" i="13"/>
  <c r="C182" i="13"/>
  <c r="C144" i="13"/>
  <c r="C30" i="13"/>
  <c r="C87" i="13"/>
  <c r="C11" i="13"/>
  <c r="H10" i="8"/>
  <c r="C11" i="10"/>
  <c r="O201" i="13"/>
  <c r="O182" i="13"/>
  <c r="O144" i="13"/>
  <c r="O30" i="13"/>
  <c r="O87" i="13"/>
  <c r="O11" i="10"/>
  <c r="O11" i="13"/>
  <c r="K184" i="13"/>
  <c r="K203" i="13"/>
  <c r="K146" i="13"/>
  <c r="K89" i="13"/>
  <c r="K32" i="13"/>
  <c r="K13" i="13"/>
  <c r="K13" i="10"/>
  <c r="I185" i="13"/>
  <c r="I204" i="13"/>
  <c r="I147" i="13"/>
  <c r="I33" i="13"/>
  <c r="I90" i="13"/>
  <c r="I14" i="13"/>
  <c r="I52" i="13" s="1"/>
  <c r="J13" i="8"/>
  <c r="I14" i="10"/>
  <c r="F148" i="13"/>
  <c r="F205" i="13"/>
  <c r="F186" i="13"/>
  <c r="F15" i="13"/>
  <c r="F91" i="13"/>
  <c r="F34" i="13"/>
  <c r="D14" i="8"/>
  <c r="F15" i="10"/>
  <c r="D206" i="13"/>
  <c r="D149" i="13"/>
  <c r="D187" i="13"/>
  <c r="D16" i="13"/>
  <c r="D92" i="13"/>
  <c r="C15" i="8"/>
  <c r="D35" i="13"/>
  <c r="D16" i="10"/>
  <c r="B207" i="13"/>
  <c r="B188" i="13"/>
  <c r="B150" i="13"/>
  <c r="B17" i="13"/>
  <c r="B93" i="13"/>
  <c r="B36" i="13"/>
  <c r="B16" i="8"/>
  <c r="B17" i="10"/>
  <c r="N207" i="13"/>
  <c r="N188" i="13"/>
  <c r="N150" i="13"/>
  <c r="N93" i="13"/>
  <c r="N17" i="13"/>
  <c r="N36" i="13"/>
  <c r="N17" i="10"/>
  <c r="K189" i="13"/>
  <c r="K208" i="13"/>
  <c r="K151" i="13"/>
  <c r="K18" i="13"/>
  <c r="K94" i="13"/>
  <c r="K37" i="13"/>
  <c r="K18" i="10"/>
  <c r="H190" i="13"/>
  <c r="H209" i="13"/>
  <c r="H152" i="13"/>
  <c r="H95" i="13"/>
  <c r="H19" i="13"/>
  <c r="H38" i="13"/>
  <c r="H19" i="10"/>
  <c r="J191" i="13"/>
  <c r="J210" i="13"/>
  <c r="J153" i="13"/>
  <c r="J96" i="13"/>
  <c r="J39" i="13"/>
  <c r="J20" i="13"/>
  <c r="I19" i="8"/>
  <c r="J20" i="10"/>
  <c r="L202" i="13"/>
  <c r="L145" i="13"/>
  <c r="L183" i="13"/>
  <c r="L88" i="13"/>
  <c r="L12" i="13"/>
  <c r="L31" i="13"/>
  <c r="L12" i="10"/>
  <c r="D177" i="13"/>
  <c r="D196" i="13"/>
  <c r="D139" i="13"/>
  <c r="D25" i="13"/>
  <c r="D82" i="13"/>
  <c r="D6" i="13"/>
  <c r="C5" i="8"/>
  <c r="D6" i="10"/>
  <c r="M178" i="13"/>
  <c r="M197" i="13"/>
  <c r="M26" i="13"/>
  <c r="M140" i="13"/>
  <c r="M83" i="13"/>
  <c r="M7" i="13"/>
  <c r="M7" i="10"/>
  <c r="K179" i="13"/>
  <c r="K198" i="13"/>
  <c r="K27" i="13"/>
  <c r="K141" i="13"/>
  <c r="K84" i="13"/>
  <c r="K8" i="13"/>
  <c r="K8" i="10"/>
  <c r="I180" i="13"/>
  <c r="I199" i="13"/>
  <c r="I28" i="13"/>
  <c r="I142" i="13"/>
  <c r="I85" i="13"/>
  <c r="I9" i="13"/>
  <c r="J8" i="8"/>
  <c r="I9" i="10"/>
  <c r="G181" i="13"/>
  <c r="G200" i="13"/>
  <c r="G29" i="13"/>
  <c r="G143" i="13"/>
  <c r="G86" i="13"/>
  <c r="G10" i="13"/>
  <c r="G10" i="10"/>
  <c r="D182" i="13"/>
  <c r="D144" i="13"/>
  <c r="D201" i="13"/>
  <c r="D30" i="13"/>
  <c r="D87" i="13"/>
  <c r="D11" i="13"/>
  <c r="D11" i="10"/>
  <c r="C10" i="8"/>
  <c r="B202" i="13"/>
  <c r="B183" i="13"/>
  <c r="B145" i="13"/>
  <c r="B31" i="13"/>
  <c r="B88" i="13"/>
  <c r="B12" i="13"/>
  <c r="B12" i="10"/>
  <c r="B11" i="8"/>
  <c r="N202" i="13"/>
  <c r="N183" i="13"/>
  <c r="N145" i="13"/>
  <c r="N31" i="13"/>
  <c r="N88" i="13"/>
  <c r="N12" i="13"/>
  <c r="N12" i="10"/>
  <c r="L184" i="13"/>
  <c r="L203" i="13"/>
  <c r="L146" i="13"/>
  <c r="L89" i="13"/>
  <c r="L32" i="13"/>
  <c r="L13" i="13"/>
  <c r="L13" i="10"/>
  <c r="J185" i="13"/>
  <c r="J204" i="13"/>
  <c r="J147" i="13"/>
  <c r="J33" i="13"/>
  <c r="J90" i="13"/>
  <c r="J14" i="13"/>
  <c r="I13" i="8"/>
  <c r="J14" i="10"/>
  <c r="E206" i="13"/>
  <c r="E187" i="13"/>
  <c r="E149" i="13"/>
  <c r="E92" i="13"/>
  <c r="E35" i="13"/>
  <c r="E16" i="13"/>
  <c r="E54" i="13" s="1"/>
  <c r="E16" i="10"/>
  <c r="C207" i="13"/>
  <c r="C188" i="13"/>
  <c r="C150" i="13"/>
  <c r="C93" i="13"/>
  <c r="C36" i="13"/>
  <c r="C17" i="13"/>
  <c r="C17" i="10"/>
  <c r="H16" i="8"/>
  <c r="O207" i="13"/>
  <c r="O188" i="13"/>
  <c r="O150" i="13"/>
  <c r="O93" i="13"/>
  <c r="O36" i="13"/>
  <c r="O17" i="13"/>
  <c r="O17" i="10"/>
  <c r="L208" i="13"/>
  <c r="L151" i="13"/>
  <c r="L189" i="13"/>
  <c r="L18" i="13"/>
  <c r="L94" i="13"/>
  <c r="L37" i="13"/>
  <c r="L18" i="10"/>
  <c r="I190" i="13"/>
  <c r="I209" i="13"/>
  <c r="I152" i="13"/>
  <c r="I95" i="13"/>
  <c r="I19" i="13"/>
  <c r="I38" i="13"/>
  <c r="J18" i="8"/>
  <c r="I19" i="10"/>
  <c r="B177" i="13"/>
  <c r="B196" i="13"/>
  <c r="B139" i="13"/>
  <c r="B25" i="13"/>
  <c r="B82" i="13"/>
  <c r="B6" i="13"/>
  <c r="B5" i="8"/>
  <c r="B6" i="10"/>
  <c r="E177" i="13"/>
  <c r="E196" i="13"/>
  <c r="E139" i="13"/>
  <c r="E25" i="13"/>
  <c r="E82" i="13"/>
  <c r="E6" i="13"/>
  <c r="E6" i="10"/>
  <c r="B178" i="13"/>
  <c r="B197" i="13"/>
  <c r="B140" i="13"/>
  <c r="B26" i="13"/>
  <c r="B83" i="13"/>
  <c r="B7" i="13"/>
  <c r="B7" i="10"/>
  <c r="B6" i="8"/>
  <c r="N178" i="13"/>
  <c r="N197" i="13"/>
  <c r="N140" i="13"/>
  <c r="N26" i="13"/>
  <c r="N83" i="13"/>
  <c r="N7" i="13"/>
  <c r="N7" i="10"/>
  <c r="L179" i="13"/>
  <c r="L198" i="13"/>
  <c r="L141" i="13"/>
  <c r="L27" i="13"/>
  <c r="L84" i="13"/>
  <c r="L8" i="13"/>
  <c r="L8" i="10"/>
  <c r="J199" i="13"/>
  <c r="J180" i="13"/>
  <c r="J142" i="13"/>
  <c r="J28" i="13"/>
  <c r="J85" i="13"/>
  <c r="J9" i="13"/>
  <c r="I8" i="8"/>
  <c r="J9" i="10"/>
  <c r="H200" i="13"/>
  <c r="H181" i="13"/>
  <c r="H143" i="13"/>
  <c r="H29" i="13"/>
  <c r="H86" i="13"/>
  <c r="H10" i="13"/>
  <c r="H10" i="10"/>
  <c r="E182" i="13"/>
  <c r="E201" i="13"/>
  <c r="E144" i="13"/>
  <c r="E30" i="13"/>
  <c r="E87" i="13"/>
  <c r="E11" i="13"/>
  <c r="E11" i="10"/>
  <c r="C202" i="13"/>
  <c r="C183" i="13"/>
  <c r="C145" i="13"/>
  <c r="C31" i="13"/>
  <c r="C88" i="13"/>
  <c r="C12" i="13"/>
  <c r="H11" i="8"/>
  <c r="C12" i="10"/>
  <c r="O202" i="13"/>
  <c r="O183" i="13"/>
  <c r="O145" i="13"/>
  <c r="O31" i="13"/>
  <c r="O88" i="13"/>
  <c r="O12" i="13"/>
  <c r="O12" i="10"/>
  <c r="M184" i="13"/>
  <c r="M203" i="13"/>
  <c r="M89" i="13"/>
  <c r="M146" i="13"/>
  <c r="M32" i="13"/>
  <c r="M13" i="13"/>
  <c r="M13" i="10"/>
  <c r="K185" i="13"/>
  <c r="K204" i="13"/>
  <c r="K90" i="13"/>
  <c r="K33" i="13"/>
  <c r="K147" i="13"/>
  <c r="K14" i="13"/>
  <c r="K14" i="10"/>
  <c r="H186" i="13"/>
  <c r="H205" i="13"/>
  <c r="H148" i="13"/>
  <c r="H34" i="13"/>
  <c r="H91" i="13"/>
  <c r="H15" i="13"/>
  <c r="H15" i="10"/>
  <c r="F187" i="13"/>
  <c r="F149" i="13"/>
  <c r="F206" i="13"/>
  <c r="F92" i="13"/>
  <c r="F35" i="13"/>
  <c r="F16" i="13"/>
  <c r="F54" i="13" s="1"/>
  <c r="D15" i="8"/>
  <c r="F16" i="10"/>
  <c r="D207" i="13"/>
  <c r="D188" i="13"/>
  <c r="D150" i="13"/>
  <c r="D36" i="13"/>
  <c r="D93" i="13"/>
  <c r="D17" i="13"/>
  <c r="C16" i="8"/>
  <c r="D17" i="10"/>
  <c r="J209" i="13"/>
  <c r="J152" i="13"/>
  <c r="J190" i="13"/>
  <c r="J95" i="13"/>
  <c r="J19" i="13"/>
  <c r="J38" i="13"/>
  <c r="I18" i="8"/>
  <c r="J19" i="10"/>
  <c r="H210" i="13"/>
  <c r="H153" i="13"/>
  <c r="H191" i="13"/>
  <c r="H20" i="13"/>
  <c r="H39" i="13"/>
  <c r="H96" i="13"/>
  <c r="H20" i="10"/>
  <c r="N201" i="13"/>
  <c r="N144" i="13"/>
  <c r="N182" i="13"/>
  <c r="N87" i="13"/>
  <c r="N11" i="13"/>
  <c r="N30" i="13"/>
  <c r="N11" i="10"/>
  <c r="F177" i="13"/>
  <c r="F196" i="13"/>
  <c r="F139" i="13"/>
  <c r="F25" i="13"/>
  <c r="F82" i="13"/>
  <c r="F6" i="13"/>
  <c r="D5" i="8"/>
  <c r="F6" i="10"/>
  <c r="C178" i="13"/>
  <c r="C197" i="13"/>
  <c r="C140" i="13"/>
  <c r="C26" i="13"/>
  <c r="C83" i="13"/>
  <c r="C7" i="13"/>
  <c r="H6" i="8"/>
  <c r="C7" i="10"/>
  <c r="O178" i="13"/>
  <c r="O197" i="13"/>
  <c r="O140" i="13"/>
  <c r="O26" i="13"/>
  <c r="O83" i="13"/>
  <c r="O7" i="13"/>
  <c r="O7" i="10"/>
  <c r="K180" i="13"/>
  <c r="K199" i="13"/>
  <c r="K142" i="13"/>
  <c r="K28" i="13"/>
  <c r="K85" i="13"/>
  <c r="K9" i="13"/>
  <c r="K47" i="13" s="1"/>
  <c r="K9" i="10"/>
  <c r="I181" i="13"/>
  <c r="I200" i="13"/>
  <c r="I143" i="13"/>
  <c r="I29" i="13"/>
  <c r="I86" i="13"/>
  <c r="I10" i="13"/>
  <c r="J9" i="8"/>
  <c r="I10" i="10"/>
  <c r="F201" i="13"/>
  <c r="F182" i="13"/>
  <c r="F144" i="13"/>
  <c r="F30" i="13"/>
  <c r="F87" i="13"/>
  <c r="F11" i="13"/>
  <c r="F11" i="10"/>
  <c r="D10" i="8"/>
  <c r="D202" i="13"/>
  <c r="D183" i="13"/>
  <c r="D145" i="13"/>
  <c r="D31" i="13"/>
  <c r="D88" i="13"/>
  <c r="D12" i="13"/>
  <c r="D12" i="10"/>
  <c r="C11" i="8"/>
  <c r="B203" i="13"/>
  <c r="B184" i="13"/>
  <c r="B146" i="13"/>
  <c r="B32" i="13"/>
  <c r="B89" i="13"/>
  <c r="B13" i="13"/>
  <c r="B12" i="8"/>
  <c r="B13" i="10"/>
  <c r="N203" i="13"/>
  <c r="N184" i="13"/>
  <c r="N222" i="13" s="1"/>
  <c r="N146" i="13"/>
  <c r="N89" i="13"/>
  <c r="N32" i="13"/>
  <c r="N13" i="13"/>
  <c r="N13" i="10"/>
  <c r="L204" i="13"/>
  <c r="L185" i="13"/>
  <c r="L147" i="13"/>
  <c r="L33" i="13"/>
  <c r="L90" i="13"/>
  <c r="L14" i="13"/>
  <c r="L14" i="10"/>
  <c r="I186" i="13"/>
  <c r="I205" i="13"/>
  <c r="I91" i="13"/>
  <c r="I34" i="13"/>
  <c r="I148" i="13"/>
  <c r="I15" i="13"/>
  <c r="J14" i="8"/>
  <c r="I15" i="10"/>
  <c r="G187" i="13"/>
  <c r="G206" i="13"/>
  <c r="G92" i="13"/>
  <c r="G35" i="13"/>
  <c r="G149" i="13"/>
  <c r="G16" i="13"/>
  <c r="G16" i="10"/>
  <c r="E207" i="13"/>
  <c r="E188" i="13"/>
  <c r="E93" i="13"/>
  <c r="E36" i="13"/>
  <c r="E150" i="13"/>
  <c r="E17" i="13"/>
  <c r="E17" i="10"/>
  <c r="B208" i="13"/>
  <c r="B189" i="13"/>
  <c r="B151" i="13"/>
  <c r="B37" i="13"/>
  <c r="B18" i="13"/>
  <c r="B94" i="13"/>
  <c r="B17" i="8"/>
  <c r="B18" i="10"/>
  <c r="N189" i="13"/>
  <c r="N208" i="13"/>
  <c r="N151" i="13"/>
  <c r="N37" i="13"/>
  <c r="N94" i="13"/>
  <c r="N18" i="10"/>
  <c r="N18" i="13"/>
  <c r="K190" i="13"/>
  <c r="K209" i="13"/>
  <c r="K152" i="13"/>
  <c r="K95" i="13"/>
  <c r="K38" i="13"/>
  <c r="K19" i="13"/>
  <c r="K19" i="10"/>
  <c r="H204" i="13"/>
  <c r="H147" i="13"/>
  <c r="H185" i="13"/>
  <c r="H90" i="13"/>
  <c r="H14" i="13"/>
  <c r="H33" i="13"/>
  <c r="H14" i="10"/>
  <c r="G196" i="13"/>
  <c r="G177" i="13"/>
  <c r="G139" i="13"/>
  <c r="G82" i="13"/>
  <c r="G25" i="13"/>
  <c r="G6" i="13"/>
  <c r="G6" i="10"/>
  <c r="D197" i="13"/>
  <c r="D178" i="13"/>
  <c r="D140" i="13"/>
  <c r="D26" i="13"/>
  <c r="D83" i="13"/>
  <c r="D7" i="10"/>
  <c r="C6" i="8"/>
  <c r="D7" i="13"/>
  <c r="B198" i="13"/>
  <c r="B141" i="13"/>
  <c r="B179" i="13"/>
  <c r="B27" i="13"/>
  <c r="B84" i="13"/>
  <c r="B8" i="10"/>
  <c r="B7" i="8"/>
  <c r="B8" i="13"/>
  <c r="N198" i="13"/>
  <c r="N179" i="13"/>
  <c r="N141" i="13"/>
  <c r="N27" i="13"/>
  <c r="N84" i="13"/>
  <c r="N8" i="10"/>
  <c r="N8" i="13"/>
  <c r="L199" i="13"/>
  <c r="L180" i="13"/>
  <c r="L142" i="13"/>
  <c r="L28" i="13"/>
  <c r="L85" i="13"/>
  <c r="L9" i="13"/>
  <c r="L9" i="10"/>
  <c r="J200" i="13"/>
  <c r="J181" i="13"/>
  <c r="J143" i="13"/>
  <c r="J29" i="13"/>
  <c r="J86" i="13"/>
  <c r="J10" i="13"/>
  <c r="I9" i="8"/>
  <c r="J10" i="10"/>
  <c r="E183" i="13"/>
  <c r="E202" i="13"/>
  <c r="E145" i="13"/>
  <c r="E31" i="13"/>
  <c r="E88" i="13"/>
  <c r="E12" i="13"/>
  <c r="E12" i="10"/>
  <c r="C184" i="13"/>
  <c r="C203" i="13"/>
  <c r="C146" i="13"/>
  <c r="C32" i="13"/>
  <c r="C89" i="13"/>
  <c r="C13" i="13"/>
  <c r="C13" i="10"/>
  <c r="H12" i="8"/>
  <c r="O184" i="13"/>
  <c r="O203" i="13"/>
  <c r="O146" i="13"/>
  <c r="O32" i="13"/>
  <c r="O89" i="13"/>
  <c r="O13" i="13"/>
  <c r="O13" i="10"/>
  <c r="J205" i="13"/>
  <c r="J186" i="13"/>
  <c r="J148" i="13"/>
  <c r="J34" i="13"/>
  <c r="J91" i="13"/>
  <c r="J15" i="13"/>
  <c r="J15" i="10"/>
  <c r="I14" i="8"/>
  <c r="H206" i="13"/>
  <c r="H187" i="13"/>
  <c r="H149" i="13"/>
  <c r="H92" i="13"/>
  <c r="H35" i="13"/>
  <c r="H16" i="13"/>
  <c r="H16" i="10"/>
  <c r="F207" i="13"/>
  <c r="F188" i="13"/>
  <c r="F150" i="13"/>
  <c r="F36" i="13"/>
  <c r="F93" i="13"/>
  <c r="F17" i="13"/>
  <c r="D16" i="8"/>
  <c r="F17" i="10"/>
  <c r="C208" i="13"/>
  <c r="C189" i="13"/>
  <c r="C94" i="13"/>
  <c r="C37" i="13"/>
  <c r="C151" i="13"/>
  <c r="C18" i="13"/>
  <c r="C18" i="10"/>
  <c r="H17" i="8"/>
  <c r="O189" i="13"/>
  <c r="O208" i="13"/>
  <c r="O94" i="13"/>
  <c r="O37" i="13"/>
  <c r="O151" i="13"/>
  <c r="O18" i="13"/>
  <c r="O18" i="10"/>
  <c r="L190" i="13"/>
  <c r="L209" i="13"/>
  <c r="L152" i="13"/>
  <c r="L95" i="13"/>
  <c r="L38" i="13"/>
  <c r="L19" i="13"/>
  <c r="L19" i="10"/>
  <c r="B201" i="13"/>
  <c r="B144" i="13"/>
  <c r="B182" i="13"/>
  <c r="B87" i="13"/>
  <c r="B11" i="13"/>
  <c r="B30" i="13"/>
  <c r="B10" i="8"/>
  <c r="B11" i="10"/>
  <c r="E210" i="13"/>
  <c r="E191" i="13"/>
  <c r="E153" i="13"/>
  <c r="E20" i="13"/>
  <c r="E39" i="13"/>
  <c r="E96" i="13"/>
  <c r="E20" i="10"/>
  <c r="G210" i="13"/>
  <c r="G191" i="13"/>
  <c r="G153" i="13"/>
  <c r="G20" i="13"/>
  <c r="G39" i="13"/>
  <c r="G96" i="13"/>
  <c r="G20" i="10"/>
  <c r="I191" i="13"/>
  <c r="I210" i="13"/>
  <c r="I153" i="13"/>
  <c r="I96" i="13"/>
  <c r="I39" i="13"/>
  <c r="I20" i="13"/>
  <c r="I20" i="10"/>
  <c r="J19" i="8"/>
  <c r="O210" i="13"/>
  <c r="O191" i="13"/>
  <c r="O153" i="13"/>
  <c r="O96" i="13"/>
  <c r="O20" i="13"/>
  <c r="O39" i="13"/>
  <c r="O20" i="10"/>
  <c r="H196" i="13"/>
  <c r="H177" i="13"/>
  <c r="H139" i="13"/>
  <c r="H82" i="13"/>
  <c r="H6" i="13"/>
  <c r="H6" i="10"/>
  <c r="H25" i="13"/>
  <c r="E197" i="13"/>
  <c r="E178" i="13"/>
  <c r="E140" i="13"/>
  <c r="E83" i="13"/>
  <c r="E7" i="13"/>
  <c r="E26" i="13"/>
  <c r="E7" i="10"/>
  <c r="C198" i="13"/>
  <c r="C179" i="13"/>
  <c r="C141" i="13"/>
  <c r="C84" i="13"/>
  <c r="C27" i="13"/>
  <c r="C8" i="13"/>
  <c r="H7" i="8"/>
  <c r="C8" i="10"/>
  <c r="O198" i="13"/>
  <c r="O179" i="13"/>
  <c r="O141" i="13"/>
  <c r="O84" i="13"/>
  <c r="O27" i="13"/>
  <c r="O8" i="13"/>
  <c r="O8" i="10"/>
  <c r="M199" i="13"/>
  <c r="M180" i="13"/>
  <c r="M142" i="13"/>
  <c r="M85" i="13"/>
  <c r="M9" i="13"/>
  <c r="M28" i="13"/>
  <c r="M9" i="10"/>
  <c r="K200" i="13"/>
  <c r="K181" i="13"/>
  <c r="K143" i="13"/>
  <c r="K86" i="13"/>
  <c r="K10" i="13"/>
  <c r="K29" i="13"/>
  <c r="K10" i="10"/>
  <c r="H201" i="13"/>
  <c r="H144" i="13"/>
  <c r="H182" i="13"/>
  <c r="H30" i="13"/>
  <c r="H87" i="13"/>
  <c r="H11" i="13"/>
  <c r="H11" i="10"/>
  <c r="F202" i="13"/>
  <c r="F183" i="13"/>
  <c r="F145" i="13"/>
  <c r="F31" i="13"/>
  <c r="F88" i="13"/>
  <c r="F12" i="10"/>
  <c r="D11" i="8"/>
  <c r="F12" i="13"/>
  <c r="D203" i="13"/>
  <c r="D184" i="13"/>
  <c r="D146" i="13"/>
  <c r="D32" i="13"/>
  <c r="D89" i="13"/>
  <c r="D13" i="10"/>
  <c r="D13" i="13"/>
  <c r="C12" i="8"/>
  <c r="B204" i="13"/>
  <c r="B185" i="13"/>
  <c r="B90" i="13"/>
  <c r="B147" i="13"/>
  <c r="B33" i="13"/>
  <c r="B14" i="13"/>
  <c r="B13" i="8"/>
  <c r="B14" i="10"/>
  <c r="N204" i="13"/>
  <c r="N90" i="13"/>
  <c r="N147" i="13"/>
  <c r="N185" i="13"/>
  <c r="N33" i="13"/>
  <c r="N14" i="13"/>
  <c r="N14" i="10"/>
  <c r="K186" i="13"/>
  <c r="K205" i="13"/>
  <c r="K148" i="13"/>
  <c r="K34" i="13"/>
  <c r="K91" i="13"/>
  <c r="K15" i="13"/>
  <c r="K15" i="10"/>
  <c r="I187" i="13"/>
  <c r="I206" i="13"/>
  <c r="I149" i="13"/>
  <c r="I35" i="13"/>
  <c r="I92" i="13"/>
  <c r="I16" i="13"/>
  <c r="I16" i="10"/>
  <c r="J15" i="8"/>
  <c r="D208" i="13"/>
  <c r="D189" i="13"/>
  <c r="D94" i="13"/>
  <c r="D151" i="13"/>
  <c r="D37" i="13"/>
  <c r="D18" i="13"/>
  <c r="C17" i="8"/>
  <c r="D18" i="10"/>
  <c r="M190" i="13"/>
  <c r="M209" i="13"/>
  <c r="M152" i="13"/>
  <c r="M95" i="13"/>
  <c r="M38" i="13"/>
  <c r="M19" i="13"/>
  <c r="M19" i="10"/>
  <c r="I179" i="13"/>
  <c r="I198" i="13"/>
  <c r="I141" i="13"/>
  <c r="I27" i="13"/>
  <c r="I84" i="13"/>
  <c r="I8" i="13"/>
  <c r="I8" i="10"/>
  <c r="J7" i="8"/>
  <c r="C210" i="13"/>
  <c r="C191" i="13"/>
  <c r="C96" i="13"/>
  <c r="C153" i="13"/>
  <c r="C20" i="13"/>
  <c r="C39" i="13"/>
  <c r="C20" i="10"/>
  <c r="B199" i="13"/>
  <c r="B180" i="13"/>
  <c r="B142" i="13"/>
  <c r="B85" i="13"/>
  <c r="B28" i="13"/>
  <c r="B9" i="13"/>
  <c r="B9" i="10"/>
  <c r="B8" i="8"/>
  <c r="G202" i="13"/>
  <c r="G183" i="13"/>
  <c r="G88" i="13"/>
  <c r="G145" i="13"/>
  <c r="G31" i="13"/>
  <c r="G12" i="13"/>
  <c r="G12" i="10"/>
  <c r="L205" i="13"/>
  <c r="L91" i="13"/>
  <c r="L186" i="13"/>
  <c r="L148" i="13"/>
  <c r="L34" i="13"/>
  <c r="L15" i="13"/>
  <c r="L15" i="10"/>
  <c r="H207" i="13"/>
  <c r="H188" i="13"/>
  <c r="H93" i="13"/>
  <c r="H150" i="13"/>
  <c r="H36" i="13"/>
  <c r="H17" i="13"/>
  <c r="H17" i="10"/>
  <c r="E189" i="13"/>
  <c r="E208" i="13"/>
  <c r="E151" i="13"/>
  <c r="E37" i="13"/>
  <c r="E94" i="13"/>
  <c r="E18" i="13"/>
  <c r="E18" i="10"/>
  <c r="N209" i="13"/>
  <c r="N190" i="13"/>
  <c r="N152" i="13"/>
  <c r="N95" i="13"/>
  <c r="N38" i="13"/>
  <c r="N19" i="10"/>
  <c r="N19" i="13"/>
  <c r="E181" i="13"/>
  <c r="E143" i="13"/>
  <c r="E200" i="13"/>
  <c r="E29" i="13"/>
  <c r="E10" i="13"/>
  <c r="E86" i="13"/>
  <c r="E10" i="10"/>
  <c r="D198" i="13"/>
  <c r="D141" i="13"/>
  <c r="D179" i="13"/>
  <c r="D84" i="13"/>
  <c r="D27" i="13"/>
  <c r="D8" i="13"/>
  <c r="D8" i="10"/>
  <c r="C7" i="8"/>
  <c r="I201" i="13"/>
  <c r="I182" i="13"/>
  <c r="I144" i="13"/>
  <c r="I87" i="13"/>
  <c r="I30" i="13"/>
  <c r="I11" i="13"/>
  <c r="J10" i="8"/>
  <c r="I11" i="10"/>
  <c r="E184" i="13"/>
  <c r="E89" i="13"/>
  <c r="E146" i="13"/>
  <c r="E203" i="13"/>
  <c r="E13" i="13"/>
  <c r="E32" i="13"/>
  <c r="E13" i="10"/>
  <c r="J206" i="13"/>
  <c r="J92" i="13"/>
  <c r="J187" i="13"/>
  <c r="J149" i="13"/>
  <c r="J35" i="13"/>
  <c r="J16" i="13"/>
  <c r="J16" i="10"/>
  <c r="I15" i="8"/>
  <c r="J196" i="13"/>
  <c r="J177" i="13"/>
  <c r="J139" i="13"/>
  <c r="J82" i="13"/>
  <c r="J6" i="13"/>
  <c r="J25" i="13"/>
  <c r="J6" i="10"/>
  <c r="I5" i="8"/>
  <c r="E198" i="13"/>
  <c r="E179" i="13"/>
  <c r="E141" i="13"/>
  <c r="E84" i="13"/>
  <c r="E27" i="13"/>
  <c r="E8" i="13"/>
  <c r="E8" i="10"/>
  <c r="C199" i="13"/>
  <c r="C180" i="13"/>
  <c r="C142" i="13"/>
  <c r="C85" i="13"/>
  <c r="C28" i="13"/>
  <c r="C9" i="13"/>
  <c r="C9" i="10"/>
  <c r="H8" i="8"/>
  <c r="O199" i="13"/>
  <c r="O180" i="13"/>
  <c r="O142" i="13"/>
  <c r="O85" i="13"/>
  <c r="O28" i="13"/>
  <c r="O9" i="13"/>
  <c r="O9" i="10"/>
  <c r="J201" i="13"/>
  <c r="J144" i="13"/>
  <c r="J182" i="13"/>
  <c r="J87" i="13"/>
  <c r="J30" i="13"/>
  <c r="J11" i="13"/>
  <c r="J11" i="10"/>
  <c r="I10" i="8"/>
  <c r="H202" i="13"/>
  <c r="H183" i="13"/>
  <c r="H145" i="13"/>
  <c r="H88" i="13"/>
  <c r="H31" i="13"/>
  <c r="H12" i="13"/>
  <c r="H12" i="10"/>
  <c r="F203" i="13"/>
  <c r="F89" i="13"/>
  <c r="F184" i="13"/>
  <c r="F146" i="13"/>
  <c r="F32" i="13"/>
  <c r="F13" i="13"/>
  <c r="F13" i="10"/>
  <c r="D12" i="8"/>
  <c r="D204" i="13"/>
  <c r="D90" i="13"/>
  <c r="D147" i="13"/>
  <c r="D185" i="13"/>
  <c r="D33" i="13"/>
  <c r="D14" i="13"/>
  <c r="C13" i="8"/>
  <c r="D14" i="10"/>
  <c r="M205" i="13"/>
  <c r="M186" i="13"/>
  <c r="M91" i="13"/>
  <c r="M148" i="13"/>
  <c r="M34" i="13"/>
  <c r="M15" i="13"/>
  <c r="M15" i="10"/>
  <c r="K206" i="13"/>
  <c r="K187" i="13"/>
  <c r="K92" i="13"/>
  <c r="K149" i="13"/>
  <c r="K16" i="13"/>
  <c r="K35" i="13"/>
  <c r="K16" i="10"/>
  <c r="I207" i="13"/>
  <c r="I188" i="13"/>
  <c r="I93" i="13"/>
  <c r="I150" i="13"/>
  <c r="I36" i="13"/>
  <c r="I17" i="13"/>
  <c r="I17" i="10"/>
  <c r="J16" i="8"/>
  <c r="F208" i="13"/>
  <c r="F94" i="13"/>
  <c r="F151" i="13"/>
  <c r="F37" i="13"/>
  <c r="F189" i="13"/>
  <c r="F18" i="13"/>
  <c r="D17" i="8"/>
  <c r="F18" i="10"/>
  <c r="C190" i="13"/>
  <c r="C209" i="13"/>
  <c r="C152" i="13"/>
  <c r="C38" i="13"/>
  <c r="C95" i="13"/>
  <c r="C19" i="13"/>
  <c r="H18" i="8"/>
  <c r="C19" i="10"/>
  <c r="O190" i="13"/>
  <c r="O209" i="13"/>
  <c r="O95" i="13"/>
  <c r="O38" i="13"/>
  <c r="O152" i="13"/>
  <c r="O19" i="13"/>
  <c r="O19" i="10"/>
  <c r="N177" i="13"/>
  <c r="N196" i="13"/>
  <c r="N139" i="13"/>
  <c r="N25" i="13"/>
  <c r="N82" i="13"/>
  <c r="N6" i="13"/>
  <c r="N6" i="10"/>
  <c r="I196" i="13"/>
  <c r="I177" i="13"/>
  <c r="I139" i="13"/>
  <c r="I82" i="13"/>
  <c r="I25" i="13"/>
  <c r="I6" i="13"/>
  <c r="I6" i="10"/>
  <c r="J5" i="8"/>
  <c r="N199" i="13"/>
  <c r="N180" i="13"/>
  <c r="N142" i="13"/>
  <c r="N85" i="13"/>
  <c r="N28" i="13"/>
  <c r="N9" i="13"/>
  <c r="N9" i="10"/>
  <c r="O204" i="13"/>
  <c r="O185" i="13"/>
  <c r="O90" i="13"/>
  <c r="O147" i="13"/>
  <c r="O33" i="13"/>
  <c r="O14" i="13"/>
  <c r="O14" i="10"/>
  <c r="K196" i="13"/>
  <c r="K177" i="13"/>
  <c r="K139" i="13"/>
  <c r="K82" i="13"/>
  <c r="K25" i="13"/>
  <c r="K6" i="13"/>
  <c r="K6" i="10"/>
  <c r="H197" i="13"/>
  <c r="H178" i="13"/>
  <c r="H140" i="13"/>
  <c r="H83" i="13"/>
  <c r="H7" i="13"/>
  <c r="H7" i="10"/>
  <c r="H26" i="13"/>
  <c r="F198" i="13"/>
  <c r="F179" i="13"/>
  <c r="F141" i="13"/>
  <c r="F84" i="13"/>
  <c r="F8" i="13"/>
  <c r="F27" i="13"/>
  <c r="F8" i="10"/>
  <c r="D7" i="8"/>
  <c r="D199" i="13"/>
  <c r="D180" i="13"/>
  <c r="D142" i="13"/>
  <c r="D85" i="13"/>
  <c r="D28" i="13"/>
  <c r="D9" i="13"/>
  <c r="D9" i="10"/>
  <c r="C8" i="8"/>
  <c r="B200" i="13"/>
  <c r="B181" i="13"/>
  <c r="B143" i="13"/>
  <c r="B86" i="13"/>
  <c r="B10" i="13"/>
  <c r="B29" i="13"/>
  <c r="B10" i="10"/>
  <c r="B9" i="8"/>
  <c r="N200" i="13"/>
  <c r="N181" i="13"/>
  <c r="N143" i="13"/>
  <c r="N86" i="13"/>
  <c r="N10" i="13"/>
  <c r="N10" i="10"/>
  <c r="N29" i="13"/>
  <c r="K201" i="13"/>
  <c r="K182" i="13"/>
  <c r="K144" i="13"/>
  <c r="K87" i="13"/>
  <c r="K30" i="13"/>
  <c r="K11" i="13"/>
  <c r="K11" i="10"/>
  <c r="I202" i="13"/>
  <c r="I183" i="13"/>
  <c r="I145" i="13"/>
  <c r="I88" i="13"/>
  <c r="I31" i="13"/>
  <c r="I12" i="13"/>
  <c r="I12" i="10"/>
  <c r="J11" i="8"/>
  <c r="E204" i="13"/>
  <c r="E185" i="13"/>
  <c r="E147" i="13"/>
  <c r="E33" i="13"/>
  <c r="E90" i="13"/>
  <c r="E14" i="13"/>
  <c r="E14" i="10"/>
  <c r="B205" i="13"/>
  <c r="B91" i="13"/>
  <c r="B148" i="13"/>
  <c r="B186" i="13"/>
  <c r="B34" i="13"/>
  <c r="B15" i="10"/>
  <c r="B14" i="8"/>
  <c r="B15" i="13"/>
  <c r="N205" i="13"/>
  <c r="N91" i="13"/>
  <c r="N186" i="13"/>
  <c r="N148" i="13"/>
  <c r="N34" i="13"/>
  <c r="N15" i="13"/>
  <c r="N15" i="10"/>
  <c r="L206" i="13"/>
  <c r="L187" i="13"/>
  <c r="L92" i="13"/>
  <c r="L149" i="13"/>
  <c r="L16" i="13"/>
  <c r="L35" i="13"/>
  <c r="L16" i="10"/>
  <c r="J207" i="13"/>
  <c r="J188" i="13"/>
  <c r="J93" i="13"/>
  <c r="J150" i="13"/>
  <c r="J17" i="13"/>
  <c r="J36" i="13"/>
  <c r="J17" i="10"/>
  <c r="I16" i="8"/>
  <c r="G189" i="13"/>
  <c r="G94" i="13"/>
  <c r="G208" i="13"/>
  <c r="G151" i="13"/>
  <c r="G18" i="13"/>
  <c r="G37" i="13"/>
  <c r="G18" i="10"/>
  <c r="D209" i="13"/>
  <c r="D95" i="13"/>
  <c r="D190" i="13"/>
  <c r="D152" i="13"/>
  <c r="D38" i="13"/>
  <c r="D19" i="13"/>
  <c r="D19" i="10"/>
  <c r="C18" i="8"/>
  <c r="J203" i="13"/>
  <c r="J184" i="13"/>
  <c r="J146" i="13"/>
  <c r="J89" i="13"/>
  <c r="J13" i="13"/>
  <c r="J32" i="13"/>
  <c r="I12" i="8"/>
  <c r="J13" i="10"/>
  <c r="F197" i="13"/>
  <c r="F140" i="13"/>
  <c r="F83" i="13"/>
  <c r="F178" i="13"/>
  <c r="F7" i="13"/>
  <c r="F26" i="13"/>
  <c r="F7" i="10"/>
  <c r="D6" i="8"/>
  <c r="L200" i="13"/>
  <c r="L143" i="13"/>
  <c r="L181" i="13"/>
  <c r="L86" i="13"/>
  <c r="L29" i="13"/>
  <c r="L10" i="13"/>
  <c r="L10" i="10"/>
  <c r="C204" i="13"/>
  <c r="C185" i="13"/>
  <c r="C90" i="13"/>
  <c r="C147" i="13"/>
  <c r="C33" i="13"/>
  <c r="C14" i="10"/>
  <c r="C14" i="13"/>
  <c r="H13" i="8"/>
  <c r="B209" i="13"/>
  <c r="B190" i="13"/>
  <c r="B152" i="13"/>
  <c r="B95" i="13"/>
  <c r="B38" i="13"/>
  <c r="B19" i="13"/>
  <c r="B19" i="10"/>
  <c r="B18" i="8"/>
  <c r="L177" i="13"/>
  <c r="L139" i="13"/>
  <c r="L196" i="13"/>
  <c r="L82" i="13"/>
  <c r="L6" i="13"/>
  <c r="L25" i="13"/>
  <c r="L6" i="10"/>
  <c r="I197" i="13"/>
  <c r="I178" i="13"/>
  <c r="I140" i="13"/>
  <c r="I83" i="13"/>
  <c r="I26" i="13"/>
  <c r="I7" i="13"/>
  <c r="I7" i="10"/>
  <c r="J6" i="8"/>
  <c r="G198" i="13"/>
  <c r="G179" i="13"/>
  <c r="G141" i="13"/>
  <c r="G84" i="13"/>
  <c r="G27" i="13"/>
  <c r="G8" i="13"/>
  <c r="G8" i="10"/>
  <c r="E199" i="13"/>
  <c r="E180" i="13"/>
  <c r="E142" i="13"/>
  <c r="E85" i="13"/>
  <c r="E28" i="13"/>
  <c r="E9" i="13"/>
  <c r="E9" i="10"/>
  <c r="C200" i="13"/>
  <c r="C181" i="13"/>
  <c r="C143" i="13"/>
  <c r="C86" i="13"/>
  <c r="C29" i="13"/>
  <c r="C10" i="13"/>
  <c r="H9" i="8"/>
  <c r="C10" i="10"/>
  <c r="O200" i="13"/>
  <c r="O181" i="13"/>
  <c r="O143" i="13"/>
  <c r="O86" i="13"/>
  <c r="O29" i="13"/>
  <c r="O10" i="13"/>
  <c r="O10" i="10"/>
  <c r="L201" i="13"/>
  <c r="L182" i="13"/>
  <c r="L144" i="13"/>
  <c r="L87" i="13"/>
  <c r="L11" i="13"/>
  <c r="L30" i="13"/>
  <c r="L11" i="10"/>
  <c r="J202" i="13"/>
  <c r="J183" i="13"/>
  <c r="J145" i="13"/>
  <c r="J88" i="13"/>
  <c r="J31" i="13"/>
  <c r="J12" i="13"/>
  <c r="J12" i="10"/>
  <c r="I11" i="8"/>
  <c r="H184" i="13"/>
  <c r="H203" i="13"/>
  <c r="H146" i="13"/>
  <c r="H89" i="13"/>
  <c r="H13" i="13"/>
  <c r="H32" i="13"/>
  <c r="H13" i="10"/>
  <c r="F185" i="13"/>
  <c r="F147" i="13"/>
  <c r="F204" i="13"/>
  <c r="F90" i="13"/>
  <c r="F14" i="13"/>
  <c r="F14" i="10"/>
  <c r="F33" i="13"/>
  <c r="D13" i="8"/>
  <c r="C205" i="13"/>
  <c r="C186" i="13"/>
  <c r="C148" i="13"/>
  <c r="C91" i="13"/>
  <c r="C34" i="13"/>
  <c r="C15" i="13"/>
  <c r="C15" i="10"/>
  <c r="H14" i="8"/>
  <c r="O205" i="13"/>
  <c r="O186" i="13"/>
  <c r="O148" i="13"/>
  <c r="O15" i="13"/>
  <c r="O91" i="13"/>
  <c r="O34" i="13"/>
  <c r="O15" i="10"/>
  <c r="K207" i="13"/>
  <c r="K188" i="13"/>
  <c r="K150" i="13"/>
  <c r="K93" i="13"/>
  <c r="K17" i="13"/>
  <c r="K36" i="13"/>
  <c r="K17" i="10"/>
  <c r="H208" i="13"/>
  <c r="H189" i="13"/>
  <c r="H94" i="13"/>
  <c r="H151" i="13"/>
  <c r="H18" i="13"/>
  <c r="H37" i="13"/>
  <c r="H18" i="10"/>
  <c r="E209" i="13"/>
  <c r="E190" i="13"/>
  <c r="E95" i="13"/>
  <c r="E152" i="13"/>
  <c r="E19" i="13"/>
  <c r="E38" i="13"/>
  <c r="E19" i="10"/>
  <c r="L210" i="13"/>
  <c r="L191" i="13"/>
  <c r="L153" i="13"/>
  <c r="L96" i="13"/>
  <c r="L39" i="13"/>
  <c r="L20" i="13"/>
  <c r="L20" i="10"/>
  <c r="J197" i="13"/>
  <c r="J140" i="13"/>
  <c r="J178" i="13"/>
  <c r="J83" i="13"/>
  <c r="J7" i="13"/>
  <c r="J26" i="13"/>
  <c r="J7" i="10"/>
  <c r="I6" i="8"/>
  <c r="H198" i="13"/>
  <c r="H141" i="13"/>
  <c r="H179" i="13"/>
  <c r="H84" i="13"/>
  <c r="H8" i="13"/>
  <c r="H27" i="13"/>
  <c r="H8" i="10"/>
  <c r="F199" i="13"/>
  <c r="F142" i="13"/>
  <c r="F180" i="13"/>
  <c r="F85" i="13"/>
  <c r="F9" i="13"/>
  <c r="D8" i="8"/>
  <c r="F28" i="13"/>
  <c r="F9" i="10"/>
  <c r="D200" i="13"/>
  <c r="D181" i="13"/>
  <c r="D143" i="13"/>
  <c r="D86" i="13"/>
  <c r="D10" i="13"/>
  <c r="D29" i="13"/>
  <c r="C9" i="8"/>
  <c r="D10" i="10"/>
  <c r="M201" i="13"/>
  <c r="M182" i="13"/>
  <c r="M144" i="13"/>
  <c r="M87" i="13"/>
  <c r="M30" i="13"/>
  <c r="M11" i="13"/>
  <c r="M11" i="10"/>
  <c r="K202" i="13"/>
  <c r="K183" i="13"/>
  <c r="K145" i="13"/>
  <c r="K88" i="13"/>
  <c r="K31" i="13"/>
  <c r="K12" i="13"/>
  <c r="K12" i="10"/>
  <c r="I184" i="13"/>
  <c r="I203" i="13"/>
  <c r="I146" i="13"/>
  <c r="I13" i="13"/>
  <c r="I89" i="13"/>
  <c r="I32" i="13"/>
  <c r="J12" i="8"/>
  <c r="I13" i="10"/>
  <c r="G185" i="13"/>
  <c r="G204" i="13"/>
  <c r="G147" i="13"/>
  <c r="G14" i="13"/>
  <c r="G33" i="13"/>
  <c r="G90" i="13"/>
  <c r="G14" i="10"/>
  <c r="D205" i="13"/>
  <c r="D186" i="13"/>
  <c r="D148" i="13"/>
  <c r="D91" i="13"/>
  <c r="D15" i="13"/>
  <c r="D34" i="13"/>
  <c r="D15" i="10"/>
  <c r="C14" i="8"/>
  <c r="B206" i="13"/>
  <c r="B187" i="13"/>
  <c r="B149" i="13"/>
  <c r="B16" i="13"/>
  <c r="B92" i="13"/>
  <c r="B35" i="13"/>
  <c r="B16" i="10"/>
  <c r="B15" i="8"/>
  <c r="N206" i="13"/>
  <c r="N187" i="13"/>
  <c r="N149" i="13"/>
  <c r="N16" i="13"/>
  <c r="N92" i="13"/>
  <c r="N35" i="13"/>
  <c r="N16" i="10"/>
  <c r="L207" i="13"/>
  <c r="L188" i="13"/>
  <c r="L150" i="13"/>
  <c r="L93" i="13"/>
  <c r="L17" i="13"/>
  <c r="L17" i="10"/>
  <c r="L36" i="13"/>
  <c r="I189" i="13"/>
  <c r="I208" i="13"/>
  <c r="I151" i="13"/>
  <c r="I18" i="13"/>
  <c r="I94" i="13"/>
  <c r="I37" i="13"/>
  <c r="I18" i="10"/>
  <c r="J17" i="8"/>
  <c r="F209" i="13"/>
  <c r="F190" i="13"/>
  <c r="F95" i="13"/>
  <c r="F152" i="13"/>
  <c r="F19" i="13"/>
  <c r="F38" i="13"/>
  <c r="F19" i="10"/>
  <c r="D18" i="8"/>
  <c r="C36" i="14"/>
  <c r="D36" i="7"/>
  <c r="E21" i="14"/>
  <c r="D21" i="14"/>
  <c r="B119" i="15"/>
  <c r="B117" i="15"/>
  <c r="B107" i="15"/>
  <c r="B116" i="15"/>
  <c r="D14" i="14"/>
  <c r="E14" i="14"/>
  <c r="C26" i="14"/>
  <c r="D26" i="7"/>
  <c r="E20" i="3"/>
  <c r="S5" i="4"/>
  <c r="R5" i="6" s="1"/>
  <c r="S7" i="4"/>
  <c r="R7" i="6" s="1"/>
  <c r="S9" i="4"/>
  <c r="R9" i="6" s="1"/>
  <c r="S11" i="4"/>
  <c r="R11" i="6" s="1"/>
  <c r="S13" i="4"/>
  <c r="R13" i="6" s="1"/>
  <c r="S15" i="4"/>
  <c r="R15" i="6" s="1"/>
  <c r="S20" i="4"/>
  <c r="S22" i="4"/>
  <c r="S24" i="4"/>
  <c r="S26" i="4"/>
  <c r="S28" i="4"/>
  <c r="R5" i="5"/>
  <c r="U11" i="5"/>
  <c r="S13" i="5"/>
  <c r="L19" i="6"/>
  <c r="D10" i="7"/>
  <c r="D22" i="7"/>
  <c r="E9" i="14"/>
  <c r="D9" i="14"/>
  <c r="C33" i="14"/>
  <c r="D33" i="7"/>
  <c r="E7" i="14"/>
  <c r="D7" i="14"/>
  <c r="E19" i="14"/>
  <c r="D19" i="14"/>
  <c r="C31" i="14"/>
  <c r="D31" i="7"/>
  <c r="B19" i="3"/>
  <c r="F20" i="3"/>
  <c r="B22" i="3"/>
  <c r="T5" i="4"/>
  <c r="S5" i="6" s="1"/>
  <c r="T7" i="4"/>
  <c r="S7" i="6" s="1"/>
  <c r="T9" i="4"/>
  <c r="S9" i="6" s="1"/>
  <c r="T11" i="4"/>
  <c r="S11" i="6" s="1"/>
  <c r="T13" i="4"/>
  <c r="S13" i="6" s="1"/>
  <c r="T15" i="4"/>
  <c r="S15" i="6" s="1"/>
  <c r="T20" i="4"/>
  <c r="T22" i="4"/>
  <c r="T24" i="4"/>
  <c r="T26" i="4"/>
  <c r="T28" i="4"/>
  <c r="S5" i="5"/>
  <c r="T13" i="5"/>
  <c r="D15" i="7"/>
  <c r="G20" i="3"/>
  <c r="H20" i="3" s="1"/>
  <c r="U20" i="4"/>
  <c r="U22" i="4"/>
  <c r="U24" i="4"/>
  <c r="U28" i="4"/>
  <c r="T5" i="5"/>
  <c r="R7" i="5"/>
  <c r="U13" i="5"/>
  <c r="M177" i="13"/>
  <c r="M196" i="13"/>
  <c r="M139" i="13"/>
  <c r="M25" i="13"/>
  <c r="M82" i="13"/>
  <c r="M6" i="10"/>
  <c r="G197" i="13"/>
  <c r="G178" i="13"/>
  <c r="G140" i="13"/>
  <c r="G83" i="13"/>
  <c r="G26" i="13"/>
  <c r="G7" i="13"/>
  <c r="G7" i="10"/>
  <c r="M179" i="13"/>
  <c r="M198" i="13"/>
  <c r="M141" i="13"/>
  <c r="M27" i="13"/>
  <c r="M84" i="13"/>
  <c r="M8" i="13"/>
  <c r="M8" i="10"/>
  <c r="G180" i="13"/>
  <c r="G199" i="13"/>
  <c r="G142" i="13"/>
  <c r="G28" i="13"/>
  <c r="G85" i="13"/>
  <c r="G9" i="13"/>
  <c r="G9" i="10"/>
  <c r="M200" i="13"/>
  <c r="M181" i="13"/>
  <c r="M143" i="13"/>
  <c r="M86" i="13"/>
  <c r="M29" i="13"/>
  <c r="M10" i="13"/>
  <c r="M10" i="10"/>
  <c r="G182" i="13"/>
  <c r="G201" i="13"/>
  <c r="G144" i="13"/>
  <c r="G30" i="13"/>
  <c r="G87" i="13"/>
  <c r="G11" i="13"/>
  <c r="G11" i="10"/>
  <c r="M202" i="13"/>
  <c r="M183" i="13"/>
  <c r="M145" i="13"/>
  <c r="M126" i="13"/>
  <c r="M88" i="13"/>
  <c r="M31" i="13"/>
  <c r="M12" i="13"/>
  <c r="M12" i="10"/>
  <c r="G184" i="13"/>
  <c r="G203" i="13"/>
  <c r="G146" i="13"/>
  <c r="G89" i="13"/>
  <c r="G32" i="13"/>
  <c r="G13" i="13"/>
  <c r="G13" i="10"/>
  <c r="M185" i="13"/>
  <c r="M204" i="13"/>
  <c r="M147" i="13"/>
  <c r="M33" i="13"/>
  <c r="M90" i="13"/>
  <c r="M14" i="13"/>
  <c r="M14" i="10"/>
  <c r="G186" i="13"/>
  <c r="G205" i="13"/>
  <c r="G148" i="13"/>
  <c r="G34" i="13"/>
  <c r="G91" i="13"/>
  <c r="G15" i="13"/>
  <c r="G15" i="10"/>
  <c r="M206" i="13"/>
  <c r="M187" i="13"/>
  <c r="M149" i="13"/>
  <c r="M130" i="13"/>
  <c r="M16" i="13"/>
  <c r="M35" i="13"/>
  <c r="M92" i="13"/>
  <c r="M16" i="10"/>
  <c r="G188" i="13"/>
  <c r="G207" i="13"/>
  <c r="G150" i="13"/>
  <c r="G36" i="13"/>
  <c r="G93" i="13"/>
  <c r="G17" i="13"/>
  <c r="G17" i="10"/>
  <c r="M189" i="13"/>
  <c r="M208" i="13"/>
  <c r="M151" i="13"/>
  <c r="M94" i="13"/>
  <c r="M37" i="13"/>
  <c r="M18" i="13"/>
  <c r="M18" i="10"/>
  <c r="G209" i="13"/>
  <c r="G190" i="13"/>
  <c r="G152" i="13"/>
  <c r="G95" i="13"/>
  <c r="G19" i="13"/>
  <c r="G38" i="13"/>
  <c r="G19" i="10"/>
  <c r="M191" i="13"/>
  <c r="M210" i="13"/>
  <c r="M153" i="13"/>
  <c r="M134" i="13"/>
  <c r="M96" i="13"/>
  <c r="M39" i="13"/>
  <c r="M20" i="13"/>
  <c r="M20" i="10"/>
  <c r="D8" i="7"/>
  <c r="D20" i="7"/>
  <c r="D25" i="7"/>
  <c r="E17" i="14"/>
  <c r="D17" i="14"/>
  <c r="E29" i="14"/>
  <c r="D29" i="14"/>
  <c r="D19" i="3"/>
  <c r="D22" i="3"/>
  <c r="U5" i="5"/>
  <c r="T16" i="6" s="1"/>
  <c r="S7" i="5"/>
  <c r="C19" i="6"/>
  <c r="O19" i="6"/>
  <c r="D13" i="7"/>
  <c r="D34" i="7"/>
  <c r="C22" i="3"/>
  <c r="U7" i="4"/>
  <c r="T7" i="6" s="1"/>
  <c r="U15" i="4"/>
  <c r="T15" i="6" s="1"/>
  <c r="E5" i="14"/>
  <c r="D5" i="14"/>
  <c r="B142" i="10"/>
  <c r="B141" i="10"/>
  <c r="B140" i="10"/>
  <c r="B139" i="10"/>
  <c r="B138" i="10"/>
  <c r="B137" i="10"/>
  <c r="B143" i="10"/>
  <c r="E10" i="14"/>
  <c r="D10" i="14"/>
  <c r="E22" i="14"/>
  <c r="D22" i="14"/>
  <c r="E34" i="14"/>
  <c r="D34" i="14"/>
  <c r="E19" i="3"/>
  <c r="E22" i="3"/>
  <c r="T7" i="5"/>
  <c r="R12" i="5"/>
  <c r="D6" i="7"/>
  <c r="D18" i="7"/>
  <c r="D15" i="14"/>
  <c r="E15" i="14"/>
  <c r="D27" i="14"/>
  <c r="E27" i="14"/>
  <c r="F19" i="3"/>
  <c r="B21" i="3"/>
  <c r="F22" i="3"/>
  <c r="R6" i="4"/>
  <c r="Q6" i="6" s="1"/>
  <c r="R8" i="4"/>
  <c r="Q8" i="6" s="1"/>
  <c r="R10" i="4"/>
  <c r="Q10" i="6" s="1"/>
  <c r="R12" i="4"/>
  <c r="Q12" i="6" s="1"/>
  <c r="R14" i="4"/>
  <c r="Q14" i="6" s="1"/>
  <c r="R19" i="4"/>
  <c r="R21" i="4"/>
  <c r="R23" i="4"/>
  <c r="R25" i="4"/>
  <c r="R27" i="4"/>
  <c r="R29" i="4"/>
  <c r="U7" i="5"/>
  <c r="T18" i="6" s="1"/>
  <c r="S12" i="5"/>
  <c r="E19" i="6"/>
  <c r="D11" i="7"/>
  <c r="D23" i="7"/>
  <c r="M6" i="13"/>
  <c r="M44" i="13" s="1"/>
  <c r="E20" i="14"/>
  <c r="D20" i="14"/>
  <c r="C32" i="14"/>
  <c r="D32" i="7"/>
  <c r="G19" i="3"/>
  <c r="H19" i="3" s="1"/>
  <c r="C21" i="3"/>
  <c r="G22" i="3"/>
  <c r="H22" i="3" s="1"/>
  <c r="S6" i="4"/>
  <c r="R6" i="6" s="1"/>
  <c r="S8" i="4"/>
  <c r="R8" i="6" s="1"/>
  <c r="S10" i="4"/>
  <c r="R10" i="6" s="1"/>
  <c r="S12" i="4"/>
  <c r="R12" i="6" s="1"/>
  <c r="S14" i="4"/>
  <c r="R14" i="6" s="1"/>
  <c r="S19" i="4"/>
  <c r="S21" i="4"/>
  <c r="S23" i="4"/>
  <c r="S25" i="4"/>
  <c r="S27" i="4"/>
  <c r="S29" i="4"/>
  <c r="T12" i="5"/>
  <c r="D16" i="7"/>
  <c r="E8" i="14"/>
  <c r="D8" i="14"/>
  <c r="E25" i="14"/>
  <c r="D25" i="14"/>
  <c r="C37" i="14"/>
  <c r="D37" i="7"/>
  <c r="D21" i="3"/>
  <c r="T6" i="4"/>
  <c r="S6" i="6" s="1"/>
  <c r="T8" i="4"/>
  <c r="S8" i="6" s="1"/>
  <c r="T10" i="4"/>
  <c r="S10" i="6" s="1"/>
  <c r="T12" i="4"/>
  <c r="S12" i="6" s="1"/>
  <c r="T14" i="4"/>
  <c r="S14" i="6" s="1"/>
  <c r="T19" i="4"/>
  <c r="T21" i="4"/>
  <c r="T23" i="4"/>
  <c r="T25" i="4"/>
  <c r="T27" i="4"/>
  <c r="T29" i="4"/>
  <c r="R6" i="5"/>
  <c r="U12" i="5"/>
  <c r="D9" i="7"/>
  <c r="D21" i="7"/>
  <c r="E13" i="14"/>
  <c r="D13" i="14"/>
  <c r="E6" i="14"/>
  <c r="D6" i="14"/>
  <c r="E18" i="14"/>
  <c r="D18" i="14"/>
  <c r="C30" i="14"/>
  <c r="D30" i="7"/>
  <c r="I10" i="3"/>
  <c r="I13" i="3"/>
  <c r="E21" i="3"/>
  <c r="U6" i="4"/>
  <c r="T6" i="6" s="1"/>
  <c r="U8" i="4"/>
  <c r="T8" i="6" s="1"/>
  <c r="U10" i="4"/>
  <c r="T10" i="6" s="1"/>
  <c r="U12" i="4"/>
  <c r="T12" i="6" s="1"/>
  <c r="U14" i="4"/>
  <c r="T14" i="6" s="1"/>
  <c r="U19" i="4"/>
  <c r="U21" i="4"/>
  <c r="U23" i="4"/>
  <c r="U25" i="4"/>
  <c r="U27" i="4"/>
  <c r="S6" i="5"/>
  <c r="D14" i="7"/>
  <c r="D29" i="7"/>
  <c r="D11" i="14"/>
  <c r="E11" i="14"/>
  <c r="D23" i="14"/>
  <c r="E23" i="14"/>
  <c r="C35" i="14"/>
  <c r="D35" i="7"/>
  <c r="B20" i="3"/>
  <c r="F21" i="3"/>
  <c r="T6" i="5"/>
  <c r="R11" i="5"/>
  <c r="D7" i="7"/>
  <c r="D19" i="7"/>
  <c r="E12" i="14"/>
  <c r="D12" i="14"/>
  <c r="C19" i="3"/>
  <c r="E16" i="14"/>
  <c r="D16" i="14"/>
  <c r="C28" i="14"/>
  <c r="D28" i="7"/>
  <c r="C20" i="3"/>
  <c r="G21" i="3"/>
  <c r="H21" i="3" s="1"/>
  <c r="U6" i="5"/>
  <c r="T17" i="6" s="1"/>
  <c r="S11" i="5"/>
  <c r="B42" i="7"/>
  <c r="B41" i="7"/>
  <c r="D12" i="7"/>
  <c r="C24" i="14"/>
  <c r="D24" i="7"/>
  <c r="D20" i="3"/>
  <c r="R5" i="4"/>
  <c r="Q5" i="6" s="1"/>
  <c r="R7" i="4"/>
  <c r="Q7" i="6" s="1"/>
  <c r="R9" i="4"/>
  <c r="Q9" i="6" s="1"/>
  <c r="R11" i="4"/>
  <c r="Q11" i="6" s="1"/>
  <c r="R13" i="4"/>
  <c r="Q13" i="6" s="1"/>
  <c r="R15" i="4"/>
  <c r="Q15" i="6" s="1"/>
  <c r="R20" i="4"/>
  <c r="R22" i="4"/>
  <c r="R24" i="4"/>
  <c r="R26" i="4"/>
  <c r="R28" i="4"/>
  <c r="T11" i="5"/>
  <c r="R13" i="5"/>
  <c r="D5" i="7"/>
  <c r="D17" i="7"/>
  <c r="D27" i="7"/>
  <c r="D15" i="11"/>
  <c r="H123" i="13" s="1"/>
  <c r="C17" i="11"/>
  <c r="D108" i="15"/>
  <c r="B109" i="15"/>
  <c r="B42" i="14"/>
  <c r="B41" i="14"/>
  <c r="B46" i="14" s="1"/>
  <c r="C107" i="15"/>
  <c r="F108" i="15"/>
  <c r="C109" i="15"/>
  <c r="D107" i="15"/>
  <c r="D109" i="15"/>
  <c r="F107" i="15"/>
  <c r="F109" i="15"/>
  <c r="B108" i="15"/>
  <c r="C108" i="15"/>
  <c r="C55" i="13" l="1"/>
  <c r="L45" i="13"/>
  <c r="J222" i="13"/>
  <c r="D222" i="13"/>
  <c r="O217" i="13"/>
  <c r="D221" i="13"/>
  <c r="I48" i="13"/>
  <c r="D55" i="13"/>
  <c r="O50" i="13"/>
  <c r="C225" i="13"/>
  <c r="M223" i="13"/>
  <c r="G218" i="13"/>
  <c r="K45" i="13"/>
  <c r="G220" i="13"/>
  <c r="H161" i="13"/>
  <c r="G54" i="13"/>
  <c r="F44" i="13"/>
  <c r="J47" i="13"/>
  <c r="D225" i="13"/>
  <c r="E46" i="13"/>
  <c r="E224" i="13"/>
  <c r="E19" i="5"/>
  <c r="I12" i="3"/>
  <c r="I22" i="3"/>
  <c r="E20" i="5"/>
  <c r="I23" i="3"/>
  <c r="E18" i="5"/>
  <c r="F55" i="13"/>
  <c r="L46" i="13"/>
  <c r="L227" i="13"/>
  <c r="E17" i="5"/>
  <c r="L216" i="13"/>
  <c r="M164" i="13"/>
  <c r="M48" i="13"/>
  <c r="J215" i="13"/>
  <c r="J45" i="13"/>
  <c r="J51" i="13"/>
  <c r="E57" i="13"/>
  <c r="D44" i="13"/>
  <c r="D54" i="13"/>
  <c r="J226" i="13"/>
  <c r="N48" i="13"/>
  <c r="E222" i="13"/>
  <c r="G44" i="13"/>
  <c r="H229" i="13"/>
  <c r="O215" i="13"/>
  <c r="N227" i="13"/>
  <c r="N216" i="13"/>
  <c r="E228" i="13"/>
  <c r="J50" i="13"/>
  <c r="G46" i="13"/>
  <c r="I216" i="13"/>
  <c r="N219" i="13"/>
  <c r="D47" i="13"/>
  <c r="N47" i="13"/>
  <c r="I215" i="13"/>
  <c r="I49" i="13"/>
  <c r="M47" i="13"/>
  <c r="O58" i="13"/>
  <c r="I229" i="13"/>
  <c r="O227" i="13"/>
  <c r="M220" i="13"/>
  <c r="F227" i="13"/>
  <c r="F226" i="13"/>
  <c r="M51" i="13"/>
  <c r="O55" i="13"/>
  <c r="C226" i="13"/>
  <c r="G48" i="13"/>
  <c r="C49" i="13"/>
  <c r="I227" i="13"/>
  <c r="L219" i="13"/>
  <c r="D228" i="13"/>
  <c r="O52" i="13"/>
  <c r="E51" i="13"/>
  <c r="E56" i="13"/>
  <c r="K48" i="13"/>
  <c r="E221" i="13"/>
  <c r="H52" i="13"/>
  <c r="I224" i="13"/>
  <c r="C217" i="13"/>
  <c r="G229" i="13"/>
  <c r="H54" i="13"/>
  <c r="J224" i="13"/>
  <c r="B118" i="15"/>
  <c r="B122" i="15" s="1"/>
  <c r="B135" i="15" s="1"/>
  <c r="L55" i="13"/>
  <c r="D48" i="13"/>
  <c r="L49" i="13"/>
  <c r="N215" i="13"/>
  <c r="J48" i="13"/>
  <c r="C45" i="13"/>
  <c r="M222" i="13"/>
  <c r="D49" i="13"/>
  <c r="H57" i="13"/>
  <c r="C41" i="14"/>
  <c r="D41" i="14" s="1"/>
  <c r="H225" i="13"/>
  <c r="D110" i="15"/>
  <c r="I11" i="3"/>
  <c r="I8" i="3"/>
  <c r="F50" i="13"/>
  <c r="J219" i="13"/>
  <c r="N49" i="13"/>
  <c r="F224" i="13"/>
  <c r="I56" i="13"/>
  <c r="C219" i="13"/>
  <c r="L48" i="13"/>
  <c r="G227" i="13"/>
  <c r="F56" i="13"/>
  <c r="N52" i="13"/>
  <c r="C46" i="13"/>
  <c r="O222" i="13"/>
  <c r="N217" i="13"/>
  <c r="F49" i="13"/>
  <c r="N220" i="13"/>
  <c r="D226" i="13"/>
  <c r="J52" i="13"/>
  <c r="L222" i="13"/>
  <c r="J46" i="13"/>
  <c r="O225" i="13"/>
  <c r="G52" i="13"/>
  <c r="O228" i="13"/>
  <c r="I219" i="13"/>
  <c r="J57" i="13"/>
  <c r="C42" i="14"/>
  <c r="D42" i="14" s="1"/>
  <c r="G224" i="13"/>
  <c r="N54" i="13"/>
  <c r="F47" i="13"/>
  <c r="H56" i="13"/>
  <c r="L225" i="13"/>
  <c r="H45" i="13"/>
  <c r="H226" i="13"/>
  <c r="G58" i="13"/>
  <c r="M227" i="13"/>
  <c r="M168" i="13"/>
  <c r="G222" i="13"/>
  <c r="N225" i="13"/>
  <c r="O219" i="13"/>
  <c r="I50" i="13"/>
  <c r="K54" i="13"/>
  <c r="C58" i="13"/>
  <c r="D50" i="13"/>
  <c r="C50" i="13"/>
  <c r="E220" i="13"/>
  <c r="N45" i="13"/>
  <c r="M216" i="13"/>
  <c r="O49" i="13"/>
  <c r="H47" i="13"/>
  <c r="O53" i="13"/>
  <c r="N53" i="13"/>
  <c r="L53" i="13"/>
  <c r="I58" i="13"/>
  <c r="L218" i="13"/>
  <c r="H223" i="13"/>
  <c r="O226" i="13"/>
  <c r="J223" i="13"/>
  <c r="C220" i="13"/>
  <c r="J217" i="13"/>
  <c r="M225" i="13"/>
  <c r="I45" i="13"/>
  <c r="I44" i="13"/>
  <c r="M57" i="13"/>
  <c r="D227" i="13"/>
  <c r="J218" i="13"/>
  <c r="F229" i="13"/>
  <c r="F52" i="13"/>
  <c r="J220" i="13"/>
  <c r="L224" i="13"/>
  <c r="E45" i="13"/>
  <c r="N55" i="13"/>
  <c r="L226" i="13"/>
  <c r="M49" i="13"/>
  <c r="D219" i="13"/>
  <c r="H46" i="13"/>
  <c r="K55" i="13"/>
  <c r="C228" i="13"/>
  <c r="H50" i="13"/>
  <c r="E58" i="13"/>
  <c r="L223" i="13"/>
  <c r="I47" i="13"/>
  <c r="F53" i="13"/>
  <c r="H218" i="13"/>
  <c r="F216" i="13"/>
  <c r="J225" i="13"/>
  <c r="E50" i="13"/>
  <c r="D45" i="13"/>
  <c r="I53" i="13"/>
  <c r="M172" i="13"/>
  <c r="M56" i="13"/>
  <c r="M221" i="13"/>
  <c r="I46" i="13"/>
  <c r="E216" i="13"/>
  <c r="E229" i="13"/>
  <c r="E226" i="13"/>
  <c r="E49" i="13"/>
  <c r="D220" i="13"/>
  <c r="M45" i="13"/>
  <c r="N226" i="13"/>
  <c r="J227" i="13"/>
  <c r="E30" i="7"/>
  <c r="E37" i="7"/>
  <c r="I71" i="13"/>
  <c r="I109" i="13" s="1"/>
  <c r="H76" i="13"/>
  <c r="H114" i="13" s="1"/>
  <c r="B63" i="13"/>
  <c r="C70" i="13"/>
  <c r="C108" i="13" s="1"/>
  <c r="C75" i="13"/>
  <c r="C113" i="13" s="1"/>
  <c r="G77" i="13"/>
  <c r="G115" i="13" s="1"/>
  <c r="O77" i="13"/>
  <c r="O115" i="13" s="1"/>
  <c r="C65" i="13"/>
  <c r="C103" i="13" s="1"/>
  <c r="H68" i="13"/>
  <c r="H106" i="13" s="1"/>
  <c r="K72" i="13"/>
  <c r="E70" i="13"/>
  <c r="E108" i="13" s="1"/>
  <c r="C66" i="13"/>
  <c r="C104" i="13" s="1"/>
  <c r="M72" i="13"/>
  <c r="M110" i="13" s="1"/>
  <c r="C76" i="13"/>
  <c r="C114" i="13" s="1"/>
  <c r="B67" i="13"/>
  <c r="H70" i="13"/>
  <c r="H108" i="13" s="1"/>
  <c r="H75" i="13"/>
  <c r="H113" i="13" s="1"/>
  <c r="E72" i="13"/>
  <c r="E110" i="13" s="1"/>
  <c r="H66" i="13"/>
  <c r="H104" i="13" s="1"/>
  <c r="D68" i="13"/>
  <c r="D106" i="13" s="1"/>
  <c r="O69" i="13"/>
  <c r="O107" i="13" s="1"/>
  <c r="F63" i="13"/>
  <c r="F101" i="13" s="1"/>
  <c r="F68" i="13"/>
  <c r="F106" i="13" s="1"/>
  <c r="I72" i="13"/>
  <c r="I110" i="13" s="1"/>
  <c r="K76" i="13"/>
  <c r="B65" i="13"/>
  <c r="D71" i="13"/>
  <c r="D109" i="13" s="1"/>
  <c r="E71" i="13"/>
  <c r="E109" i="13" s="1"/>
  <c r="C71" i="13"/>
  <c r="C109" i="13" s="1"/>
  <c r="E66" i="13"/>
  <c r="E104" i="13" s="1"/>
  <c r="H65" i="13"/>
  <c r="H103" i="13" s="1"/>
  <c r="I70" i="13"/>
  <c r="I108" i="13" s="1"/>
  <c r="L74" i="13"/>
  <c r="L112" i="13" s="1"/>
  <c r="M71" i="13"/>
  <c r="M109" i="13" s="1"/>
  <c r="K64" i="13"/>
  <c r="J75" i="13"/>
  <c r="J113" i="13" s="1"/>
  <c r="D63" i="13"/>
  <c r="D101" i="13" s="1"/>
  <c r="E73" i="13"/>
  <c r="E111" i="13" s="1"/>
  <c r="L65" i="13"/>
  <c r="L103" i="13" s="1"/>
  <c r="F73" i="13"/>
  <c r="F111" i="13" s="1"/>
  <c r="F74" i="13"/>
  <c r="F112" i="13" s="1"/>
  <c r="E77" i="13"/>
  <c r="E115" i="13" s="1"/>
  <c r="I65" i="13"/>
  <c r="I103" i="13" s="1"/>
  <c r="C77" i="13"/>
  <c r="C115" i="13" s="1"/>
  <c r="F75" i="13"/>
  <c r="F113" i="13" s="1"/>
  <c r="D66" i="13"/>
  <c r="D104" i="13" s="1"/>
  <c r="G75" i="13"/>
  <c r="G113" i="13" s="1"/>
  <c r="J69" i="13"/>
  <c r="J107" i="13" s="1"/>
  <c r="M63" i="13"/>
  <c r="M101" i="13" s="1"/>
  <c r="M67" i="13"/>
  <c r="M105" i="13" s="1"/>
  <c r="M75" i="13"/>
  <c r="M113" i="13" s="1"/>
  <c r="J65" i="13"/>
  <c r="J103" i="13" s="1"/>
  <c r="K75" i="13"/>
  <c r="G67" i="13"/>
  <c r="G105" i="13" s="1"/>
  <c r="J71" i="13"/>
  <c r="J109" i="13" s="1"/>
  <c r="C69" i="13"/>
  <c r="C107" i="13" s="1"/>
  <c r="I67" i="13"/>
  <c r="I105" i="13" s="1"/>
  <c r="N75" i="13"/>
  <c r="N113" i="13" s="1"/>
  <c r="D64" i="13"/>
  <c r="D102" i="13" s="1"/>
  <c r="E69" i="13"/>
  <c r="E107" i="13" s="1"/>
  <c r="E64" i="13"/>
  <c r="E102" i="13" s="1"/>
  <c r="H74" i="13"/>
  <c r="H112" i="13" s="1"/>
  <c r="D65" i="13"/>
  <c r="D103" i="13" s="1"/>
  <c r="I68" i="13"/>
  <c r="I106" i="13" s="1"/>
  <c r="F70" i="13"/>
  <c r="F108" i="13" s="1"/>
  <c r="K74" i="13"/>
  <c r="J64" i="13"/>
  <c r="J102" i="13" s="1"/>
  <c r="K69" i="13"/>
  <c r="N73" i="13"/>
  <c r="N111" i="13" s="1"/>
  <c r="K70" i="13"/>
  <c r="I76" i="13"/>
  <c r="I114" i="13" s="1"/>
  <c r="H72" i="13"/>
  <c r="H110" i="13" s="1"/>
  <c r="L71" i="13"/>
  <c r="L109" i="13" s="1"/>
  <c r="N71" i="13"/>
  <c r="N109" i="13" s="1"/>
  <c r="E65" i="13"/>
  <c r="E103" i="13" s="1"/>
  <c r="N66" i="13"/>
  <c r="N104" i="13" s="1"/>
  <c r="O71" i="13"/>
  <c r="O109" i="13" s="1"/>
  <c r="F65" i="13"/>
  <c r="F103" i="13" s="1"/>
  <c r="I69" i="13"/>
  <c r="I107" i="13" s="1"/>
  <c r="J74" i="13"/>
  <c r="J112" i="13" s="1"/>
  <c r="L67" i="13"/>
  <c r="L105" i="13" s="1"/>
  <c r="G65" i="13"/>
  <c r="G103" i="13" s="1"/>
  <c r="G66" i="13"/>
  <c r="G104" i="13" s="1"/>
  <c r="G74" i="13"/>
  <c r="G112" i="13" s="1"/>
  <c r="F77" i="13"/>
  <c r="F115" i="13" s="1"/>
  <c r="M74" i="13"/>
  <c r="M112" i="13" s="1"/>
  <c r="I66" i="13"/>
  <c r="I104" i="13" s="1"/>
  <c r="N64" i="13"/>
  <c r="N102" i="13" s="1"/>
  <c r="N68" i="13"/>
  <c r="N106" i="13" s="1"/>
  <c r="B75" i="13"/>
  <c r="J67" i="13"/>
  <c r="J105" i="13" s="1"/>
  <c r="B68" i="13"/>
  <c r="E67" i="13"/>
  <c r="E105" i="13" s="1"/>
  <c r="I74" i="13"/>
  <c r="I112" i="13" s="1"/>
  <c r="L68" i="13"/>
  <c r="L106" i="13" s="1"/>
  <c r="L77" i="13"/>
  <c r="L115" i="13" s="1"/>
  <c r="G70" i="13"/>
  <c r="G108" i="13" s="1"/>
  <c r="L64" i="13"/>
  <c r="L102" i="13" s="1"/>
  <c r="O68" i="13"/>
  <c r="O106" i="13" s="1"/>
  <c r="N74" i="13"/>
  <c r="N112" i="13" s="1"/>
  <c r="L69" i="13"/>
  <c r="L107" i="13" s="1"/>
  <c r="E68" i="13"/>
  <c r="E106" i="13" s="1"/>
  <c r="K66" i="13"/>
  <c r="H73" i="13"/>
  <c r="H111" i="13" s="1"/>
  <c r="H63" i="13"/>
  <c r="H101" i="13" s="1"/>
  <c r="B71" i="13"/>
  <c r="M76" i="13"/>
  <c r="M114" i="13" s="1"/>
  <c r="L72" i="13"/>
  <c r="L110" i="13" s="1"/>
  <c r="J63" i="13"/>
  <c r="J101" i="13" s="1"/>
  <c r="H69" i="13"/>
  <c r="H107" i="13" s="1"/>
  <c r="I63" i="13"/>
  <c r="I101" i="13" s="1"/>
  <c r="F64" i="13"/>
  <c r="F102" i="13" s="1"/>
  <c r="I64" i="13"/>
  <c r="I102" i="13" s="1"/>
  <c r="O72" i="13"/>
  <c r="O110" i="13" s="1"/>
  <c r="M68" i="13"/>
  <c r="M106" i="13" s="1"/>
  <c r="B73" i="13"/>
  <c r="O73" i="13"/>
  <c r="O111" i="13" s="1"/>
  <c r="B74" i="13"/>
  <c r="L70" i="13"/>
  <c r="L108" i="13" s="1"/>
  <c r="L75" i="13"/>
  <c r="L113" i="13" s="1"/>
  <c r="B64" i="13"/>
  <c r="K71" i="13"/>
  <c r="J72" i="13"/>
  <c r="J110" i="13" s="1"/>
  <c r="M66" i="13"/>
  <c r="M104" i="13" s="1"/>
  <c r="K67" i="13"/>
  <c r="D70" i="13"/>
  <c r="D108" i="13" s="1"/>
  <c r="H64" i="13"/>
  <c r="H102" i="13" s="1"/>
  <c r="K68" i="13"/>
  <c r="L73" i="13"/>
  <c r="L111" i="13" s="1"/>
  <c r="C72" i="13"/>
  <c r="C110" i="13" s="1"/>
  <c r="M65" i="13"/>
  <c r="M103" i="13" s="1"/>
  <c r="O63" i="13"/>
  <c r="O101" i="13" s="1"/>
  <c r="C68" i="13"/>
  <c r="C106" i="13" s="1"/>
  <c r="J77" i="13"/>
  <c r="J115" i="13" s="1"/>
  <c r="K65" i="13"/>
  <c r="H77" i="13"/>
  <c r="H115" i="13" s="1"/>
  <c r="N70" i="13"/>
  <c r="N108" i="13" s="1"/>
  <c r="E74" i="13"/>
  <c r="E112" i="13" s="1"/>
  <c r="G63" i="13"/>
  <c r="G101" i="13" s="1"/>
  <c r="L66" i="13"/>
  <c r="L104" i="13" s="1"/>
  <c r="L76" i="13"/>
  <c r="L114" i="13" s="1"/>
  <c r="D75" i="13"/>
  <c r="D113" i="13" s="1"/>
  <c r="J73" i="13"/>
  <c r="J111" i="13" s="1"/>
  <c r="J68" i="13"/>
  <c r="J106" i="13" s="1"/>
  <c r="N63" i="13"/>
  <c r="N101" i="13" s="1"/>
  <c r="J70" i="13"/>
  <c r="J108" i="13" s="1"/>
  <c r="O67" i="13"/>
  <c r="O105" i="13" s="1"/>
  <c r="F71" i="13"/>
  <c r="F109" i="13" s="1"/>
  <c r="D67" i="13"/>
  <c r="D105" i="13" s="1"/>
  <c r="D72" i="13"/>
  <c r="D110" i="13" s="1"/>
  <c r="F76" i="13"/>
  <c r="F114" i="13" s="1"/>
  <c r="M69" i="13"/>
  <c r="M107" i="13" s="1"/>
  <c r="M73" i="13"/>
  <c r="M111" i="13" s="1"/>
  <c r="M77" i="13"/>
  <c r="M115" i="13" s="1"/>
  <c r="N69" i="13"/>
  <c r="N107" i="13" s="1"/>
  <c r="O74" i="13"/>
  <c r="O112" i="13" s="1"/>
  <c r="H67" i="13"/>
  <c r="H105" i="13" s="1"/>
  <c r="O64" i="13"/>
  <c r="O102" i="13" s="1"/>
  <c r="B70" i="13"/>
  <c r="H71" i="13"/>
  <c r="H109" i="13" s="1"/>
  <c r="I77" i="13"/>
  <c r="I115" i="13" s="1"/>
  <c r="F69" i="13"/>
  <c r="F107" i="13" s="1"/>
  <c r="I73" i="13"/>
  <c r="I111" i="13" s="1"/>
  <c r="N76" i="13"/>
  <c r="N114" i="13" s="1"/>
  <c r="K73" i="13"/>
  <c r="N72" i="13"/>
  <c r="N110" i="13" s="1"/>
  <c r="L63" i="13"/>
  <c r="L101" i="13" s="1"/>
  <c r="E76" i="13"/>
  <c r="E114" i="13" s="1"/>
  <c r="C73" i="13"/>
  <c r="C111" i="13" s="1"/>
  <c r="C63" i="13"/>
  <c r="C101" i="13" s="1"/>
  <c r="F67" i="13"/>
  <c r="F105" i="13" s="1"/>
  <c r="D73" i="13"/>
  <c r="D111" i="13" s="1"/>
  <c r="E63" i="13"/>
  <c r="E101" i="13" s="1"/>
  <c r="O70" i="13"/>
  <c r="O108" i="13" s="1"/>
  <c r="O75" i="13"/>
  <c r="O113" i="13" s="1"/>
  <c r="O65" i="13"/>
  <c r="O103" i="13" s="1"/>
  <c r="O66" i="13"/>
  <c r="O104" i="13" s="1"/>
  <c r="O76" i="13"/>
  <c r="O114" i="13" s="1"/>
  <c r="K63" i="13"/>
  <c r="N67" i="13"/>
  <c r="N105" i="13" s="1"/>
  <c r="D76" i="13"/>
  <c r="D114" i="13" s="1"/>
  <c r="C67" i="13"/>
  <c r="C105" i="13" s="1"/>
  <c r="F66" i="13"/>
  <c r="F104" i="13" s="1"/>
  <c r="G71" i="13"/>
  <c r="G109" i="13" s="1"/>
  <c r="I75" i="13"/>
  <c r="I113" i="13" s="1"/>
  <c r="G68" i="13"/>
  <c r="G106" i="13" s="1"/>
  <c r="G72" i="13"/>
  <c r="G110" i="13" s="1"/>
  <c r="F72" i="13"/>
  <c r="F110" i="13" s="1"/>
  <c r="M64" i="13"/>
  <c r="M102" i="13" s="1"/>
  <c r="B69" i="13"/>
  <c r="C74" i="13"/>
  <c r="C112" i="13" s="1"/>
  <c r="J66" i="13"/>
  <c r="J104" i="13" s="1"/>
  <c r="M70" i="13"/>
  <c r="M108" i="13" s="1"/>
  <c r="D74" i="13"/>
  <c r="D112" i="13" s="1"/>
  <c r="J76" i="13"/>
  <c r="J114" i="13" s="1"/>
  <c r="C64" i="13"/>
  <c r="C102" i="13" s="1"/>
  <c r="D69" i="13"/>
  <c r="D107" i="13" s="1"/>
  <c r="G73" i="13"/>
  <c r="G111" i="13" s="1"/>
  <c r="N65" i="13"/>
  <c r="N103" i="13" s="1"/>
  <c r="B66" i="13"/>
  <c r="G69" i="13"/>
  <c r="G107" i="13" s="1"/>
  <c r="E75" i="13"/>
  <c r="E113" i="13" s="1"/>
  <c r="B72" i="13"/>
  <c r="B76" i="13"/>
  <c r="G64" i="13"/>
  <c r="G102" i="13" s="1"/>
  <c r="G76" i="13"/>
  <c r="G114" i="13" s="1"/>
  <c r="B129" i="10"/>
  <c r="F15" i="8"/>
  <c r="E5" i="7"/>
  <c r="E32" i="7"/>
  <c r="C18" i="5"/>
  <c r="R17" i="6"/>
  <c r="C110" i="15"/>
  <c r="F5" i="8"/>
  <c r="B119" i="10"/>
  <c r="E28" i="7"/>
  <c r="R19" i="6"/>
  <c r="I20" i="3"/>
  <c r="C20" i="5"/>
  <c r="F7" i="8"/>
  <c r="B121" i="10"/>
  <c r="E28" i="14"/>
  <c r="D28" i="14"/>
  <c r="E35" i="7"/>
  <c r="E24" i="7"/>
  <c r="E24" i="14"/>
  <c r="D24" i="14"/>
  <c r="G109" i="15"/>
  <c r="E109" i="15"/>
  <c r="E12" i="7"/>
  <c r="E108" i="15"/>
  <c r="G108" i="15"/>
  <c r="B210" i="13"/>
  <c r="B134" i="13"/>
  <c r="B96" i="13"/>
  <c r="B191" i="13"/>
  <c r="B153" i="13"/>
  <c r="B77" i="13"/>
  <c r="B39" i="13"/>
  <c r="B20" i="13"/>
  <c r="B20" i="10"/>
  <c r="B19" i="8"/>
  <c r="M96" i="10"/>
  <c r="M58" i="10"/>
  <c r="M39" i="10"/>
  <c r="M77" i="10" s="1"/>
  <c r="M54" i="10"/>
  <c r="M35" i="10"/>
  <c r="M73" i="10" s="1"/>
  <c r="M92" i="10"/>
  <c r="M128" i="13"/>
  <c r="M166" i="13" s="1"/>
  <c r="M88" i="10"/>
  <c r="M50" i="10"/>
  <c r="M31" i="10"/>
  <c r="M69" i="10" s="1"/>
  <c r="M84" i="10"/>
  <c r="M46" i="10"/>
  <c r="M27" i="10"/>
  <c r="M65" i="10" s="1"/>
  <c r="C17" i="5"/>
  <c r="R16" i="6"/>
  <c r="T19" i="6"/>
  <c r="E129" i="10"/>
  <c r="L15" i="8"/>
  <c r="K15" i="8"/>
  <c r="E26" i="7"/>
  <c r="G14" i="8"/>
  <c r="E14" i="8"/>
  <c r="I51" i="13"/>
  <c r="G9" i="8"/>
  <c r="E9" i="8"/>
  <c r="H122" i="13"/>
  <c r="H160" i="13" s="1"/>
  <c r="E95" i="10"/>
  <c r="E57" i="10"/>
  <c r="E38" i="10"/>
  <c r="E76" i="10" s="1"/>
  <c r="F90" i="10"/>
  <c r="F52" i="10"/>
  <c r="F33" i="10"/>
  <c r="F71" i="10" s="1"/>
  <c r="O86" i="10"/>
  <c r="O48" i="10"/>
  <c r="O29" i="10"/>
  <c r="O67" i="10" s="1"/>
  <c r="E123" i="13"/>
  <c r="E161" i="13" s="1"/>
  <c r="Q105" i="13"/>
  <c r="N44" i="13"/>
  <c r="F132" i="13"/>
  <c r="F170" i="13" s="1"/>
  <c r="K92" i="10"/>
  <c r="K54" i="10"/>
  <c r="K35" i="10"/>
  <c r="K73" i="10" s="1"/>
  <c r="F127" i="13"/>
  <c r="F165" i="13" s="1"/>
  <c r="J49" i="10"/>
  <c r="J87" i="10"/>
  <c r="J30" i="10"/>
  <c r="J68" i="10" s="1"/>
  <c r="J92" i="10"/>
  <c r="J54" i="10"/>
  <c r="J35" i="10"/>
  <c r="J73" i="10" s="1"/>
  <c r="D122" i="13"/>
  <c r="D160" i="13" s="1"/>
  <c r="N95" i="10"/>
  <c r="N57" i="10"/>
  <c r="N38" i="10"/>
  <c r="N76" i="10" s="1"/>
  <c r="G17" i="8"/>
  <c r="E17" i="8"/>
  <c r="D51" i="13"/>
  <c r="H220" i="13"/>
  <c r="O96" i="10"/>
  <c r="O58" i="10"/>
  <c r="O39" i="10"/>
  <c r="O77" i="10" s="1"/>
  <c r="L57" i="10"/>
  <c r="L95" i="10"/>
  <c r="L38" i="10"/>
  <c r="L76" i="10" s="1"/>
  <c r="J91" i="10"/>
  <c r="J53" i="10"/>
  <c r="J34" i="10"/>
  <c r="J72" i="10" s="1"/>
  <c r="L47" i="13"/>
  <c r="Q160" i="13"/>
  <c r="K133" i="13"/>
  <c r="K171" i="13" s="1"/>
  <c r="E55" i="13"/>
  <c r="I129" i="13"/>
  <c r="I167" i="13" s="1"/>
  <c r="N89" i="10"/>
  <c r="N51" i="10"/>
  <c r="N32" i="10"/>
  <c r="N70" i="10" s="1"/>
  <c r="Q108" i="13"/>
  <c r="F125" i="13"/>
  <c r="F163" i="13" s="1"/>
  <c r="H96" i="10"/>
  <c r="H39" i="10"/>
  <c r="H77" i="10" s="1"/>
  <c r="H58" i="10"/>
  <c r="K90" i="10"/>
  <c r="K52" i="10"/>
  <c r="K33" i="10"/>
  <c r="K71" i="10" s="1"/>
  <c r="O126" i="13"/>
  <c r="O164" i="13" s="1"/>
  <c r="B83" i="10"/>
  <c r="B45" i="10"/>
  <c r="B26" i="10"/>
  <c r="B120" i="13"/>
  <c r="D125" i="13"/>
  <c r="D163" i="13" s="1"/>
  <c r="I85" i="10"/>
  <c r="I47" i="10"/>
  <c r="I28" i="10"/>
  <c r="I66" i="10" s="1"/>
  <c r="B93" i="10"/>
  <c r="B55" i="10"/>
  <c r="B36" i="10"/>
  <c r="E15" i="8"/>
  <c r="G15" i="8"/>
  <c r="I128" i="13"/>
  <c r="I166" i="13" s="1"/>
  <c r="J132" i="13"/>
  <c r="J170" i="13" s="1"/>
  <c r="B127" i="10"/>
  <c r="F13" i="8"/>
  <c r="E27" i="7"/>
  <c r="B125" i="10"/>
  <c r="F11" i="8"/>
  <c r="E19" i="7"/>
  <c r="E29" i="7"/>
  <c r="E21" i="7"/>
  <c r="S19" i="6"/>
  <c r="D20" i="5"/>
  <c r="I21" i="3"/>
  <c r="C19" i="5"/>
  <c r="R18" i="6"/>
  <c r="M58" i="13"/>
  <c r="G57" i="13"/>
  <c r="M50" i="13"/>
  <c r="M219" i="13"/>
  <c r="M46" i="13"/>
  <c r="M215" i="13"/>
  <c r="E22" i="7"/>
  <c r="E127" i="10"/>
  <c r="L13" i="8"/>
  <c r="K13" i="8"/>
  <c r="D26" i="14"/>
  <c r="E26" i="14"/>
  <c r="F57" i="10"/>
  <c r="F95" i="10"/>
  <c r="F38" i="10"/>
  <c r="F76" i="10" s="1"/>
  <c r="L131" i="13"/>
  <c r="L169" i="13" s="1"/>
  <c r="D91" i="10"/>
  <c r="D53" i="10"/>
  <c r="D34" i="10"/>
  <c r="D72" i="10" s="1"/>
  <c r="I127" i="13"/>
  <c r="I165" i="13" s="1"/>
  <c r="H217" i="13"/>
  <c r="C34" i="10"/>
  <c r="C72" i="10" s="1"/>
  <c r="C91" i="10"/>
  <c r="C53" i="10"/>
  <c r="H127" i="13"/>
  <c r="H165" i="13" s="1"/>
  <c r="J221" i="13"/>
  <c r="O48" i="13"/>
  <c r="L44" i="13"/>
  <c r="Q114" i="13"/>
  <c r="C128" i="13"/>
  <c r="C166" i="13" s="1"/>
  <c r="P224" i="13"/>
  <c r="B224" i="13"/>
  <c r="E223" i="13"/>
  <c r="K87" i="10"/>
  <c r="K30" i="10"/>
  <c r="K68" i="10" s="1"/>
  <c r="K49" i="10"/>
  <c r="B124" i="13"/>
  <c r="D218" i="13"/>
  <c r="O128" i="13"/>
  <c r="O166" i="13" s="1"/>
  <c r="C133" i="13"/>
  <c r="C171" i="13" s="1"/>
  <c r="J49" i="13"/>
  <c r="J54" i="13"/>
  <c r="I125" i="13"/>
  <c r="I163" i="13" s="1"/>
  <c r="G50" i="13"/>
  <c r="Q104" i="13"/>
  <c r="C134" i="13"/>
  <c r="C172" i="13" s="1"/>
  <c r="I217" i="13"/>
  <c r="D56" i="13"/>
  <c r="K129" i="13"/>
  <c r="K167" i="13" s="1"/>
  <c r="B90" i="10"/>
  <c r="B52" i="10"/>
  <c r="B33" i="10"/>
  <c r="D89" i="10"/>
  <c r="D51" i="10"/>
  <c r="D32" i="10"/>
  <c r="D70" i="10" s="1"/>
  <c r="M85" i="10"/>
  <c r="M28" i="10"/>
  <c r="M66" i="10" s="1"/>
  <c r="M47" i="10"/>
  <c r="G134" i="13"/>
  <c r="G172" i="13" s="1"/>
  <c r="L57" i="13"/>
  <c r="C132" i="13"/>
  <c r="C170" i="13" s="1"/>
  <c r="J53" i="13"/>
  <c r="C127" i="13"/>
  <c r="C165" i="13" s="1"/>
  <c r="J86" i="10"/>
  <c r="J29" i="10"/>
  <c r="J67" i="10" s="1"/>
  <c r="J48" i="10"/>
  <c r="B122" i="13"/>
  <c r="G82" i="10"/>
  <c r="G44" i="10"/>
  <c r="G25" i="10"/>
  <c r="G63" i="10" s="1"/>
  <c r="B94" i="10"/>
  <c r="B56" i="10"/>
  <c r="B37" i="10"/>
  <c r="N51" i="13"/>
  <c r="Q51" i="13"/>
  <c r="F220" i="13"/>
  <c r="K85" i="10"/>
  <c r="K28" i="10"/>
  <c r="K66" i="10" s="1"/>
  <c r="K47" i="10"/>
  <c r="F215" i="13"/>
  <c r="D131" i="13"/>
  <c r="D169" i="13" s="1"/>
  <c r="K52" i="13"/>
  <c r="O221" i="13"/>
  <c r="E87" i="10"/>
  <c r="E30" i="10"/>
  <c r="E68" i="10" s="1"/>
  <c r="E49" i="10"/>
  <c r="L217" i="13"/>
  <c r="P45" i="13"/>
  <c r="B45" i="13"/>
  <c r="Q158" i="13"/>
  <c r="I228" i="13"/>
  <c r="E225" i="13"/>
  <c r="L89" i="10"/>
  <c r="L32" i="10"/>
  <c r="L70" i="10" s="1"/>
  <c r="L51" i="10"/>
  <c r="B126" i="13"/>
  <c r="M121" i="13"/>
  <c r="M159" i="13" s="1"/>
  <c r="D215" i="13"/>
  <c r="J58" i="13"/>
  <c r="L83" i="10"/>
  <c r="L26" i="10"/>
  <c r="L64" i="10" s="1"/>
  <c r="L45" i="10"/>
  <c r="O54" i="10"/>
  <c r="O92" i="10"/>
  <c r="O35" i="10"/>
  <c r="O73" i="10" s="1"/>
  <c r="E129" i="13"/>
  <c r="E167" i="13" s="1"/>
  <c r="E17" i="7"/>
  <c r="F9" i="8"/>
  <c r="B123" i="10"/>
  <c r="E7" i="7"/>
  <c r="E14" i="7"/>
  <c r="E9" i="7"/>
  <c r="G129" i="13"/>
  <c r="G167" i="13" s="1"/>
  <c r="G121" i="13"/>
  <c r="G159" i="13" s="1"/>
  <c r="I19" i="3"/>
  <c r="Q19" i="6"/>
  <c r="B20" i="5"/>
  <c r="E10" i="7"/>
  <c r="E125" i="10"/>
  <c r="L11" i="8"/>
  <c r="K11" i="8"/>
  <c r="M87" i="10"/>
  <c r="M30" i="10"/>
  <c r="M68" i="10" s="1"/>
  <c r="M49" i="10"/>
  <c r="I5" i="3"/>
  <c r="C53" i="13"/>
  <c r="E218" i="13"/>
  <c r="I83" i="10"/>
  <c r="I45" i="10"/>
  <c r="I26" i="10"/>
  <c r="I64" i="10" s="1"/>
  <c r="B133" i="13"/>
  <c r="C223" i="13"/>
  <c r="F45" i="10"/>
  <c r="F26" i="10"/>
  <c r="F64" i="10" s="1"/>
  <c r="F83" i="10"/>
  <c r="G132" i="13"/>
  <c r="G170" i="13" s="1"/>
  <c r="L35" i="10"/>
  <c r="L73" i="10" s="1"/>
  <c r="L54" i="10"/>
  <c r="L92" i="10"/>
  <c r="Q167" i="13"/>
  <c r="K49" i="13"/>
  <c r="Q162" i="13"/>
  <c r="H83" i="10"/>
  <c r="H45" i="10"/>
  <c r="H26" i="10"/>
  <c r="H64" i="10" s="1"/>
  <c r="O223" i="13"/>
  <c r="I44" i="10"/>
  <c r="I25" i="10"/>
  <c r="I63" i="10" s="1"/>
  <c r="I82" i="10"/>
  <c r="D128" i="13"/>
  <c r="D166" i="13" s="1"/>
  <c r="H88" i="10"/>
  <c r="H50" i="10"/>
  <c r="H31" i="10"/>
  <c r="H69" i="10" s="1"/>
  <c r="C218" i="13"/>
  <c r="J82" i="10"/>
  <c r="J44" i="10"/>
  <c r="J25" i="10"/>
  <c r="J63" i="10" s="1"/>
  <c r="I220" i="13"/>
  <c r="E29" i="10"/>
  <c r="E67" i="10" s="1"/>
  <c r="E86" i="10"/>
  <c r="E48" i="10"/>
  <c r="E132" i="13"/>
  <c r="E170" i="13" s="1"/>
  <c r="L91" i="10"/>
  <c r="L53" i="10"/>
  <c r="L34" i="10"/>
  <c r="L72" i="10" s="1"/>
  <c r="Q161" i="13"/>
  <c r="C229" i="13"/>
  <c r="M57" i="10"/>
  <c r="M95" i="10"/>
  <c r="M38" i="10"/>
  <c r="M76" i="10" s="1"/>
  <c r="H125" i="13"/>
  <c r="H163" i="13" s="1"/>
  <c r="C122" i="13"/>
  <c r="C160" i="13" s="1"/>
  <c r="B87" i="10"/>
  <c r="B30" i="10"/>
  <c r="B49" i="10"/>
  <c r="C227" i="13"/>
  <c r="H92" i="10"/>
  <c r="H35" i="10"/>
  <c r="H73" i="10" s="1"/>
  <c r="H54" i="10"/>
  <c r="Q217" i="13"/>
  <c r="G130" i="13"/>
  <c r="G168" i="13" s="1"/>
  <c r="D126" i="13"/>
  <c r="D164" i="13" s="1"/>
  <c r="C121" i="13"/>
  <c r="C159" i="13" s="1"/>
  <c r="F120" i="13"/>
  <c r="F158" i="13" s="1"/>
  <c r="F225" i="13"/>
  <c r="J123" i="13"/>
  <c r="J161" i="13" s="1"/>
  <c r="N83" i="10"/>
  <c r="N45" i="10"/>
  <c r="N26" i="10"/>
  <c r="N64" i="10" s="1"/>
  <c r="Q102" i="13"/>
  <c r="Q215" i="13"/>
  <c r="L94" i="10"/>
  <c r="L37" i="10"/>
  <c r="L75" i="10" s="1"/>
  <c r="L56" i="10"/>
  <c r="C131" i="13"/>
  <c r="C169" i="13" s="1"/>
  <c r="L51" i="13"/>
  <c r="Q164" i="13"/>
  <c r="L88" i="10"/>
  <c r="L50" i="10"/>
  <c r="L31" i="10"/>
  <c r="L69" i="10" s="1"/>
  <c r="H133" i="13"/>
  <c r="H171" i="13" s="1"/>
  <c r="Q55" i="13"/>
  <c r="F129" i="13"/>
  <c r="F167" i="13" s="1"/>
  <c r="O87" i="10"/>
  <c r="O30" i="10"/>
  <c r="O68" i="10" s="1"/>
  <c r="O49" i="10"/>
  <c r="F124" i="13"/>
  <c r="F162" i="13" s="1"/>
  <c r="C120" i="13"/>
  <c r="C158" i="13" s="1"/>
  <c r="G93" i="10"/>
  <c r="G55" i="10"/>
  <c r="G36" i="10"/>
  <c r="G74" i="10" s="1"/>
  <c r="G51" i="10"/>
  <c r="G32" i="10"/>
  <c r="G70" i="10" s="1"/>
  <c r="G89" i="10"/>
  <c r="G125" i="13"/>
  <c r="G163" i="13" s="1"/>
  <c r="G85" i="10"/>
  <c r="G47" i="10"/>
  <c r="G28" i="10"/>
  <c r="G66" i="10" s="1"/>
  <c r="Q18" i="6"/>
  <c r="B19" i="5"/>
  <c r="E31" i="7"/>
  <c r="K191" i="13"/>
  <c r="K210" i="13"/>
  <c r="K153" i="13"/>
  <c r="K134" i="13"/>
  <c r="K96" i="13"/>
  <c r="K77" i="13"/>
  <c r="K39" i="13"/>
  <c r="K20" i="13"/>
  <c r="K20" i="10"/>
  <c r="E123" i="10"/>
  <c r="K9" i="8"/>
  <c r="L9" i="8"/>
  <c r="B54" i="10"/>
  <c r="B92" i="10"/>
  <c r="B35" i="10"/>
  <c r="G128" i="13"/>
  <c r="G166" i="13" s="1"/>
  <c r="F123" i="13"/>
  <c r="F161" i="13" s="1"/>
  <c r="L96" i="10"/>
  <c r="L58" i="10"/>
  <c r="L39" i="10"/>
  <c r="L77" i="10" s="1"/>
  <c r="H132" i="13"/>
  <c r="H170" i="13" s="1"/>
  <c r="O91" i="10"/>
  <c r="O34" i="10"/>
  <c r="O72" i="10" s="1"/>
  <c r="O53" i="10"/>
  <c r="L87" i="10"/>
  <c r="L30" i="10"/>
  <c r="L68" i="10" s="1"/>
  <c r="L49" i="10"/>
  <c r="C124" i="13"/>
  <c r="C162" i="13" s="1"/>
  <c r="Q171" i="13"/>
  <c r="Q110" i="13"/>
  <c r="N124" i="13"/>
  <c r="N162" i="13" s="1"/>
  <c r="B219" i="13"/>
  <c r="P219" i="13"/>
  <c r="K120" i="13"/>
  <c r="K158" i="13" s="1"/>
  <c r="O133" i="13"/>
  <c r="O171" i="13" s="1"/>
  <c r="I93" i="10"/>
  <c r="I55" i="10"/>
  <c r="I36" i="10"/>
  <c r="I74" i="10" s="1"/>
  <c r="M129" i="13"/>
  <c r="M167" i="13" s="1"/>
  <c r="P218" i="13"/>
  <c r="B218" i="13"/>
  <c r="P52" i="13"/>
  <c r="B52" i="13"/>
  <c r="H44" i="10"/>
  <c r="H25" i="10"/>
  <c r="H63" i="10" s="1"/>
  <c r="H82" i="10"/>
  <c r="O132" i="13"/>
  <c r="O170" i="13" s="1"/>
  <c r="O127" i="13"/>
  <c r="O165" i="13" s="1"/>
  <c r="C222" i="13"/>
  <c r="N122" i="13"/>
  <c r="N160" i="13" s="1"/>
  <c r="Q113" i="13"/>
  <c r="L90" i="10"/>
  <c r="L52" i="10"/>
  <c r="L33" i="10"/>
  <c r="L71" i="10" s="1"/>
  <c r="Q165" i="13"/>
  <c r="I86" i="10"/>
  <c r="I29" i="10"/>
  <c r="I67" i="10" s="1"/>
  <c r="I48" i="10"/>
  <c r="N87" i="10"/>
  <c r="N30" i="10"/>
  <c r="N68" i="10" s="1"/>
  <c r="N49" i="10"/>
  <c r="J133" i="13"/>
  <c r="J171" i="13" s="1"/>
  <c r="H91" i="10"/>
  <c r="H53" i="10"/>
  <c r="H34" i="10"/>
  <c r="H72" i="10" s="1"/>
  <c r="M127" i="13"/>
  <c r="M165" i="13" s="1"/>
  <c r="C88" i="10"/>
  <c r="C50" i="10"/>
  <c r="C31" i="10"/>
  <c r="C69" i="10" s="1"/>
  <c r="Q45" i="13"/>
  <c r="E120" i="13"/>
  <c r="E158" i="13" s="1"/>
  <c r="B215" i="13"/>
  <c r="P215" i="13"/>
  <c r="J90" i="10"/>
  <c r="J52" i="10"/>
  <c r="J33" i="10"/>
  <c r="J71" i="10" s="1"/>
  <c r="N126" i="13"/>
  <c r="N164" i="13" s="1"/>
  <c r="B221" i="13"/>
  <c r="P221" i="13"/>
  <c r="G86" i="10"/>
  <c r="G29" i="10"/>
  <c r="G67" i="10" s="1"/>
  <c r="G48" i="10"/>
  <c r="N93" i="10"/>
  <c r="N36" i="10"/>
  <c r="N74" i="10" s="1"/>
  <c r="N55" i="10"/>
  <c r="Q112" i="13"/>
  <c r="I223" i="13"/>
  <c r="J84" i="10"/>
  <c r="J46" i="10"/>
  <c r="J27" i="10"/>
  <c r="J65" i="10" s="1"/>
  <c r="C54" i="13"/>
  <c r="F58" i="10"/>
  <c r="F96" i="10"/>
  <c r="F39" i="10"/>
  <c r="F77" i="10" s="1"/>
  <c r="D18" i="5"/>
  <c r="S17" i="6"/>
  <c r="B18" i="5"/>
  <c r="Q17" i="6"/>
  <c r="E32" i="14"/>
  <c r="D32" i="14"/>
  <c r="G228" i="13"/>
  <c r="G55" i="13"/>
  <c r="M54" i="13"/>
  <c r="G51" i="13"/>
  <c r="G47" i="13"/>
  <c r="G216" i="13"/>
  <c r="D17" i="5"/>
  <c r="S16" i="6"/>
  <c r="E31" i="14"/>
  <c r="D31" i="14"/>
  <c r="E121" i="10"/>
  <c r="L7" i="8"/>
  <c r="K7" i="8"/>
  <c r="C135" i="15"/>
  <c r="C134" i="15"/>
  <c r="F57" i="13"/>
  <c r="I132" i="13"/>
  <c r="I170" i="13" s="1"/>
  <c r="Q54" i="13"/>
  <c r="D53" i="13"/>
  <c r="I222" i="13"/>
  <c r="F218" i="13"/>
  <c r="L58" i="13"/>
  <c r="H227" i="13"/>
  <c r="F128" i="13"/>
  <c r="F166" i="13" s="1"/>
  <c r="H222" i="13"/>
  <c r="G84" i="10"/>
  <c r="G27" i="10"/>
  <c r="G65" i="10" s="1"/>
  <c r="G46" i="10"/>
  <c r="L120" i="13"/>
  <c r="L158" i="13" s="1"/>
  <c r="P228" i="13"/>
  <c r="B228" i="13"/>
  <c r="L29" i="10"/>
  <c r="L67" i="10" s="1"/>
  <c r="L48" i="10"/>
  <c r="L86" i="10"/>
  <c r="F45" i="13"/>
  <c r="N224" i="13"/>
  <c r="B129" i="13"/>
  <c r="I88" i="10"/>
  <c r="I50" i="10"/>
  <c r="I31" i="10"/>
  <c r="I69" i="10" s="1"/>
  <c r="Q219" i="13"/>
  <c r="F84" i="10"/>
  <c r="F27" i="10"/>
  <c r="F65" i="10" s="1"/>
  <c r="F46" i="10"/>
  <c r="N28" i="10"/>
  <c r="N66" i="10" s="1"/>
  <c r="N47" i="10"/>
  <c r="N85" i="10"/>
  <c r="N120" i="13"/>
  <c r="N158" i="13" s="1"/>
  <c r="F94" i="10"/>
  <c r="F56" i="10"/>
  <c r="F37" i="10"/>
  <c r="F75" i="10" s="1"/>
  <c r="I55" i="13"/>
  <c r="M224" i="13"/>
  <c r="O218" i="13"/>
  <c r="E27" i="10"/>
  <c r="E65" i="10" s="1"/>
  <c r="E84" i="10"/>
  <c r="E46" i="10"/>
  <c r="J44" i="13"/>
  <c r="E127" i="13"/>
  <c r="E165" i="13" s="1"/>
  <c r="G7" i="8"/>
  <c r="E7" i="8"/>
  <c r="E48" i="13"/>
  <c r="N133" i="13"/>
  <c r="N171" i="13" s="1"/>
  <c r="E227" i="13"/>
  <c r="B123" i="13"/>
  <c r="I130" i="13"/>
  <c r="I168" i="13" s="1"/>
  <c r="N90" i="10"/>
  <c r="N52" i="10"/>
  <c r="N33" i="10"/>
  <c r="N71" i="10" s="1"/>
  <c r="Q52" i="13"/>
  <c r="F221" i="13"/>
  <c r="O122" i="13"/>
  <c r="O160" i="13" s="1"/>
  <c r="H44" i="13"/>
  <c r="O134" i="13"/>
  <c r="O172" i="13" s="1"/>
  <c r="I134" i="13"/>
  <c r="I172" i="13" s="1"/>
  <c r="Q49" i="13"/>
  <c r="F93" i="10"/>
  <c r="F55" i="10"/>
  <c r="F36" i="10"/>
  <c r="F74" i="10" s="1"/>
  <c r="E88" i="10"/>
  <c r="E50" i="10"/>
  <c r="E31" i="10"/>
  <c r="E69" i="10" s="1"/>
  <c r="G6" i="8"/>
  <c r="E6" i="8"/>
  <c r="H128" i="13"/>
  <c r="H166" i="13" s="1"/>
  <c r="N56" i="13"/>
  <c r="P56" i="13"/>
  <c r="B56" i="13"/>
  <c r="G225" i="13"/>
  <c r="L52" i="13"/>
  <c r="B127" i="13"/>
  <c r="O121" i="13"/>
  <c r="O159" i="13" s="1"/>
  <c r="C216" i="13"/>
  <c r="H58" i="13"/>
  <c r="J228" i="13"/>
  <c r="H53" i="13"/>
  <c r="H124" i="13"/>
  <c r="H162" i="13" s="1"/>
  <c r="I57" i="10"/>
  <c r="I95" i="10"/>
  <c r="I38" i="10"/>
  <c r="I76" i="10" s="1"/>
  <c r="O131" i="13"/>
  <c r="O169" i="13" s="1"/>
  <c r="Q221" i="13"/>
  <c r="K122" i="13"/>
  <c r="K160" i="13" s="1"/>
  <c r="D82" i="10"/>
  <c r="D44" i="10"/>
  <c r="D25" i="10"/>
  <c r="D63" i="10" s="1"/>
  <c r="L50" i="13"/>
  <c r="D130" i="13"/>
  <c r="D168" i="13" s="1"/>
  <c r="K32" i="10"/>
  <c r="K70" i="10" s="1"/>
  <c r="K89" i="10"/>
  <c r="K51" i="10"/>
  <c r="C125" i="13"/>
  <c r="C163" i="13" s="1"/>
  <c r="O120" i="13"/>
  <c r="O158" i="13" s="1"/>
  <c r="C215" i="13"/>
  <c r="M55" i="10"/>
  <c r="M93" i="10"/>
  <c r="M36" i="10"/>
  <c r="M74" i="10" s="1"/>
  <c r="C130" i="13"/>
  <c r="C168" i="13" s="1"/>
  <c r="E119" i="10"/>
  <c r="L5" i="8"/>
  <c r="K5" i="8"/>
  <c r="B110" i="15"/>
  <c r="G107" i="15"/>
  <c r="E107" i="15"/>
  <c r="N54" i="10"/>
  <c r="N92" i="10"/>
  <c r="N35" i="10"/>
  <c r="N73" i="10" s="1"/>
  <c r="K88" i="10"/>
  <c r="K50" i="10"/>
  <c r="K31" i="10"/>
  <c r="K69" i="10" s="1"/>
  <c r="D124" i="13"/>
  <c r="D162" i="13" s="1"/>
  <c r="J83" i="10"/>
  <c r="J45" i="10"/>
  <c r="J26" i="10"/>
  <c r="J64" i="10" s="1"/>
  <c r="C129" i="13"/>
  <c r="C167" i="13" s="1"/>
  <c r="O124" i="13"/>
  <c r="O162" i="13" s="1"/>
  <c r="Q228" i="13"/>
  <c r="J127" i="13"/>
  <c r="J165" i="13" s="1"/>
  <c r="D133" i="13"/>
  <c r="D171" i="13" s="1"/>
  <c r="J55" i="10"/>
  <c r="J93" i="10"/>
  <c r="J36" i="10"/>
  <c r="J74" i="10" s="1"/>
  <c r="L54" i="13"/>
  <c r="Q224" i="13"/>
  <c r="K125" i="13"/>
  <c r="K163" i="13" s="1"/>
  <c r="G8" i="8"/>
  <c r="E8" i="8"/>
  <c r="F51" i="10"/>
  <c r="F32" i="10"/>
  <c r="F70" i="10" s="1"/>
  <c r="F89" i="10"/>
  <c r="D46" i="10"/>
  <c r="D27" i="10"/>
  <c r="D65" i="10" s="1"/>
  <c r="D84" i="10"/>
  <c r="H93" i="10"/>
  <c r="H55" i="10"/>
  <c r="H36" i="10"/>
  <c r="H74" i="10" s="1"/>
  <c r="G126" i="13"/>
  <c r="G164" i="13" s="1"/>
  <c r="Q218" i="13"/>
  <c r="I84" i="10"/>
  <c r="I46" i="10"/>
  <c r="I27" i="10"/>
  <c r="I65" i="10" s="1"/>
  <c r="F126" i="13"/>
  <c r="F164" i="13" s="1"/>
  <c r="K86" i="10"/>
  <c r="K29" i="10"/>
  <c r="K67" i="10" s="1"/>
  <c r="K48" i="10"/>
  <c r="E83" i="10"/>
  <c r="E45" i="10"/>
  <c r="E26" i="10"/>
  <c r="E64" i="10" s="1"/>
  <c r="E58" i="10"/>
  <c r="E96" i="10"/>
  <c r="E39" i="10"/>
  <c r="E77" i="10" s="1"/>
  <c r="P49" i="13"/>
  <c r="B49" i="13"/>
  <c r="L133" i="13"/>
  <c r="L171" i="13" s="1"/>
  <c r="B46" i="13"/>
  <c r="P46" i="13"/>
  <c r="D83" i="10"/>
  <c r="D45" i="10"/>
  <c r="D26" i="10"/>
  <c r="D64" i="10" s="1"/>
  <c r="N94" i="10"/>
  <c r="N56" i="10"/>
  <c r="N37" i="10"/>
  <c r="N75" i="10" s="1"/>
  <c r="Q56" i="13"/>
  <c r="E131" i="13"/>
  <c r="E169" i="13" s="1"/>
  <c r="I91" i="10"/>
  <c r="I53" i="10"/>
  <c r="I34" i="10"/>
  <c r="I72" i="10" s="1"/>
  <c r="P222" i="13"/>
  <c r="B222" i="13"/>
  <c r="F82" i="10"/>
  <c r="F44" i="10"/>
  <c r="F25" i="10"/>
  <c r="F63" i="10" s="1"/>
  <c r="H134" i="13"/>
  <c r="H172" i="13" s="1"/>
  <c r="F92" i="10"/>
  <c r="F35" i="10"/>
  <c r="F73" i="10" s="1"/>
  <c r="F54" i="10"/>
  <c r="H219" i="13"/>
  <c r="L84" i="10"/>
  <c r="L46" i="10"/>
  <c r="L27" i="10"/>
  <c r="L65" i="10" s="1"/>
  <c r="Q159" i="13"/>
  <c r="E215" i="13"/>
  <c r="N221" i="13"/>
  <c r="G10" i="8"/>
  <c r="E10" i="8"/>
  <c r="G5" i="8"/>
  <c r="E5" i="8"/>
  <c r="J134" i="13"/>
  <c r="J172" i="13" s="1"/>
  <c r="H228" i="13"/>
  <c r="P55" i="13"/>
  <c r="B55" i="13"/>
  <c r="K51" i="13"/>
  <c r="F219" i="13"/>
  <c r="I17" i="3"/>
  <c r="O54" i="13"/>
  <c r="K26" i="10"/>
  <c r="K64" i="10" s="1"/>
  <c r="K83" i="10"/>
  <c r="K45" i="10"/>
  <c r="E30" i="14"/>
  <c r="D30" i="14"/>
  <c r="E37" i="14"/>
  <c r="D37" i="14"/>
  <c r="M94" i="10"/>
  <c r="M37" i="10"/>
  <c r="M75" i="10" s="1"/>
  <c r="M56" i="10"/>
  <c r="M90" i="10"/>
  <c r="M52" i="10"/>
  <c r="M33" i="10"/>
  <c r="M71" i="10" s="1"/>
  <c r="M48" i="10"/>
  <c r="M86" i="10"/>
  <c r="M29" i="10"/>
  <c r="M67" i="10" s="1"/>
  <c r="M122" i="13"/>
  <c r="M160" i="13" s="1"/>
  <c r="M44" i="10"/>
  <c r="M25" i="10"/>
  <c r="M63" i="10" s="1"/>
  <c r="M82" i="10"/>
  <c r="Q16" i="6"/>
  <c r="B17" i="5"/>
  <c r="Q111" i="13"/>
  <c r="D129" i="13"/>
  <c r="D167" i="13" s="1"/>
  <c r="G223" i="13"/>
  <c r="K50" i="13"/>
  <c r="E133" i="13"/>
  <c r="E171" i="13" s="1"/>
  <c r="K55" i="10"/>
  <c r="K93" i="10"/>
  <c r="K36" i="10"/>
  <c r="K74" i="10" s="1"/>
  <c r="J88" i="10"/>
  <c r="J50" i="10"/>
  <c r="J31" i="10"/>
  <c r="J69" i="10" s="1"/>
  <c r="N129" i="13"/>
  <c r="N167" i="13" s="1"/>
  <c r="E52" i="10"/>
  <c r="E33" i="10"/>
  <c r="E71" i="10" s="1"/>
  <c r="E90" i="10"/>
  <c r="D85" i="10"/>
  <c r="D28" i="10"/>
  <c r="D66" i="10" s="1"/>
  <c r="D47" i="10"/>
  <c r="F46" i="13"/>
  <c r="H121" i="13"/>
  <c r="H159" i="13" s="1"/>
  <c r="C95" i="10"/>
  <c r="C57" i="10"/>
  <c r="C38" i="10"/>
  <c r="C76" i="10" s="1"/>
  <c r="K130" i="13"/>
  <c r="K168" i="13" s="1"/>
  <c r="D52" i="10"/>
  <c r="D33" i="10"/>
  <c r="D71" i="10" s="1"/>
  <c r="D90" i="10"/>
  <c r="F51" i="13"/>
  <c r="I87" i="10"/>
  <c r="I49" i="10"/>
  <c r="I30" i="10"/>
  <c r="I68" i="10" s="1"/>
  <c r="D46" i="13"/>
  <c r="N228" i="13"/>
  <c r="H55" i="13"/>
  <c r="G221" i="13"/>
  <c r="C96" i="10"/>
  <c r="C58" i="10"/>
  <c r="C39" i="10"/>
  <c r="C77" i="10" s="1"/>
  <c r="D132" i="13"/>
  <c r="D170" i="13" s="1"/>
  <c r="I225" i="13"/>
  <c r="Q166" i="13"/>
  <c r="O229" i="13"/>
  <c r="J129" i="13"/>
  <c r="J167" i="13" s="1"/>
  <c r="L123" i="13"/>
  <c r="L161" i="13" s="1"/>
  <c r="N127" i="13"/>
  <c r="N165" i="13" s="1"/>
  <c r="Q222" i="13"/>
  <c r="F87" i="10"/>
  <c r="F30" i="10"/>
  <c r="F68" i="10" s="1"/>
  <c r="F49" i="10"/>
  <c r="O216" i="13"/>
  <c r="K128" i="13"/>
  <c r="K166" i="13" s="1"/>
  <c r="O88" i="10"/>
  <c r="O50" i="10"/>
  <c r="O31" i="10"/>
  <c r="O69" i="10" s="1"/>
  <c r="B121" i="13"/>
  <c r="B82" i="10"/>
  <c r="B44" i="10"/>
  <c r="B25" i="10"/>
  <c r="L56" i="13"/>
  <c r="E54" i="10"/>
  <c r="E92" i="10"/>
  <c r="E35" i="10"/>
  <c r="E73" i="10" s="1"/>
  <c r="L127" i="13"/>
  <c r="L165" i="13" s="1"/>
  <c r="D87" i="10"/>
  <c r="D30" i="10"/>
  <c r="D68" i="10" s="1"/>
  <c r="D49" i="10"/>
  <c r="K94" i="10"/>
  <c r="K56" i="10"/>
  <c r="K37" i="10"/>
  <c r="K75" i="10" s="1"/>
  <c r="B131" i="13"/>
  <c r="I90" i="10"/>
  <c r="I33" i="10"/>
  <c r="I71" i="10" s="1"/>
  <c r="I52" i="10"/>
  <c r="O125" i="13"/>
  <c r="O163" i="13" s="1"/>
  <c r="H85" i="10"/>
  <c r="H47" i="10"/>
  <c r="H28" i="10"/>
  <c r="H66" i="10" s="1"/>
  <c r="L121" i="13"/>
  <c r="L159" i="13" s="1"/>
  <c r="O130" i="13"/>
  <c r="O168" i="13" s="1"/>
  <c r="E128" i="10"/>
  <c r="L14" i="8"/>
  <c r="K14" i="8"/>
  <c r="B128" i="10"/>
  <c r="F14" i="8"/>
  <c r="E18" i="7"/>
  <c r="M52" i="13"/>
  <c r="I18" i="3"/>
  <c r="F133" i="13"/>
  <c r="F171" i="13" s="1"/>
  <c r="P54" i="13"/>
  <c r="B54" i="13"/>
  <c r="I89" i="10"/>
  <c r="I51" i="10"/>
  <c r="I32" i="10"/>
  <c r="I70" i="10" s="1"/>
  <c r="M125" i="13"/>
  <c r="M163" i="13" s="1"/>
  <c r="H84" i="10"/>
  <c r="H27" i="10"/>
  <c r="H65" i="10" s="1"/>
  <c r="H46" i="10"/>
  <c r="F223" i="13"/>
  <c r="E85" i="10"/>
  <c r="E47" i="10"/>
  <c r="E28" i="10"/>
  <c r="E66" i="10" s="1"/>
  <c r="I121" i="13"/>
  <c r="I159" i="13" s="1"/>
  <c r="L215" i="13"/>
  <c r="C52" i="13"/>
  <c r="G94" i="10"/>
  <c r="G56" i="10"/>
  <c r="G37" i="10"/>
  <c r="G75" i="10" s="1"/>
  <c r="E52" i="13"/>
  <c r="I120" i="13"/>
  <c r="I158" i="13" s="1"/>
  <c r="G13" i="8"/>
  <c r="E13" i="8"/>
  <c r="J125" i="13"/>
  <c r="J163" i="13" s="1"/>
  <c r="C85" i="10"/>
  <c r="C28" i="10"/>
  <c r="C66" i="10" s="1"/>
  <c r="C47" i="10"/>
  <c r="J120" i="13"/>
  <c r="J158" i="13" s="1"/>
  <c r="J130" i="13"/>
  <c r="J168" i="13" s="1"/>
  <c r="H19" i="8"/>
  <c r="M133" i="13"/>
  <c r="M171" i="13" s="1"/>
  <c r="K91" i="10"/>
  <c r="K53" i="10"/>
  <c r="K34" i="10"/>
  <c r="K72" i="10" s="1"/>
  <c r="Q109" i="13"/>
  <c r="D127" i="13"/>
  <c r="D165" i="13" s="1"/>
  <c r="H87" i="10"/>
  <c r="H30" i="10"/>
  <c r="H68" i="10" s="1"/>
  <c r="H49" i="10"/>
  <c r="M123" i="13"/>
  <c r="M161" i="13" s="1"/>
  <c r="C84" i="10"/>
  <c r="C46" i="10"/>
  <c r="C27" i="10"/>
  <c r="C65" i="10" s="1"/>
  <c r="E134" i="13"/>
  <c r="E172" i="13" s="1"/>
  <c r="Q106" i="13"/>
  <c r="C94" i="10"/>
  <c r="C56" i="10"/>
  <c r="C37" i="10"/>
  <c r="C75" i="10" s="1"/>
  <c r="C89" i="10"/>
  <c r="C51" i="10"/>
  <c r="C32" i="10"/>
  <c r="C70" i="10" s="1"/>
  <c r="B84" i="10"/>
  <c r="B46" i="10"/>
  <c r="B27" i="10"/>
  <c r="G120" i="13"/>
  <c r="G158" i="13" s="1"/>
  <c r="K57" i="10"/>
  <c r="K95" i="10"/>
  <c r="K38" i="10"/>
  <c r="K76" i="10" s="1"/>
  <c r="B132" i="13"/>
  <c r="G11" i="8"/>
  <c r="E11" i="8"/>
  <c r="K123" i="13"/>
  <c r="K161" i="13" s="1"/>
  <c r="C83" i="10"/>
  <c r="C45" i="10"/>
  <c r="C26" i="10"/>
  <c r="C64" i="10" s="1"/>
  <c r="D93" i="10"/>
  <c r="D55" i="10"/>
  <c r="D36" i="10"/>
  <c r="D74" i="10" s="1"/>
  <c r="E125" i="13"/>
  <c r="E163" i="13" s="1"/>
  <c r="J85" i="10"/>
  <c r="J47" i="10"/>
  <c r="J28" i="10"/>
  <c r="J66" i="10" s="1"/>
  <c r="Q216" i="13"/>
  <c r="I123" i="13"/>
  <c r="I161" i="13" s="1"/>
  <c r="M83" i="10"/>
  <c r="M45" i="10"/>
  <c r="M26" i="10"/>
  <c r="M64" i="10" s="1"/>
  <c r="L126" i="13"/>
  <c r="L164" i="13" s="1"/>
  <c r="Q169" i="13"/>
  <c r="J94" i="10"/>
  <c r="J56" i="10"/>
  <c r="J37" i="10"/>
  <c r="J75" i="10" s="1"/>
  <c r="M55" i="13"/>
  <c r="F58" i="13"/>
  <c r="E35" i="14"/>
  <c r="D35" i="14"/>
  <c r="E126" i="10"/>
  <c r="L12" i="8"/>
  <c r="K12" i="8"/>
  <c r="E23" i="7"/>
  <c r="B126" i="10"/>
  <c r="F12" i="8"/>
  <c r="E6" i="7"/>
  <c r="M229" i="13"/>
  <c r="G127" i="13"/>
  <c r="G165" i="13" s="1"/>
  <c r="G123" i="13"/>
  <c r="G161" i="13" s="1"/>
  <c r="M217" i="13"/>
  <c r="I15" i="3"/>
  <c r="F228" i="13"/>
  <c r="B130" i="13"/>
  <c r="D224" i="13"/>
  <c r="L134" i="13"/>
  <c r="L172" i="13" s="1"/>
  <c r="O129" i="13"/>
  <c r="O167" i="13" s="1"/>
  <c r="C224" i="13"/>
  <c r="H89" i="10"/>
  <c r="H51" i="10"/>
  <c r="H32" i="10"/>
  <c r="H70" i="10" s="1"/>
  <c r="L125" i="13"/>
  <c r="L163" i="13" s="1"/>
  <c r="E47" i="13"/>
  <c r="C90" i="10"/>
  <c r="C52" i="10"/>
  <c r="C33" i="10"/>
  <c r="C71" i="10" s="1"/>
  <c r="J55" i="13"/>
  <c r="L130" i="13"/>
  <c r="L168" i="13" s="1"/>
  <c r="P53" i="13"/>
  <c r="B53" i="13"/>
  <c r="I126" i="13"/>
  <c r="I164" i="13" s="1"/>
  <c r="B86" i="10"/>
  <c r="B48" i="10"/>
  <c r="B29" i="10"/>
  <c r="H216" i="13"/>
  <c r="O90" i="10"/>
  <c r="O52" i="10"/>
  <c r="O33" i="10"/>
  <c r="O71" i="10" s="1"/>
  <c r="I7" i="3"/>
  <c r="C57" i="13"/>
  <c r="D52" i="13"/>
  <c r="H221" i="13"/>
  <c r="C47" i="13"/>
  <c r="E124" i="13"/>
  <c r="E162" i="13" s="1"/>
  <c r="E94" i="10"/>
  <c r="E56" i="10"/>
  <c r="E37" i="10"/>
  <c r="E75" i="10" s="1"/>
  <c r="K53" i="13"/>
  <c r="N223" i="13"/>
  <c r="B128" i="13"/>
  <c r="H49" i="13"/>
  <c r="M218" i="13"/>
  <c r="H215" i="13"/>
  <c r="I16" i="3"/>
  <c r="G58" i="10"/>
  <c r="G96" i="10"/>
  <c r="G39" i="10"/>
  <c r="G77" i="10" s="1"/>
  <c r="P220" i="13"/>
  <c r="B220" i="13"/>
  <c r="L228" i="13"/>
  <c r="C56" i="13"/>
  <c r="H130" i="13"/>
  <c r="H168" i="13" s="1"/>
  <c r="C51" i="13"/>
  <c r="J124" i="13"/>
  <c r="J162" i="13" s="1"/>
  <c r="N46" i="13"/>
  <c r="Q103" i="13"/>
  <c r="G215" i="13"/>
  <c r="K57" i="13"/>
  <c r="Q170" i="13"/>
  <c r="G54" i="10"/>
  <c r="G92" i="10"/>
  <c r="G35" i="10"/>
  <c r="G73" i="10" s="1"/>
  <c r="D88" i="10"/>
  <c r="D50" i="10"/>
  <c r="D31" i="10"/>
  <c r="D69" i="10" s="1"/>
  <c r="N125" i="13"/>
  <c r="N163" i="13" s="1"/>
  <c r="E16" i="8"/>
  <c r="G16" i="8"/>
  <c r="H129" i="13"/>
  <c r="H167" i="13" s="1"/>
  <c r="N121" i="13"/>
  <c r="N159" i="13" s="1"/>
  <c r="P216" i="13"/>
  <c r="B216" i="13"/>
  <c r="B44" i="13"/>
  <c r="P44" i="13"/>
  <c r="I57" i="13"/>
  <c r="L132" i="13"/>
  <c r="L170" i="13" s="1"/>
  <c r="B88" i="10"/>
  <c r="B50" i="10"/>
  <c r="B31" i="10"/>
  <c r="L221" i="13"/>
  <c r="J229" i="13"/>
  <c r="N131" i="13"/>
  <c r="N169" i="13" s="1"/>
  <c r="P226" i="13"/>
  <c r="B226" i="13"/>
  <c r="F91" i="10"/>
  <c r="F53" i="10"/>
  <c r="F34" i="10"/>
  <c r="F72" i="10" s="1"/>
  <c r="O220" i="13"/>
  <c r="F86" i="10"/>
  <c r="F29" i="10"/>
  <c r="F67" i="10" s="1"/>
  <c r="F48" i="10"/>
  <c r="C82" i="10"/>
  <c r="C44" i="10"/>
  <c r="C25" i="10"/>
  <c r="C63" i="10" s="1"/>
  <c r="E91" i="10"/>
  <c r="E53" i="10"/>
  <c r="E34" i="10"/>
  <c r="E72" i="10" s="1"/>
  <c r="F134" i="13"/>
  <c r="F172" i="13" s="1"/>
  <c r="E124" i="10"/>
  <c r="L10" i="8"/>
  <c r="K10" i="8"/>
  <c r="E11" i="7"/>
  <c r="B124" i="10"/>
  <c r="F10" i="8"/>
  <c r="E34" i="7"/>
  <c r="E25" i="7"/>
  <c r="G95" i="10"/>
  <c r="G57" i="10"/>
  <c r="G38" i="10"/>
  <c r="G76" i="10" s="1"/>
  <c r="G53" i="10"/>
  <c r="G91" i="10"/>
  <c r="G34" i="10"/>
  <c r="G72" i="10" s="1"/>
  <c r="G87" i="10"/>
  <c r="G30" i="10"/>
  <c r="G68" i="10" s="1"/>
  <c r="G49" i="10"/>
  <c r="G45" i="10"/>
  <c r="G26" i="10"/>
  <c r="G64" i="10" s="1"/>
  <c r="G83" i="10"/>
  <c r="E33" i="7"/>
  <c r="L55" i="10"/>
  <c r="L93" i="10"/>
  <c r="L36" i="10"/>
  <c r="L74" i="10" s="1"/>
  <c r="Q168" i="13"/>
  <c r="F85" i="10"/>
  <c r="F47" i="10"/>
  <c r="F28" i="10"/>
  <c r="F66" i="10" s="1"/>
  <c r="H94" i="10"/>
  <c r="H56" i="10"/>
  <c r="H37" i="10"/>
  <c r="H75" i="10" s="1"/>
  <c r="C86" i="10"/>
  <c r="C48" i="10"/>
  <c r="C29" i="10"/>
  <c r="C67" i="10" s="1"/>
  <c r="G122" i="13"/>
  <c r="G160" i="13" s="1"/>
  <c r="B95" i="10"/>
  <c r="B57" i="10"/>
  <c r="B38" i="10"/>
  <c r="F121" i="13"/>
  <c r="F159" i="13" s="1"/>
  <c r="G18" i="8"/>
  <c r="E18" i="8"/>
  <c r="Q48" i="13"/>
  <c r="F122" i="13"/>
  <c r="F160" i="13" s="1"/>
  <c r="O95" i="10"/>
  <c r="O38" i="10"/>
  <c r="O76" i="10" s="1"/>
  <c r="O57" i="10"/>
  <c r="I131" i="13"/>
  <c r="I169" i="13" s="1"/>
  <c r="M91" i="10"/>
  <c r="M53" i="10"/>
  <c r="M34" i="10"/>
  <c r="M72" i="10" s="1"/>
  <c r="H126" i="13"/>
  <c r="H164" i="13" s="1"/>
  <c r="O28" i="10"/>
  <c r="O66" i="10" s="1"/>
  <c r="O47" i="10"/>
  <c r="O85" i="10"/>
  <c r="C123" i="13"/>
  <c r="C161" i="13" s="1"/>
  <c r="E122" i="13"/>
  <c r="E160" i="13" s="1"/>
  <c r="E89" i="10"/>
  <c r="E51" i="10"/>
  <c r="E32" i="10"/>
  <c r="E70" i="10" s="1"/>
  <c r="L129" i="13"/>
  <c r="L167" i="13" s="1"/>
  <c r="B85" i="10"/>
  <c r="B28" i="10"/>
  <c r="B47" i="10"/>
  <c r="B223" i="13"/>
  <c r="P223" i="13"/>
  <c r="H120" i="13"/>
  <c r="H158" i="13" s="1"/>
  <c r="I14" i="3"/>
  <c r="B125" i="13"/>
  <c r="O94" i="10"/>
  <c r="O56" i="10"/>
  <c r="O37" i="10"/>
  <c r="O75" i="10" s="1"/>
  <c r="O89" i="10"/>
  <c r="O51" i="10"/>
  <c r="O32" i="10"/>
  <c r="O70" i="10" s="1"/>
  <c r="N84" i="10"/>
  <c r="N46" i="10"/>
  <c r="N27" i="10"/>
  <c r="N65" i="10" s="1"/>
  <c r="Q46" i="13"/>
  <c r="N132" i="13"/>
  <c r="N170" i="13" s="1"/>
  <c r="B227" i="13"/>
  <c r="P227" i="13"/>
  <c r="L128" i="13"/>
  <c r="L166" i="13" s="1"/>
  <c r="B89" i="10"/>
  <c r="B51" i="10"/>
  <c r="B32" i="10"/>
  <c r="J57" i="10"/>
  <c r="J95" i="10"/>
  <c r="J38" i="10"/>
  <c r="J76" i="10" s="1"/>
  <c r="M51" i="10"/>
  <c r="M89" i="10"/>
  <c r="M32" i="10"/>
  <c r="M70" i="10" s="1"/>
  <c r="E82" i="10"/>
  <c r="E44" i="10"/>
  <c r="E25" i="10"/>
  <c r="E63" i="10" s="1"/>
  <c r="Q101" i="13"/>
  <c r="C55" i="10"/>
  <c r="C36" i="10"/>
  <c r="C74" i="10" s="1"/>
  <c r="C93" i="10"/>
  <c r="J128" i="13"/>
  <c r="J166" i="13" s="1"/>
  <c r="P50" i="13"/>
  <c r="B50" i="13"/>
  <c r="G124" i="13"/>
  <c r="G162" i="13" s="1"/>
  <c r="I218" i="13"/>
  <c r="H57" i="10"/>
  <c r="H95" i="10"/>
  <c r="H38" i="10"/>
  <c r="H76" i="10" s="1"/>
  <c r="Q226" i="13"/>
  <c r="K127" i="13"/>
  <c r="K165" i="13" s="1"/>
  <c r="J122" i="13"/>
  <c r="J160" i="13" s="1"/>
  <c r="C44" i="13"/>
  <c r="M131" i="13"/>
  <c r="M169" i="13" s="1"/>
  <c r="B44" i="7"/>
  <c r="B46" i="7" s="1"/>
  <c r="E122" i="10"/>
  <c r="L8" i="8"/>
  <c r="K8" i="8"/>
  <c r="D210" i="13"/>
  <c r="D191" i="13"/>
  <c r="D134" i="13"/>
  <c r="D96" i="13"/>
  <c r="D153" i="13"/>
  <c r="D20" i="13"/>
  <c r="D77" i="13"/>
  <c r="D39" i="13"/>
  <c r="D20" i="10"/>
  <c r="C19" i="8"/>
  <c r="B122" i="10"/>
  <c r="F8" i="8"/>
  <c r="D19" i="5"/>
  <c r="S18" i="6"/>
  <c r="E13" i="7"/>
  <c r="E20" i="7"/>
  <c r="G133" i="13"/>
  <c r="G171" i="13" s="1"/>
  <c r="G131" i="13"/>
  <c r="G169" i="13" s="1"/>
  <c r="G53" i="13"/>
  <c r="G49" i="13"/>
  <c r="M124" i="13"/>
  <c r="M162" i="13" s="1"/>
  <c r="G45" i="13"/>
  <c r="M120" i="13"/>
  <c r="M158" i="13" s="1"/>
  <c r="E15" i="7"/>
  <c r="E33" i="14"/>
  <c r="D33" i="14"/>
  <c r="I9" i="3"/>
  <c r="E36" i="7"/>
  <c r="N130" i="13"/>
  <c r="N168" i="13" s="1"/>
  <c r="B225" i="13"/>
  <c r="P225" i="13"/>
  <c r="G52" i="10"/>
  <c r="G90" i="10"/>
  <c r="G33" i="10"/>
  <c r="G71" i="10" s="1"/>
  <c r="K126" i="13"/>
  <c r="K164" i="13" s="1"/>
  <c r="J216" i="13"/>
  <c r="L229" i="13"/>
  <c r="O224" i="13"/>
  <c r="H51" i="13"/>
  <c r="L220" i="13"/>
  <c r="P57" i="13"/>
  <c r="B57" i="13"/>
  <c r="D95" i="10"/>
  <c r="D57" i="10"/>
  <c r="D38" i="10"/>
  <c r="D76" i="10" s="1"/>
  <c r="G56" i="13"/>
  <c r="B34" i="10"/>
  <c r="B91" i="10"/>
  <c r="B53" i="10"/>
  <c r="P48" i="13"/>
  <c r="B48" i="13"/>
  <c r="K82" i="10"/>
  <c r="K44" i="10"/>
  <c r="K25" i="10"/>
  <c r="K63" i="10" s="1"/>
  <c r="N218" i="13"/>
  <c r="O57" i="13"/>
  <c r="I226" i="13"/>
  <c r="M53" i="13"/>
  <c r="F222" i="13"/>
  <c r="O47" i="13"/>
  <c r="D217" i="13"/>
  <c r="E219" i="13"/>
  <c r="P47" i="13"/>
  <c r="B47" i="13"/>
  <c r="I122" i="13"/>
  <c r="I160" i="13" s="1"/>
  <c r="M228" i="13"/>
  <c r="I92" i="10"/>
  <c r="I35" i="10"/>
  <c r="I73" i="10" s="1"/>
  <c r="I54" i="10"/>
  <c r="Q223" i="13"/>
  <c r="K124" i="13"/>
  <c r="K162" i="13" s="1"/>
  <c r="O84" i="10"/>
  <c r="O46" i="10"/>
  <c r="O27" i="10"/>
  <c r="O65" i="10" s="1"/>
  <c r="Q163" i="13"/>
  <c r="O56" i="13"/>
  <c r="O51" i="13"/>
  <c r="D121" i="13"/>
  <c r="D159" i="13" s="1"/>
  <c r="H90" i="10"/>
  <c r="H33" i="10"/>
  <c r="H71" i="10" s="1"/>
  <c r="H52" i="10"/>
  <c r="Q227" i="13"/>
  <c r="I124" i="13"/>
  <c r="I162" i="13" s="1"/>
  <c r="O83" i="10"/>
  <c r="O45" i="10"/>
  <c r="O26" i="10"/>
  <c r="O64" i="10" s="1"/>
  <c r="C126" i="13"/>
  <c r="C164" i="13" s="1"/>
  <c r="H86" i="10"/>
  <c r="H29" i="10"/>
  <c r="H67" i="10" s="1"/>
  <c r="H48" i="10"/>
  <c r="E44" i="13"/>
  <c r="Q44" i="13"/>
  <c r="I133" i="13"/>
  <c r="I171" i="13" s="1"/>
  <c r="N88" i="10"/>
  <c r="N50" i="10"/>
  <c r="N31" i="10"/>
  <c r="N69" i="10" s="1"/>
  <c r="Q107" i="13"/>
  <c r="K84" i="10"/>
  <c r="K46" i="10"/>
  <c r="K27" i="10"/>
  <c r="K65" i="10" s="1"/>
  <c r="K56" i="13"/>
  <c r="D54" i="10"/>
  <c r="D92" i="10"/>
  <c r="D35" i="10"/>
  <c r="D73" i="10" s="1"/>
  <c r="C30" i="10"/>
  <c r="C68" i="10" s="1"/>
  <c r="C87" i="10"/>
  <c r="C49" i="10"/>
  <c r="F48" i="13"/>
  <c r="O82" i="10"/>
  <c r="O44" i="10"/>
  <c r="O25" i="10"/>
  <c r="O63" i="10" s="1"/>
  <c r="C54" i="10"/>
  <c r="C92" i="10"/>
  <c r="C35" i="10"/>
  <c r="C73" i="10" s="1"/>
  <c r="K121" i="13"/>
  <c r="K159" i="13" s="1"/>
  <c r="E16" i="7"/>
  <c r="E120" i="10"/>
  <c r="L6" i="8"/>
  <c r="K6" i="8"/>
  <c r="B120" i="10"/>
  <c r="F6" i="8"/>
  <c r="N210" i="13"/>
  <c r="N134" i="13"/>
  <c r="N96" i="13"/>
  <c r="N191" i="13"/>
  <c r="N77" i="13"/>
  <c r="N39" i="13"/>
  <c r="N153" i="13"/>
  <c r="N20" i="13"/>
  <c r="N20" i="10"/>
  <c r="E8" i="7"/>
  <c r="M132" i="13"/>
  <c r="M170" i="13" s="1"/>
  <c r="G226" i="13"/>
  <c r="I6" i="3"/>
  <c r="D36" i="14"/>
  <c r="E36" i="14"/>
  <c r="I94" i="10"/>
  <c r="I56" i="10"/>
  <c r="I37" i="10"/>
  <c r="I75" i="10" s="1"/>
  <c r="Q225" i="13"/>
  <c r="D86" i="10"/>
  <c r="D48" i="10"/>
  <c r="D29" i="10"/>
  <c r="D67" i="10" s="1"/>
  <c r="J121" i="13"/>
  <c r="J159" i="13" s="1"/>
  <c r="K131" i="13"/>
  <c r="K169" i="13" s="1"/>
  <c r="J126" i="13"/>
  <c r="J164" i="13" s="1"/>
  <c r="C48" i="13"/>
  <c r="G217" i="13"/>
  <c r="L82" i="10"/>
  <c r="L44" i="10"/>
  <c r="L25" i="10"/>
  <c r="L63" i="10" s="1"/>
  <c r="Q57" i="13"/>
  <c r="L124" i="13"/>
  <c r="L162" i="13" s="1"/>
  <c r="J89" i="10"/>
  <c r="J51" i="10"/>
  <c r="J32" i="10"/>
  <c r="J70" i="10" s="1"/>
  <c r="D57" i="13"/>
  <c r="J131" i="13"/>
  <c r="J169" i="13" s="1"/>
  <c r="N53" i="10"/>
  <c r="N91" i="10"/>
  <c r="N34" i="10"/>
  <c r="N72" i="10" s="1"/>
  <c r="Q53" i="13"/>
  <c r="E128" i="13"/>
  <c r="E166" i="13" s="1"/>
  <c r="I221" i="13"/>
  <c r="N86" i="10"/>
  <c r="N48" i="10"/>
  <c r="N29" i="10"/>
  <c r="N67" i="10" s="1"/>
  <c r="D123" i="13"/>
  <c r="D161" i="13" s="1"/>
  <c r="F217" i="13"/>
  <c r="K44" i="13"/>
  <c r="N123" i="13"/>
  <c r="N161" i="13" s="1"/>
  <c r="N82" i="10"/>
  <c r="N44" i="10"/>
  <c r="N25" i="10"/>
  <c r="N63" i="10" s="1"/>
  <c r="D223" i="13"/>
  <c r="O123" i="13"/>
  <c r="O161" i="13" s="1"/>
  <c r="E217" i="13"/>
  <c r="N57" i="13"/>
  <c r="H131" i="13"/>
  <c r="H169" i="13" s="1"/>
  <c r="G88" i="10"/>
  <c r="G50" i="10"/>
  <c r="G31" i="10"/>
  <c r="G69" i="10" s="1"/>
  <c r="Q47" i="13"/>
  <c r="D94" i="10"/>
  <c r="D56" i="10"/>
  <c r="D37" i="10"/>
  <c r="D75" i="10" s="1"/>
  <c r="I54" i="13"/>
  <c r="N128" i="13"/>
  <c r="N166" i="13" s="1"/>
  <c r="G12" i="8"/>
  <c r="E12" i="8"/>
  <c r="F88" i="10"/>
  <c r="F50" i="10"/>
  <c r="F31" i="10"/>
  <c r="F69" i="10" s="1"/>
  <c r="O46" i="13"/>
  <c r="E121" i="13"/>
  <c r="E159" i="13" s="1"/>
  <c r="I58" i="10"/>
  <c r="I96" i="10"/>
  <c r="I39" i="10"/>
  <c r="I77" i="10" s="1"/>
  <c r="Q220" i="13"/>
  <c r="F131" i="13"/>
  <c r="F169" i="13" s="1"/>
  <c r="E126" i="13"/>
  <c r="E164" i="13" s="1"/>
  <c r="L85" i="10"/>
  <c r="L28" i="10"/>
  <c r="L66" i="10" s="1"/>
  <c r="L47" i="10"/>
  <c r="B217" i="13"/>
  <c r="P217" i="13"/>
  <c r="D216" i="13"/>
  <c r="E93" i="10"/>
  <c r="E55" i="10"/>
  <c r="E36" i="10"/>
  <c r="E74" i="10" s="1"/>
  <c r="P51" i="13"/>
  <c r="B51" i="13"/>
  <c r="O45" i="13"/>
  <c r="F130" i="13"/>
  <c r="F168" i="13" s="1"/>
  <c r="H224" i="13"/>
  <c r="C221" i="13"/>
  <c r="H48" i="13"/>
  <c r="L122" i="13"/>
  <c r="L160" i="13" s="1"/>
  <c r="O36" i="10"/>
  <c r="O74" i="10" s="1"/>
  <c r="O93" i="10"/>
  <c r="O55" i="10"/>
  <c r="E130" i="13"/>
  <c r="E168" i="13" s="1"/>
  <c r="N50" i="13"/>
  <c r="Q50" i="13"/>
  <c r="G219" i="13"/>
  <c r="K46" i="13"/>
  <c r="D120" i="13"/>
  <c r="D158" i="13" s="1"/>
  <c r="J96" i="10"/>
  <c r="J58" i="10"/>
  <c r="J39" i="10"/>
  <c r="J77" i="10" s="1"/>
  <c r="K132" i="13"/>
  <c r="K170" i="13" s="1"/>
  <c r="O44" i="13"/>
  <c r="J56" i="13"/>
  <c r="M226" i="13"/>
  <c r="E53" i="13"/>
  <c r="B125" i="15" l="1"/>
  <c r="B123" i="15"/>
  <c r="B131" i="15" s="1"/>
  <c r="D131" i="15" s="1"/>
  <c r="E110" i="15"/>
  <c r="D229" i="13"/>
  <c r="B127" i="15"/>
  <c r="B134" i="15" s="1"/>
  <c r="D134" i="15" s="1"/>
  <c r="R47" i="13"/>
  <c r="S47" i="13" s="1"/>
  <c r="D115" i="13"/>
  <c r="B47" i="14"/>
  <c r="B48" i="14" s="1"/>
  <c r="R225" i="13"/>
  <c r="E244" i="13" s="1"/>
  <c r="R217" i="13"/>
  <c r="E236" i="13" s="1"/>
  <c r="R227" i="13"/>
  <c r="E246" i="13" s="1"/>
  <c r="R218" i="13"/>
  <c r="S218" i="13" s="1"/>
  <c r="K172" i="13"/>
  <c r="D128" i="10"/>
  <c r="C128" i="10"/>
  <c r="P172" i="13"/>
  <c r="B172" i="13"/>
  <c r="B66" i="10"/>
  <c r="P28" i="10"/>
  <c r="Q28" i="10"/>
  <c r="B76" i="10"/>
  <c r="Q38" i="10"/>
  <c r="P38" i="10"/>
  <c r="P166" i="13"/>
  <c r="B166" i="13"/>
  <c r="R166" i="13" s="1"/>
  <c r="P168" i="13"/>
  <c r="B168" i="13"/>
  <c r="R168" i="13" s="1"/>
  <c r="P169" i="13"/>
  <c r="B169" i="13"/>
  <c r="R169" i="13" s="1"/>
  <c r="P25" i="10"/>
  <c r="B63" i="10"/>
  <c r="Q25" i="10"/>
  <c r="R222" i="13"/>
  <c r="F119" i="10"/>
  <c r="G119" i="10"/>
  <c r="P171" i="13"/>
  <c r="B171" i="13"/>
  <c r="R171" i="13" s="1"/>
  <c r="F125" i="10"/>
  <c r="G125" i="10"/>
  <c r="B64" i="10"/>
  <c r="Q26" i="10"/>
  <c r="P26" i="10"/>
  <c r="E130" i="10"/>
  <c r="L16" i="8"/>
  <c r="K16" i="8"/>
  <c r="Q229" i="13"/>
  <c r="P112" i="13"/>
  <c r="B112" i="13"/>
  <c r="R112" i="13" s="1"/>
  <c r="N115" i="13"/>
  <c r="R57" i="13"/>
  <c r="D58" i="13"/>
  <c r="B70" i="10"/>
  <c r="Q32" i="10"/>
  <c r="P32" i="10"/>
  <c r="R57" i="10"/>
  <c r="Q57" i="10"/>
  <c r="P57" i="10"/>
  <c r="S57" i="10" s="1"/>
  <c r="G124" i="10"/>
  <c r="F124" i="10"/>
  <c r="G126" i="10"/>
  <c r="F126" i="10"/>
  <c r="P44" i="10"/>
  <c r="S44" i="10" s="1"/>
  <c r="R44" i="10"/>
  <c r="Q44" i="10"/>
  <c r="B130" i="10"/>
  <c r="F16" i="8"/>
  <c r="F121" i="10"/>
  <c r="G121" i="10"/>
  <c r="R45" i="10"/>
  <c r="Q45" i="10"/>
  <c r="P45" i="10"/>
  <c r="S45" i="10" s="1"/>
  <c r="D121" i="10"/>
  <c r="C121" i="10"/>
  <c r="P104" i="13"/>
  <c r="B104" i="13"/>
  <c r="R104" i="13" s="1"/>
  <c r="B111" i="13"/>
  <c r="R111" i="13" s="1"/>
  <c r="P111" i="13"/>
  <c r="P106" i="13"/>
  <c r="B106" i="13"/>
  <c r="R106" i="13" s="1"/>
  <c r="B109" i="13"/>
  <c r="R109" i="13" s="1"/>
  <c r="P109" i="13"/>
  <c r="N229" i="13"/>
  <c r="R51" i="10"/>
  <c r="Q51" i="10"/>
  <c r="P51" i="10"/>
  <c r="S51" i="10" s="1"/>
  <c r="R54" i="13"/>
  <c r="G128" i="10"/>
  <c r="F128" i="10"/>
  <c r="R55" i="13"/>
  <c r="R46" i="13"/>
  <c r="F17" i="8"/>
  <c r="B131" i="10"/>
  <c r="B73" i="10"/>
  <c r="Q35" i="10"/>
  <c r="P35" i="10"/>
  <c r="B237" i="13"/>
  <c r="G237" i="13" s="1"/>
  <c r="R44" i="13"/>
  <c r="R220" i="13"/>
  <c r="P159" i="13"/>
  <c r="B159" i="13"/>
  <c r="R159" i="13" s="1"/>
  <c r="F19" i="8"/>
  <c r="B133" i="10"/>
  <c r="R224" i="13"/>
  <c r="F127" i="10"/>
  <c r="G127" i="10"/>
  <c r="B54" i="7"/>
  <c r="B55" i="7" s="1"/>
  <c r="B56" i="7" s="1"/>
  <c r="C41" i="7"/>
  <c r="D41" i="7" s="1"/>
  <c r="B113" i="13"/>
  <c r="R113" i="13" s="1"/>
  <c r="P113" i="13"/>
  <c r="R56" i="10"/>
  <c r="Q56" i="10"/>
  <c r="P56" i="10"/>
  <c r="S56" i="10" s="1"/>
  <c r="P158" i="13"/>
  <c r="B158" i="13"/>
  <c r="R158" i="13" s="1"/>
  <c r="N172" i="13"/>
  <c r="R48" i="13"/>
  <c r="D172" i="13"/>
  <c r="R226" i="13"/>
  <c r="R216" i="13"/>
  <c r="B67" i="10"/>
  <c r="Q29" i="10"/>
  <c r="P29" i="10"/>
  <c r="R49" i="13"/>
  <c r="P165" i="13"/>
  <c r="B165" i="13"/>
  <c r="R165" i="13" s="1"/>
  <c r="R228" i="13"/>
  <c r="R215" i="13"/>
  <c r="R54" i="10"/>
  <c r="Q54" i="10"/>
  <c r="P54" i="10"/>
  <c r="S54" i="10" s="1"/>
  <c r="R49" i="10"/>
  <c r="Q49" i="10"/>
  <c r="P49" i="10"/>
  <c r="S49" i="10" s="1"/>
  <c r="P160" i="13"/>
  <c r="B160" i="13"/>
  <c r="R160" i="13" s="1"/>
  <c r="B74" i="10"/>
  <c r="Q36" i="10"/>
  <c r="P36" i="10"/>
  <c r="B96" i="10"/>
  <c r="B58" i="10"/>
  <c r="B39" i="10"/>
  <c r="P48" i="10"/>
  <c r="S48" i="10" s="1"/>
  <c r="R48" i="10"/>
  <c r="Q48" i="10"/>
  <c r="P170" i="13"/>
  <c r="B170" i="13"/>
  <c r="R170" i="13" s="1"/>
  <c r="B68" i="10"/>
  <c r="Q30" i="10"/>
  <c r="P30" i="10"/>
  <c r="Q55" i="10"/>
  <c r="P55" i="10"/>
  <c r="S55" i="10" s="1"/>
  <c r="R55" i="10"/>
  <c r="P58" i="13"/>
  <c r="B58" i="13"/>
  <c r="E133" i="10"/>
  <c r="L19" i="8"/>
  <c r="K19" i="8"/>
  <c r="E132" i="10"/>
  <c r="L18" i="8"/>
  <c r="K18" i="8"/>
  <c r="P163" i="13"/>
  <c r="B163" i="13"/>
  <c r="R163" i="13" s="1"/>
  <c r="P161" i="13"/>
  <c r="B161" i="13"/>
  <c r="R161" i="13" s="1"/>
  <c r="R45" i="13"/>
  <c r="Q58" i="13"/>
  <c r="C43" i="14"/>
  <c r="D43" i="14" s="1"/>
  <c r="D52" i="14" s="1"/>
  <c r="E52" i="14" s="1"/>
  <c r="D129" i="10"/>
  <c r="C129" i="10"/>
  <c r="P108" i="13"/>
  <c r="B108" i="13"/>
  <c r="R108" i="13" s="1"/>
  <c r="B105" i="13"/>
  <c r="R105" i="13" s="1"/>
  <c r="P105" i="13"/>
  <c r="B101" i="13"/>
  <c r="R101" i="13" s="1"/>
  <c r="P101" i="13"/>
  <c r="P46" i="10"/>
  <c r="S46" i="10" s="1"/>
  <c r="R46" i="10"/>
  <c r="Q46" i="10"/>
  <c r="D127" i="10"/>
  <c r="C127" i="10"/>
  <c r="E131" i="10"/>
  <c r="L17" i="8"/>
  <c r="K17" i="8"/>
  <c r="D120" i="10"/>
  <c r="C120" i="10"/>
  <c r="R56" i="13"/>
  <c r="F123" i="10"/>
  <c r="G123" i="10"/>
  <c r="B132" i="10"/>
  <c r="F18" i="8"/>
  <c r="B71" i="10"/>
  <c r="Q33" i="10"/>
  <c r="P33" i="10"/>
  <c r="B115" i="13"/>
  <c r="P115" i="13"/>
  <c r="D119" i="10"/>
  <c r="C119" i="10"/>
  <c r="B103" i="13"/>
  <c r="R103" i="13" s="1"/>
  <c r="P103" i="13"/>
  <c r="B72" i="10"/>
  <c r="P34" i="10"/>
  <c r="Q34" i="10"/>
  <c r="D122" i="10"/>
  <c r="C122" i="10"/>
  <c r="R53" i="13"/>
  <c r="B155" i="15"/>
  <c r="B144" i="15"/>
  <c r="B166" i="15"/>
  <c r="K96" i="10"/>
  <c r="K58" i="10"/>
  <c r="K39" i="10"/>
  <c r="K77" i="10" s="1"/>
  <c r="C42" i="7"/>
  <c r="D42" i="7" s="1"/>
  <c r="Q52" i="10"/>
  <c r="P52" i="10"/>
  <c r="S52" i="10" s="1"/>
  <c r="R52" i="10"/>
  <c r="D125" i="10"/>
  <c r="C125" i="10"/>
  <c r="Q172" i="13"/>
  <c r="P102" i="13"/>
  <c r="B102" i="13"/>
  <c r="R102" i="13" s="1"/>
  <c r="R47" i="10"/>
  <c r="Q47" i="10"/>
  <c r="P47" i="10"/>
  <c r="S47" i="10" s="1"/>
  <c r="Q53" i="10"/>
  <c r="P53" i="10"/>
  <c r="S53" i="10" s="1"/>
  <c r="R53" i="10"/>
  <c r="N96" i="10"/>
  <c r="N58" i="10"/>
  <c r="N39" i="10"/>
  <c r="N77" i="10" s="1"/>
  <c r="G19" i="8"/>
  <c r="E19" i="8"/>
  <c r="G122" i="10"/>
  <c r="F122" i="10"/>
  <c r="R50" i="13"/>
  <c r="D124" i="10"/>
  <c r="C124" i="10"/>
  <c r="P31" i="10"/>
  <c r="B69" i="10"/>
  <c r="Q31" i="10"/>
  <c r="D126" i="10"/>
  <c r="C126" i="10"/>
  <c r="B124" i="15"/>
  <c r="B132" i="15" s="1"/>
  <c r="D132" i="15" s="1"/>
  <c r="E132" i="15" s="1"/>
  <c r="R52" i="13"/>
  <c r="R219" i="13"/>
  <c r="K58" i="13"/>
  <c r="F129" i="10"/>
  <c r="G129" i="10"/>
  <c r="B229" i="13"/>
  <c r="P229" i="13"/>
  <c r="P114" i="13"/>
  <c r="B114" i="13"/>
  <c r="R114" i="13" s="1"/>
  <c r="P164" i="13"/>
  <c r="B164" i="13"/>
  <c r="R164" i="13" s="1"/>
  <c r="B107" i="13"/>
  <c r="R107" i="13" s="1"/>
  <c r="P107" i="13"/>
  <c r="R51" i="13"/>
  <c r="N58" i="13"/>
  <c r="G120" i="10"/>
  <c r="F120" i="10"/>
  <c r="D58" i="10"/>
  <c r="D96" i="10"/>
  <c r="D39" i="10"/>
  <c r="D77" i="10" s="1"/>
  <c r="R223" i="13"/>
  <c r="P50" i="10"/>
  <c r="S50" i="10" s="1"/>
  <c r="R50" i="10"/>
  <c r="Q50" i="10"/>
  <c r="C43" i="7"/>
  <c r="D43" i="7" s="1"/>
  <c r="B65" i="10"/>
  <c r="Q27" i="10"/>
  <c r="P27" i="10"/>
  <c r="P167" i="13"/>
  <c r="B167" i="13"/>
  <c r="R167" i="13" s="1"/>
  <c r="R221" i="13"/>
  <c r="D123" i="10"/>
  <c r="C123" i="10"/>
  <c r="P37" i="10"/>
  <c r="Q37" i="10"/>
  <c r="B75" i="10"/>
  <c r="P162" i="13"/>
  <c r="B162" i="13"/>
  <c r="R162" i="13" s="1"/>
  <c r="Q115" i="13"/>
  <c r="P110" i="13"/>
  <c r="B110" i="13"/>
  <c r="R110" i="13" s="1"/>
  <c r="S217" i="13" l="1"/>
  <c r="S227" i="13"/>
  <c r="R229" i="13"/>
  <c r="E131" i="15"/>
  <c r="R115" i="13"/>
  <c r="E237" i="13"/>
  <c r="B45" i="7"/>
  <c r="B47" i="7" s="1"/>
  <c r="B49" i="7" s="1"/>
  <c r="S225" i="13"/>
  <c r="B240" i="13"/>
  <c r="G240" i="13" s="1"/>
  <c r="S50" i="13"/>
  <c r="F131" i="10"/>
  <c r="G131" i="10"/>
  <c r="D133" i="10"/>
  <c r="C133" i="10"/>
  <c r="D239" i="13"/>
  <c r="S106" i="13"/>
  <c r="D242" i="13"/>
  <c r="S109" i="13"/>
  <c r="B241" i="13"/>
  <c r="G241" i="13" s="1"/>
  <c r="S51" i="13"/>
  <c r="D236" i="13"/>
  <c r="S103" i="13"/>
  <c r="D132" i="10"/>
  <c r="C132" i="10"/>
  <c r="G132" i="10"/>
  <c r="F132" i="10"/>
  <c r="C236" i="13"/>
  <c r="S160" i="13"/>
  <c r="B239" i="13"/>
  <c r="G239" i="13" s="1"/>
  <c r="S49" i="13"/>
  <c r="B236" i="13"/>
  <c r="G236" i="13" s="1"/>
  <c r="S46" i="13"/>
  <c r="S162" i="13"/>
  <c r="C238" i="13"/>
  <c r="D235" i="13"/>
  <c r="S102" i="13"/>
  <c r="F52" i="14"/>
  <c r="B64" i="14"/>
  <c r="C246" i="13"/>
  <c r="S170" i="13"/>
  <c r="C235" i="13"/>
  <c r="S159" i="13"/>
  <c r="B245" i="13"/>
  <c r="G245" i="13" s="1"/>
  <c r="S55" i="13"/>
  <c r="S222" i="13"/>
  <c r="E241" i="13"/>
  <c r="S224" i="13"/>
  <c r="E243" i="13"/>
  <c r="D244" i="13"/>
  <c r="S111" i="13"/>
  <c r="D130" i="10"/>
  <c r="C130" i="10"/>
  <c r="G130" i="10"/>
  <c r="F130" i="10"/>
  <c r="B246" i="13"/>
  <c r="G246" i="13" s="1"/>
  <c r="S56" i="13"/>
  <c r="B235" i="13"/>
  <c r="G235" i="13" s="1"/>
  <c r="S45" i="13"/>
  <c r="F133" i="10"/>
  <c r="G133" i="10"/>
  <c r="S220" i="13"/>
  <c r="E239" i="13"/>
  <c r="S104" i="13"/>
  <c r="D237" i="13"/>
  <c r="F132" i="15"/>
  <c r="B156" i="15"/>
  <c r="E242" i="13"/>
  <c r="S223" i="13"/>
  <c r="B243" i="13"/>
  <c r="G243" i="13" s="1"/>
  <c r="S53" i="13"/>
  <c r="D248" i="13"/>
  <c r="S115" i="13"/>
  <c r="F131" i="15"/>
  <c r="B145" i="15"/>
  <c r="C237" i="13"/>
  <c r="F237" i="13" s="1"/>
  <c r="S161" i="13"/>
  <c r="R58" i="13"/>
  <c r="E235" i="13"/>
  <c r="S216" i="13"/>
  <c r="B234" i="13"/>
  <c r="G234" i="13" s="1"/>
  <c r="S44" i="13"/>
  <c r="B244" i="13"/>
  <c r="G244" i="13" s="1"/>
  <c r="S54" i="13"/>
  <c r="C241" i="13"/>
  <c r="S165" i="13"/>
  <c r="D131" i="10"/>
  <c r="C131" i="10"/>
  <c r="B242" i="13"/>
  <c r="G242" i="13" s="1"/>
  <c r="S52" i="13"/>
  <c r="S164" i="13"/>
  <c r="C240" i="13"/>
  <c r="S221" i="13"/>
  <c r="E240" i="13"/>
  <c r="B126" i="15"/>
  <c r="B133" i="15" s="1"/>
  <c r="D133" i="15" s="1"/>
  <c r="E133" i="15" s="1"/>
  <c r="S226" i="13"/>
  <c r="E245" i="13"/>
  <c r="D246" i="13"/>
  <c r="S113" i="13"/>
  <c r="C245" i="13"/>
  <c r="S169" i="13"/>
  <c r="R172" i="13"/>
  <c r="S219" i="13"/>
  <c r="E238" i="13"/>
  <c r="D240" i="13"/>
  <c r="S107" i="13"/>
  <c r="C243" i="13"/>
  <c r="F243" i="13" s="1"/>
  <c r="S167" i="13"/>
  <c r="D247" i="13"/>
  <c r="S114" i="13"/>
  <c r="D234" i="13"/>
  <c r="S101" i="13"/>
  <c r="C239" i="13"/>
  <c r="S163" i="13"/>
  <c r="B77" i="10"/>
  <c r="Q39" i="10"/>
  <c r="P39" i="10"/>
  <c r="D243" i="13"/>
  <c r="S110" i="13"/>
  <c r="B247" i="13"/>
  <c r="G247" i="13" s="1"/>
  <c r="S57" i="13"/>
  <c r="S168" i="13"/>
  <c r="C244" i="13"/>
  <c r="D238" i="13"/>
  <c r="S105" i="13"/>
  <c r="S215" i="13"/>
  <c r="E234" i="13"/>
  <c r="S171" i="13"/>
  <c r="C247" i="13"/>
  <c r="R58" i="10"/>
  <c r="Q58" i="10"/>
  <c r="P58" i="10"/>
  <c r="S58" i="10" s="1"/>
  <c r="B238" i="13"/>
  <c r="G238" i="13" s="1"/>
  <c r="S48" i="13"/>
  <c r="E248" i="13"/>
  <c r="S229" i="13"/>
  <c r="D241" i="13"/>
  <c r="S108" i="13"/>
  <c r="S228" i="13"/>
  <c r="E247" i="13"/>
  <c r="C234" i="13"/>
  <c r="F234" i="13" s="1"/>
  <c r="S158" i="13"/>
  <c r="D245" i="13"/>
  <c r="S112" i="13"/>
  <c r="C242" i="13"/>
  <c r="S166" i="13"/>
  <c r="F240" i="13" l="1"/>
  <c r="F244" i="13"/>
  <c r="F235" i="13"/>
  <c r="F239" i="13"/>
  <c r="F247" i="13"/>
  <c r="B248" i="13"/>
  <c r="G248" i="13" s="1"/>
  <c r="S58" i="13"/>
  <c r="B157" i="15"/>
  <c r="G132" i="15"/>
  <c r="B159" i="15" s="1"/>
  <c r="F245" i="13"/>
  <c r="F246" i="13"/>
  <c r="F236" i="13"/>
  <c r="G131" i="15"/>
  <c r="B148" i="15" s="1"/>
  <c r="B146" i="15"/>
  <c r="G52" i="14"/>
  <c r="B67" i="14" s="1"/>
  <c r="B65" i="14"/>
  <c r="F242" i="13"/>
  <c r="F241" i="13"/>
  <c r="S172" i="13"/>
  <c r="C248" i="13"/>
  <c r="F248" i="13" s="1"/>
  <c r="B167" i="15"/>
  <c r="F133" i="15"/>
  <c r="F238" i="13"/>
  <c r="B168" i="15" l="1"/>
  <c r="G133" i="15"/>
  <c r="B170" i="15" s="1"/>
</calcChain>
</file>

<file path=xl/sharedStrings.xml><?xml version="1.0" encoding="utf-8"?>
<sst xmlns="http://schemas.openxmlformats.org/spreadsheetml/2006/main" count="1495" uniqueCount="433">
  <si>
    <t>Halda River OCP Risk Assessment — Sediment: calculation workbook</t>
  </si>
  <si>
    <t>Companion workbook to the Results chapter "OCP Residues in Surface Sediment, Ecological Risk and Human Health Risk". Every derived number in the chapter is reproduced here with live formulas.</t>
  </si>
  <si>
    <t>SHEETS</t>
  </si>
  <si>
    <t xml:space="preserve">  Raw Data ............ 33 sediment samples (11 sites × 3 replicates) × 14 OCPs, µg/kg, as supplied (0 = below detection limit). ΣDDT, ΣHCH, ΣCyclodiene, ΣOCP and per-sample mPEL-Q are formulas.</t>
  </si>
  <si>
    <t xml:space="preserve">  Descriptive Stats ... mean, SD, median, range, detection frequency per compound; class composition (%).</t>
  </si>
  <si>
    <t xml:space="preserve">  Site Means .......... mean and SD per site (n = 3) for every compound and class sum.</t>
  </si>
  <si>
    <t xml:space="preserve">  Zone Means .......... mean, SD and n per zone; class composition by zone.</t>
  </si>
  <si>
    <t xml:space="preserve">  Group Means ......... single lookup table of mean concentrations for the 11 sites, 3 zones and overall — feeds the risk sheets.</t>
  </si>
  <si>
    <t xml:space="preserve">  Statistics .......... Kruskal–Wallis test of ΣOCP across zones (formula-based, rank method) and Spearman correlation with site order; SciPy results for cross-check and pairwise Mann–Whitney tests.</t>
  </si>
  <si>
    <t xml:space="preserve">  Diagnostic Ratios ... DDT/(DDD+DDE), (DDD+DDE)/ΣDDT, DDD/(DDD+DDE), α/γ-HCH, α/β-HCH, β-HCH share.</t>
  </si>
  <si>
    <t xml:space="preserve">  SQG ................. sediment quality guidelines (TEL/PEL-type values) with sources and surrogate flags — editable inputs.</t>
  </si>
  <si>
    <t xml:space="preserve">  Ecological Risk ..... RQ = C/TEL, RQ-PEL = C/PEL, risk class, mean PEL-quotient (mPEL-Q), ΣRQ, exceedance counts, per-compound exceedance frequency.</t>
  </si>
  <si>
    <t xml:space="preserve">  Parameters .......... USEPA exposure parameters for adult and child (ingestion + dermal) — editable inputs.</t>
  </si>
  <si>
    <t xml:space="preserve">  Toxicity ............ oral RfD, CSF and dermal ABS per compound — editable inputs.</t>
  </si>
  <si>
    <t xml:space="preserve">  Health Risk ......... CDI (ingestion, dermal; non-carcinogenic and carcinogenic), THQ, HI, CR for every site/zone/overall and both receptors.</t>
  </si>
  <si>
    <t>COLOUR CODE:  blue text on yellow = hard-coded input you may edit (data, parameters, guidelines);  black = formula;  green = link to another sheet.</t>
  </si>
  <si>
    <t>UNITS:  concentrations µg/kg (wet weight, as supplied); guidelines µg/kg dry weight; RfD mg/kg-day; CSF (mg/kg-day)^-1; CDI mg/kg-day.</t>
  </si>
  <si>
    <t>FORMULAE:  CDI_ing = C[mg/kg] × IngR × EF × ED × CF / (BW × AT);  CDI_derm = C × SA × AF × ABS × EF × ED × CF / (BW × AT);  THQ = (CDI_ing + CDI_derm)/RfD;  HI = ΣTHQ;  CR = Σ CDI_carc × CSF;</t>
  </si>
  <si>
    <t xml:space="preserve">           RQ = C/TEL;  mPEL-Q = mean over 14 compounds of C/PEL (non-detects = 0).</t>
  </si>
  <si>
    <t>NOTE: the Kruskal–Wallis H and p on the Statistics sheet are computed with worksheet formulas (rank method, tie-corrected) and agree with the SciPy values listed beside them. Mann–Whitney U tests are reported from SciPy (scipy.stats.mannwhitneyu, two-sided) as values.</t>
  </si>
  <si>
    <t>Raw sediment OCP concentrations (µg/kg, wet weight; 0 = not detected)</t>
  </si>
  <si>
    <t>Source: Sediment.xlsx supplied by the researcher. Blue = input data. Columns R–V are formulas.</t>
  </si>
  <si>
    <t>Zone</t>
  </si>
  <si>
    <t>Site</t>
  </si>
  <si>
    <t>Sample ID</t>
  </si>
  <si>
    <t>o,p'-DDT</t>
  </si>
  <si>
    <t>p,p'-DDT</t>
  </si>
  <si>
    <t>o,p'-DDD</t>
  </si>
  <si>
    <t>p,p'-DDD</t>
  </si>
  <si>
    <t>o,p'-DDE</t>
  </si>
  <si>
    <t>p,p'-DDE</t>
  </si>
  <si>
    <t>α-HCH</t>
  </si>
  <si>
    <t>β-HCH</t>
  </si>
  <si>
    <t>γ-HCH (Lindane)</t>
  </si>
  <si>
    <t>δ-HCH</t>
  </si>
  <si>
    <t>Aldrin</t>
  </si>
  <si>
    <t>Dieldrin</t>
  </si>
  <si>
    <t>Heptachlor</t>
  </si>
  <si>
    <t>Heptachlor epoxide</t>
  </si>
  <si>
    <t>ΣDDT</t>
  </si>
  <si>
    <t>ΣHCH</t>
  </si>
  <si>
    <t>ΣCyclodiene</t>
  </si>
  <si>
    <t>ΣOCP</t>
  </si>
  <si>
    <t>mPEL-Q (sample)</t>
  </si>
  <si>
    <t>Up-stream</t>
  </si>
  <si>
    <t>Bhujpur Dam</t>
  </si>
  <si>
    <t>BSR1</t>
  </si>
  <si>
    <t>BSR2</t>
  </si>
  <si>
    <t>BSR3</t>
  </si>
  <si>
    <t>Ekkhuliya</t>
  </si>
  <si>
    <t>ESR1</t>
  </si>
  <si>
    <t>ESR2</t>
  </si>
  <si>
    <t>ESR3</t>
  </si>
  <si>
    <t>Nazirhat</t>
  </si>
  <si>
    <t>NZSR1</t>
  </si>
  <si>
    <t>NZSR2</t>
  </si>
  <si>
    <t>NZSR3</t>
  </si>
  <si>
    <t>Mid-stream</t>
  </si>
  <si>
    <t>Sekandar Para</t>
  </si>
  <si>
    <t>SSR1</t>
  </si>
  <si>
    <t>SSR2</t>
  </si>
  <si>
    <t>SSR3</t>
  </si>
  <si>
    <t>Nichintapur</t>
  </si>
  <si>
    <t>NISR1</t>
  </si>
  <si>
    <t>NISR2</t>
  </si>
  <si>
    <t>NISR3</t>
  </si>
  <si>
    <t>Nadimpur</t>
  </si>
  <si>
    <t>NDSR1</t>
  </si>
  <si>
    <t>NDSR2</t>
  </si>
  <si>
    <t>NDSR3</t>
  </si>
  <si>
    <t>Down-stream</t>
  </si>
  <si>
    <t>West Binajuri</t>
  </si>
  <si>
    <t>WSR1</t>
  </si>
  <si>
    <t>WSR2</t>
  </si>
  <si>
    <t>WSR3</t>
  </si>
  <si>
    <t>Napiter Ghona</t>
  </si>
  <si>
    <t>NSR1</t>
  </si>
  <si>
    <t>NSR2</t>
  </si>
  <si>
    <t>NSR3</t>
  </si>
  <si>
    <t>Horekrishno Mohajoner Tek</t>
  </si>
  <si>
    <t>HSR1</t>
  </si>
  <si>
    <t>HSR2</t>
  </si>
  <si>
    <t>HSR3</t>
  </si>
  <si>
    <t>Chayar Char</t>
  </si>
  <si>
    <t>CSR1</t>
  </si>
  <si>
    <t>CSR2</t>
  </si>
  <si>
    <t>CSR3</t>
  </si>
  <si>
    <t>Kalurghat</t>
  </si>
  <si>
    <t>KSR1</t>
  </si>
  <si>
    <t>KSR2</t>
  </si>
  <si>
    <t>KSR3</t>
  </si>
  <si>
    <t>Descriptive statistics of OCPs in sediment (µg/kg, n = 33)</t>
  </si>
  <si>
    <t>All cells are formulas on the Raw Data sheet. Detection frequency = share of samples with concentration &gt; 0.</t>
  </si>
  <si>
    <t>Compound</t>
  </si>
  <si>
    <t>Mean</t>
  </si>
  <si>
    <t>SD</t>
  </si>
  <si>
    <t>Median</t>
  </si>
  <si>
    <t>Min</t>
  </si>
  <si>
    <t>Max</t>
  </si>
  <si>
    <t>n detected</t>
  </si>
  <si>
    <t>Detection frequency (%)</t>
  </si>
  <si>
    <t>Share of ΣOCP (%)</t>
  </si>
  <si>
    <t>ΣDDT = o,p'- and p,p'-DDT, -DDD, -DDE; ΣHCH = α, β, γ, δ-HCH; ΣCyclodiene = aldrin, dieldrin, heptachlor, heptachlor epoxide.</t>
  </si>
  <si>
    <t>Site-wise mean and SD (µg/kg, n = 3 per site)</t>
  </si>
  <si>
    <t>Formulas reference the contiguous block of the three replicate rows of each site on the Raw Data sheet.</t>
  </si>
  <si>
    <t>Rows</t>
  </si>
  <si>
    <t>5–7</t>
  </si>
  <si>
    <t>8–10</t>
  </si>
  <si>
    <t>11–13</t>
  </si>
  <si>
    <t>14–16</t>
  </si>
  <si>
    <t>17–19</t>
  </si>
  <si>
    <t>20–22</t>
  </si>
  <si>
    <t>23–25</t>
  </si>
  <si>
    <t>26–28</t>
  </si>
  <si>
    <t>29–31</t>
  </si>
  <si>
    <t>32–34</t>
  </si>
  <si>
    <t>35–37</t>
  </si>
  <si>
    <t>Site (SD)</t>
  </si>
  <si>
    <t>Zone-wise mean, SD and n (µg/kg)</t>
  </si>
  <si>
    <t>Up-stream = rows of Bhujpur Dam, Ekkhuliya, Nazirhat; Mid-stream = Sekandar Para, Nichintapur, Nadimpur; Down-stream = the five remaining sites.</t>
  </si>
  <si>
    <t>n</t>
  </si>
  <si>
    <t>5–13</t>
  </si>
  <si>
    <t>14–22</t>
  </si>
  <si>
    <t>23–37</t>
  </si>
  <si>
    <t>Zone (SD)</t>
  </si>
  <si>
    <t>ΣDDT (%)</t>
  </si>
  <si>
    <t>ΣHCH (%)</t>
  </si>
  <si>
    <t>Overall</t>
  </si>
  <si>
    <t>Mean concentrations (µg/kg) for every site, zone and overall — lookup table for the risk sheets</t>
  </si>
  <si>
    <t>Green = links to Site Means / Zone Means / Descriptive Stats.</t>
  </si>
  <si>
    <t>Group</t>
  </si>
  <si>
    <t>Type</t>
  </si>
  <si>
    <t>All samples</t>
  </si>
  <si>
    <t>Non-parametric statistics on ΣOCP</t>
  </si>
  <si>
    <t>Kruskal–Wallis by worksheet formulas (ranks via RANK.AVG, tie-corrected); SciPy values shown for cross-check. Pairwise Mann–Whitney from SciPy (values).</t>
  </si>
  <si>
    <t>Sample</t>
  </si>
  <si>
    <t>Site order (1 = most up-stream)</t>
  </si>
  <si>
    <t>Rank of ΣOCP</t>
  </si>
  <si>
    <t>Rank of site order</t>
  </si>
  <si>
    <t>Kruskal–Wallis test of ΣOCP across zones</t>
  </si>
  <si>
    <t>n_i</t>
  </si>
  <si>
    <t>Sum of ranks R_i</t>
  </si>
  <si>
    <t>R_i² / n_i</t>
  </si>
  <si>
    <t>N</t>
  </si>
  <si>
    <t>H (uncorrected) = 12/(N(N+1)) × Σ(R_i²/n_i) − 3(N+1)</t>
  </si>
  <si>
    <t>Tie correction C = 1 − Σ(t³−t)/(N³−N)</t>
  </si>
  <si>
    <t>H (tie-corrected)</t>
  </si>
  <si>
    <t>degrees of freedom (k − 1)</t>
  </si>
  <si>
    <t>p-value = CHISQ.DIST.RT(H, df)</t>
  </si>
  <si>
    <t>SciPy cross-check: H</t>
  </si>
  <si>
    <t>scipy.stats.kruskal</t>
  </si>
  <si>
    <t>SciPy cross-check: p</t>
  </si>
  <si>
    <t>Spearman rank correlation, ΣOCP vs site order (1–11)</t>
  </si>
  <si>
    <t>ρ = CORREL(rank ΣOCP, rank site order)</t>
  </si>
  <si>
    <t>t = ρ√((n−2)/(1−ρ²))</t>
  </si>
  <si>
    <t>p (two-sided, t-approximation)</t>
  </si>
  <si>
    <t>SciPy cross-check: ρ, p</t>
  </si>
  <si>
    <t>Pairwise Mann–Whitney U tests (SciPy, two-sided; Bonferroni ×3) — values</t>
  </si>
  <si>
    <t>Comparison</t>
  </si>
  <si>
    <t>U</t>
  </si>
  <si>
    <t>p (raw)</t>
  </si>
  <si>
    <t>p (Bonferroni)</t>
  </si>
  <si>
    <t>Significant (α = 0.05)?</t>
  </si>
  <si>
    <t>Up-stream vs Mid-stream</t>
  </si>
  <si>
    <t>Up-stream vs Down-stream</t>
  </si>
  <si>
    <t>Mid-stream vs Down-stream</t>
  </si>
  <si>
    <t>Kruskal–Wallis by zone for individual compounds and by site for ΣOCP (SciPy values)</t>
  </si>
  <si>
    <t>Variable</t>
  </si>
  <si>
    <t>H</t>
  </si>
  <si>
    <t>p</t>
  </si>
  <si>
    <t>p,p'-DDT (zones)</t>
  </si>
  <si>
    <t>p,p'-DDD (zones)</t>
  </si>
  <si>
    <t>α-HCH (zones)</t>
  </si>
  <si>
    <t>β-HCH (zones)</t>
  </si>
  <si>
    <t>δ-HCH (zones)</t>
  </si>
  <si>
    <t>Aldrin (zones)</t>
  </si>
  <si>
    <t>Heptachlor (zones)</t>
  </si>
  <si>
    <t>ΣOCP (11 sites)</t>
  </si>
  <si>
    <t>Source-diagnostic ratios (from group mean concentrations)</t>
  </si>
  <si>
    <t>DDT/(DDD+DDE) &gt; 1 = recent input; (DDD+DDE)/ΣDDT &gt; 0.5 = aged; DDD/(DDD+DDE) &gt; 0.5 = anaerobic degradation; α/γ-HCH 4–7 = technical HCH, &lt; 1 = lindane. "n.a." = denominator not detected.</t>
  </si>
  <si>
    <t>DDT (o,p'+p,p')</t>
  </si>
  <si>
    <t>DDD (o,p'+p,p')</t>
  </si>
  <si>
    <t>DDE (o,p'+p,p')</t>
  </si>
  <si>
    <t>DDT/(DDD+DDE)</t>
  </si>
  <si>
    <t>(DDD+DDE)/ΣDDT</t>
  </si>
  <si>
    <t>DDD/(DDD+DDE)</t>
  </si>
  <si>
    <t>o,p'-DDT/p,p'-DDT</t>
  </si>
  <si>
    <t>α/γ-HCH</t>
  </si>
  <si>
    <t>α/β-HCH</t>
  </si>
  <si>
    <t>β-HCH/ΣHCH (%)</t>
  </si>
  <si>
    <t>(α+γ)/ΣHCH (%)</t>
  </si>
  <si>
    <t>Sediment quality guidelines (µg/kg dry weight) — editable inputs</t>
  </si>
  <si>
    <t>Threshold-effect value = TEL/ISQG (CCME 2001), LEL (Persaud et al. 1993) or TEC (MacDonald et al. 2000); probable-effect value = PEL, SEL or PEC. Surrogate = 1 where no compound-specific guideline exists.</t>
  </si>
  <si>
    <t>Threshold-effect value (TEL)</t>
  </si>
  <si>
    <t>Surrogate? (1 = yes)</t>
  </si>
  <si>
    <t>Probable-effect value (PEL)</t>
  </si>
  <si>
    <t>Source</t>
  </si>
  <si>
    <t>Surrogate: CCME DDT</t>
  </si>
  <si>
    <t>CCME (2001) freshwater ISQG/PEL (DDT)</t>
  </si>
  <si>
    <t>Surrogate: CCME DDD</t>
  </si>
  <si>
    <t>CCME (2001) freshwater ISQG/PEL (DDD)</t>
  </si>
  <si>
    <t>Surrogate: CCME DDE</t>
  </si>
  <si>
    <t>CCME (2001) freshwater ISQG/PEL (DDE)</t>
  </si>
  <si>
    <t>Ontario MOE LEL/SEL (Persaud et al., 1993)</t>
  </si>
  <si>
    <t>CCME (2001) freshwater ISQG/PEL (lindane)</t>
  </si>
  <si>
    <t>Surrogate: Ontario MOE LEL/SEL for total HCH</t>
  </si>
  <si>
    <t>CCME (2001) freshwater ISQG/PEL</t>
  </si>
  <si>
    <t>Surrogate: CCME heptachlor epoxide ISQG/PEL</t>
  </si>
  <si>
    <t>Class sum</t>
  </si>
  <si>
    <t>Threshold-effect value</t>
  </si>
  <si>
    <t>Probable-effect value</t>
  </si>
  <si>
    <t>MacDonald et al. (2000) consensus TEC/PEC (total DDT)</t>
  </si>
  <si>
    <t>Ontario MOE LEL/SEL (total HCH; Persaud et al., 1993)</t>
  </si>
  <si>
    <t>Risk-class thresholds (Hernando et al., 2006): RQ &lt; 0.1 Low; 0.1 ≤ RQ &lt; 1 Medium; RQ ≥ 1 High.</t>
  </si>
  <si>
    <t>RQ low/medium boundary</t>
  </si>
  <si>
    <t>RQ medium/high boundary</t>
  </si>
  <si>
    <t>mPEL-Q bands (Long et al., 1998): ≤ 0.1 → ~8 % probability of toxicity; 0.11–1.5 → ~21 %; 1.51–2.3 → ~49 %; &gt; 2.3 → ~73 %.</t>
  </si>
  <si>
    <t>Ecological risk screening: RQ = C/TEL, RQ-PEL = C/PEL, mean PEL-quotient</t>
  </si>
  <si>
    <t>C = group mean concentration (Group Means sheet). Non-detects give RQ = 0. Blank guideline cells would give errors — keep all 14 guideline values filled on the SQG sheet.</t>
  </si>
  <si>
    <t>A. Mean concentration (µg/kg)</t>
  </si>
  <si>
    <t>B. RQ = C / TEL (threshold-effect quotient)</t>
  </si>
  <si>
    <t>ΣRQ</t>
  </si>
  <si>
    <t>No. compounds RQ ≥ 1</t>
  </si>
  <si>
    <t>C. RQ-PEL = C / PEL (probable-effect quotient)</t>
  </si>
  <si>
    <t>mPEL-Q (all 14)</t>
  </si>
  <si>
    <t>mPEL-Q (excl. surrogates)</t>
  </si>
  <si>
    <t>No. compounds &gt; PEL</t>
  </si>
  <si>
    <t>Toxicity-probability band</t>
  </si>
  <si>
    <t>D. Risk class (Hernando et al., 2006) based on RQ = C/TEL</t>
  </si>
  <si>
    <t>E. Guideline tier (&lt; TEL rarely adverse; TEL–PEL occasionally; &gt; PEL frequently adverse)</t>
  </si>
  <si>
    <t>F. Per-compound exceedance frequency across the 33 individual samples</t>
  </si>
  <si>
    <t>TEL</t>
  </si>
  <si>
    <t>PEL</t>
  </si>
  <si>
    <t>n &gt; TEL</t>
  </si>
  <si>
    <t>% samples &gt; TEL</t>
  </si>
  <si>
    <t>n &gt; PEL</t>
  </si>
  <si>
    <t>% samples &gt; PEL</t>
  </si>
  <si>
    <t>G. Class sums vs guidelines (ΣDDT vs consensus TEC/PEC; ΣHCH vs Ontario LEL/SEL)</t>
  </si>
  <si>
    <t>ΣDDT (µg/kg)</t>
  </si>
  <si>
    <t>RQ ΣDDT (C/TEC)</t>
  </si>
  <si>
    <t>RQ-PEC ΣDDT</t>
  </si>
  <si>
    <t>ΣHCH (µg/kg)</t>
  </si>
  <si>
    <t>RQ ΣHCH (C/LEL)</t>
  </si>
  <si>
    <t>RQ-SEL ΣHCH</t>
  </si>
  <si>
    <t>H. Distribution of per-sample mPEL-Q (Raw Data column V)</t>
  </si>
  <si>
    <t>% samples ≤ 0.1</t>
  </si>
  <si>
    <t>% samples 0.11–1.5</t>
  </si>
  <si>
    <t>% samples 1.51–2.3</t>
  </si>
  <si>
    <t>% samples &gt; 2.3</t>
  </si>
  <si>
    <t>Human-health exposure parameters (USEPA 1989, 2004, 2011) — editable inputs</t>
  </si>
  <si>
    <t>Parameter</t>
  </si>
  <si>
    <t>Symbol</t>
  </si>
  <si>
    <t>Adult</t>
  </si>
  <si>
    <t>Child</t>
  </si>
  <si>
    <t>Unit</t>
  </si>
  <si>
    <t>Source / basis</t>
  </si>
  <si>
    <t>Body weight</t>
  </si>
  <si>
    <t>BW</t>
  </si>
  <si>
    <t>kg</t>
  </si>
  <si>
    <t>USEPA Exposure Factors Handbook (2011); as in fish chapter</t>
  </si>
  <si>
    <t>Sediment ingestion rate</t>
  </si>
  <si>
    <t>IngR</t>
  </si>
  <si>
    <t>mg/day</t>
  </si>
  <si>
    <t>USEPA (1989, 2011) default incidental soil/sediment ingestion</t>
  </si>
  <si>
    <t>Exposed skin surface area</t>
  </si>
  <si>
    <t>SA</t>
  </si>
  <si>
    <t>cm²</t>
  </si>
  <si>
    <t>USEPA RAGS Part E (2004)</t>
  </si>
  <si>
    <t>Adherence factor</t>
  </si>
  <si>
    <t>AF</t>
  </si>
  <si>
    <t>mg/cm²</t>
  </si>
  <si>
    <t>Exposure frequency</t>
  </si>
  <si>
    <t>EF</t>
  </si>
  <si>
    <t>days/yr</t>
  </si>
  <si>
    <t>USEPA (1989) residential default</t>
  </si>
  <si>
    <t>Exposure duration</t>
  </si>
  <si>
    <t>ED</t>
  </si>
  <si>
    <t>yr</t>
  </si>
  <si>
    <t>Lifetime / childhood, as in fish chapter</t>
  </si>
  <si>
    <t>Conversion factor</t>
  </si>
  <si>
    <t>CF</t>
  </si>
  <si>
    <t>kg/mg</t>
  </si>
  <si>
    <t>—</t>
  </si>
  <si>
    <t>Lifetime for carcinogenic averaging</t>
  </si>
  <si>
    <t>LT</t>
  </si>
  <si>
    <t>USEPA (1989)</t>
  </si>
  <si>
    <t>Averaging time, non-carcinogenic</t>
  </si>
  <si>
    <t>AT_nc</t>
  </si>
  <si>
    <t>days</t>
  </si>
  <si>
    <t>ED × 365</t>
  </si>
  <si>
    <t>Averaging time, carcinogenic</t>
  </si>
  <si>
    <t>AT_c</t>
  </si>
  <si>
    <t>LT × 365</t>
  </si>
  <si>
    <t>Ingestion factor, non-carc  = IngR×EF×ED×CF/(BW×AT_nc)</t>
  </si>
  <si>
    <t>IF_nc</t>
  </si>
  <si>
    <t>kg sediment / kg BW / day</t>
  </si>
  <si>
    <t>Dermal factor, non-carc  = SA×AF×EF×ED×CF/(BW×AT_nc)  (× ABS per compound)</t>
  </si>
  <si>
    <t>DF_nc</t>
  </si>
  <si>
    <t>Ingestion factor, carc  = IngR×EF×ED×CF/(BW×AT_c)</t>
  </si>
  <si>
    <t>IF_c</t>
  </si>
  <si>
    <t>Dermal factor, carc  = SA×AF×EF×ED×CF/(BW×AT_c)  (× ABS per compound)</t>
  </si>
  <si>
    <t>DF_c</t>
  </si>
  <si>
    <t>Units check: C [mg/kg] × factor [kg/kg-day] = CDI [mg/kg-day]. Concentrations on the Group Means sheet are µg/kg and are divided by 1000 on the Health Risk sheet.</t>
  </si>
  <si>
    <t>Toxicity values — editable inputs</t>
  </si>
  <si>
    <t>RfD = oral chronic reference dose (mg/kg-day); CSF = oral cancer slope factor (mg/kg-day)^-1; ABS = dermal absorption fraction (USEPA RAGS Part E, 2004). Blank CSF = not classified (no cancer risk computed).</t>
  </si>
  <si>
    <t>RfD (mg/kg-day)</t>
  </si>
  <si>
    <t>CSF (mg/kg-day)^-1</t>
  </si>
  <si>
    <t>ABS (–)</t>
  </si>
  <si>
    <t>Basis</t>
  </si>
  <si>
    <t>USEPA IRIS (DDT)</t>
  </si>
  <si>
    <t>Surrogate: DDT (IRIS)</t>
  </si>
  <si>
    <t>RfD surrogate γ-HCH (IRIS); CSF IRIS/Cal-EPA</t>
  </si>
  <si>
    <t>RfD surrogate γ-HCH (IRIS); CSF Cal-EPA</t>
  </si>
  <si>
    <t>USEPA IRIS</t>
  </si>
  <si>
    <t>RfD surrogate γ-HCH; CSF not classified</t>
  </si>
  <si>
    <t>Human health risk from incidental ingestion and dermal contact with sediment</t>
  </si>
  <si>
    <t>C (mg/kg) = Group Means (µg/kg) / 1000. Factors IF/DF from the Parameters sheet; RfD, CSF, ABS from the Toxicity sheet.</t>
  </si>
  <si>
    <t>Adult — CDI ingestion, non-carcinogenic (mg/kg-day)</t>
  </si>
  <si>
    <t>Adult — CDI dermal, non-carcinogenic (mg/kg-day)</t>
  </si>
  <si>
    <t>Adult — THQ = (CDI_ing + CDI_derm) / RfD</t>
  </si>
  <si>
    <t>HI ingestion</t>
  </si>
  <si>
    <t>HI dermal</t>
  </si>
  <si>
    <t>HI total (ΣTHQ)</t>
  </si>
  <si>
    <t>HI &lt; 1 ?</t>
  </si>
  <si>
    <t>Adult — CDI ingestion, carcinogenic (mg/kg-day, lifetime-averaged)</t>
  </si>
  <si>
    <t>Adult — CDI dermal, carcinogenic (mg/kg-day, lifetime-averaged)</t>
  </si>
  <si>
    <t>Adult — Cancer risk CR = (CDI_ing,c + CDI_derm,c) × CSF</t>
  </si>
  <si>
    <t>CR ingestion</t>
  </si>
  <si>
    <t>CR dermal</t>
  </si>
  <si>
    <t>CR total</t>
  </si>
  <si>
    <t>USEPA range check</t>
  </si>
  <si>
    <t>Child — CDI ingestion, non-carcinogenic (mg/kg-day)</t>
  </si>
  <si>
    <t>Child — CDI dermal, non-carcinogenic (mg/kg-day)</t>
  </si>
  <si>
    <t>Child — THQ = (CDI_ing + CDI_derm) / RfD</t>
  </si>
  <si>
    <t>Child — CDI ingestion, carcinogenic (mg/kg-day, lifetime-averaged)</t>
  </si>
  <si>
    <t>Child — CDI dermal, carcinogenic (mg/kg-day, lifetime-averaged)</t>
  </si>
  <si>
    <t>Child — Cancer risk CR = (CDI_ing,c + CDI_derm,c) × CSF</t>
  </si>
  <si>
    <t>SUMMARY — HI and CR by group and receptor</t>
  </si>
  <si>
    <t>Adult HI</t>
  </si>
  <si>
    <t>Child HI</t>
  </si>
  <si>
    <t>Adult CR</t>
  </si>
  <si>
    <t>Child CR</t>
  </si>
  <si>
    <t>Child/Adult HI ratio</t>
  </si>
  <si>
    <t>Aldrin share of adult HI (%)</t>
  </si>
  <si>
    <t>Kruskal-Wallis H test — ΣOCP concentration in sediment by zone</t>
  </si>
  <si>
    <t>Non-parametric one-way ANOVA on ranks. H = (12/(N(N+1))) · Σ(R_g²/n_g) − 3(N+1), tie-corrected: H_c = H / (1 − T/(N³−N)), where T = Σ(t³−t) over tied-value groups. p-value from the chi-square distribution with df = (number of groups − 1). Sample data pulled live from the Raw Data sheet (Zone in column A, ΣOCP in column U, rows 5–37, N = 33).</t>
  </si>
  <si>
    <t>ΣOCP (µg/kg)</t>
  </si>
  <si>
    <t>Rank (ties averaged)</t>
  </si>
  <si>
    <t>Tie count, t</t>
  </si>
  <si>
    <t>Zone comparison</t>
  </si>
  <si>
    <t>Sum of ranks, R</t>
  </si>
  <si>
    <t>R² / n</t>
  </si>
  <si>
    <t>Tie correction</t>
  </si>
  <si>
    <t>N (total samples)</t>
  </si>
  <si>
    <t>T = Σ(t³ − t) = Σt² − N</t>
  </si>
  <si>
    <t>Tie-correction factor, C = 1 − T/(N³−N)</t>
  </si>
  <si>
    <t>Results</t>
  </si>
  <si>
    <t>Test</t>
  </si>
  <si>
    <t>k (groups)</t>
  </si>
  <si>
    <t>df = k−1</t>
  </si>
  <si>
    <t>H (raw)</t>
  </si>
  <si>
    <t>p-value</t>
  </si>
  <si>
    <t>Conclusion (α = 0.05)</t>
  </si>
  <si>
    <t>Zone (Up/Mid/Down-stream)</t>
  </si>
  <si>
    <t>Test statistic is computed on ΣOCP (per-sample sum of all 14 OCP congeners). Cross-check: this reproduces the SciPy Kruskal-Wallis result on the Statistics sheet (H ≈ 13.65, p ≈ 0.0011) computed on raw (non-tie-corrected-by-hand) ranks; small differences reflect the tie-correction applied here.</t>
  </si>
  <si>
    <t>Hypothesis Testing Details</t>
  </si>
  <si>
    <t>Hypothesis testing summary — Zone effect on ΣOCP concentration in sediment</t>
  </si>
  <si>
    <t>Null hypothesis (H0)</t>
  </si>
  <si>
    <t>H0: The distribution of ΣOCP concentration in sediment is the same across the three river zones (Up-, Mid-, Down-stream); the population medians of ΣOCP are equal across zones.</t>
  </si>
  <si>
    <t>Alternative hypothesis (H1)</t>
  </si>
  <si>
    <t>H1: At least one zone differs from the others in the distribution (median) of ΣOCP concentration.</t>
  </si>
  <si>
    <t>Type of test (tail)</t>
  </si>
  <si>
    <t>One-tailed (upper tail) — the Kruskal-Wallis statistic H follows a chi-square distribution; only large H values (right tail) indicate a significant group difference.</t>
  </si>
  <si>
    <t>Significance level (α)</t>
  </si>
  <si>
    <t>0.05 (5%)</t>
  </si>
  <si>
    <t>Degrees of freedom</t>
  </si>
  <si>
    <t>Test statistic</t>
  </si>
  <si>
    <t>Decision rule</t>
  </si>
  <si>
    <t>Reject H0 if p-value &lt; α; otherwise fail to reject H0.</t>
  </si>
  <si>
    <t>Conclusion</t>
  </si>
  <si>
    <t>The Kruskal-Wallis H test is the non-parametric analogue of one-way ANOVA, used here because ΣOCP concentrations in sediment are not normally distributed (right-skewed with many non-detects). Groups are unbalanced (n = 9, 9, 15 for Up-, Mid-, Down-stream respectively, reflecting the number of sampling sites per zone); the Kruskal-Wallis test does not require equal group sizes.</t>
  </si>
  <si>
    <t>Two-Way ANOVA — Sediment OCP concentration by Zone and Compound Class</t>
  </si>
  <si>
    <t>Fixed-effects two-way ANOVA (proportional/orthogonal design) testing the relationship between River Zone (Up-/Mid-/Down-stream, n = 9, 9, 15 samples respectively) and OCP Compound Class (ΣDDT, ΣHCH, ΣCyclodiene) on sediment OCP concentration (µg/kg). Each of the 33 sediment samples contributes one concentration value per compound class (99 observations total), reshaped to long format below. Because class totals are balanced (33 each) while zone totals differ (9, 9, 15) identically across every class, the design is proportional, so Type I = Type II = Type III sums of squares (no approximation needed).</t>
  </si>
  <si>
    <t>Compound Class</t>
  </si>
  <si>
    <t>Concentration (µg/kg)</t>
  </si>
  <si>
    <t>Cell sums and counts (Zone × Compound Class)</t>
  </si>
  <si>
    <t>Zone \ Class</t>
  </si>
  <si>
    <t>Zone total (T_i.)</t>
  </si>
  <si>
    <t>n_i.</t>
  </si>
  <si>
    <t>Σ(cell²/n_ij)</t>
  </si>
  <si>
    <t>Class total (T.j)</t>
  </si>
  <si>
    <t>n.j (per class)</t>
  </si>
  <si>
    <t>Design constants</t>
  </si>
  <si>
    <t>a (zones)</t>
  </si>
  <si>
    <t>b (compound classes)</t>
  </si>
  <si>
    <t>N (total observations)</t>
  </si>
  <si>
    <t>Grand total (ΣX)</t>
  </si>
  <si>
    <t>Correction factor, CF = (ΣX)²/N</t>
  </si>
  <si>
    <t>ΣX² (sum of squared values)</t>
  </si>
  <si>
    <t>Sum-of-squares decomposition</t>
  </si>
  <si>
    <t>SS_Total = ΣX² − CF</t>
  </si>
  <si>
    <t>SS_Zone = Σ_i (T_i.²/n_i.) − CF   [n_i. = zone sample count × b]</t>
  </si>
  <si>
    <t>SS_Class = Σ_j (T.j²)/(N/b) − CF   [class totals balanced, N/b = 33 each]</t>
  </si>
  <si>
    <t>SS_Cells = Σ (cell sum²/n_ij) − CF</t>
  </si>
  <si>
    <t>SS_Zone×Class (interaction) = SS_Cells − SS_Zone − SS_Class</t>
  </si>
  <si>
    <t>SS_Error = SS_Total − SS_Cells</t>
  </si>
  <si>
    <t>ANOVA Table</t>
  </si>
  <si>
    <t>Source of variation</t>
  </si>
  <si>
    <t>SS</t>
  </si>
  <si>
    <t>df</t>
  </si>
  <si>
    <t>MS</t>
  </si>
  <si>
    <t>F</t>
  </si>
  <si>
    <t>Zone (main effect)</t>
  </si>
  <si>
    <t>Compound Class (main effect)</t>
  </si>
  <si>
    <t>Zone × Class (interaction)</t>
  </si>
  <si>
    <t>Error</t>
  </si>
  <si>
    <t>Total</t>
  </si>
  <si>
    <t>Hypothesis testing summary — Main effect of Zone on sediment OCP concentration</t>
  </si>
  <si>
    <t>H0: The mean OCP concentration in sediment does not differ among the three river zones (µ_Up = µ_Mid = µ_Down); Zone has no effect on OCP concentration.</t>
  </si>
  <si>
    <t>H1: The mean OCP concentration differs among at least one pair of zones.</t>
  </si>
  <si>
    <t>One-tailed (upper/right tail) — only large F values (right tail of the F-distribution) indicate a significant effect.</t>
  </si>
  <si>
    <t>Hypothesis testing summary — Main effect of Compound Class on sediment OCP concentration</t>
  </si>
  <si>
    <t>H0: The mean concentration does not differ among the three OCP compound classes (µ_ΣDDT = µ_ΣHCH = µ_ΣCyclodiene); Compound Class has no effect on concentration.</t>
  </si>
  <si>
    <t>H1: The mean concentration differs among at least one pair of compound classes.</t>
  </si>
  <si>
    <t>Hypothesis testing summary — Zone × Compound Class interaction effect</t>
  </si>
  <si>
    <t>H0: There is no interaction between Zone and Compound Class; the pattern of concentration differences among compound classes is the same in every zone (and vice versa).</t>
  </si>
  <si>
    <t>H1: There is an interaction; the pattern of concentration differences among compound classes differs from zone to zone.</t>
  </si>
  <si>
    <t>One-tailed (upper/right tail) — only large F values (right tail of the F-distribution) indicate a significant interaction.</t>
  </si>
  <si>
    <t>Method: two-way fixed-effects ANOVA on a proportional (orthogonal) unbalanced design. Note: the three compound-class values (ΣDDT, ΣHCH, ΣCyclodiene) for a given sample are derived from the same sediment core rather than fully independent replicates, so the Compound Class and interaction terms should be read as descriptive of average concentration patterns rather than as strictly independent-samples tests; the Zone main effect is the term most directly comparable to the Kruskal-Wallis zone test on the other sheet.</t>
  </si>
  <si>
    <t>ΣDRN</t>
  </si>
  <si>
    <t>ΣHPT</t>
  </si>
  <si>
    <t>ΣDRN (%)</t>
  </si>
  <si>
    <t>ΣHPT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</si>
</sst>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
    <numFmt numFmtId="165" formatCode="0.0"/>
    <numFmt numFmtId="166" formatCode="0.0000"/>
    <numFmt numFmtId="167" formatCode="0.000000"/>
    <numFmt numFmtId="168" formatCode="0.0E+00"/>
    <numFmt numFmtId="169" formatCode="0.000E+00"/>
  </numFmts>
  <fonts count="9" x14ac:knownFonts="1">
    <font>
      <sz val="11"/>
      <color theme="1"/>
      <name val="Calibri"/>
      <family val="2"/>
      <charset val="1"/>
    </font>
    <font>
      <b/>
      <sz val="13"/>
      <color rgb="FF1F4E78"/>
      <name val="Arial"/>
      <family val="2"/>
    </font>
    <font>
      <sz val="10"/>
      <name val="Arial"/>
      <family val="2"/>
    </font>
    <font>
      <b/>
      <sz val="10"/>
      <name val="Arial"/>
      <family val="2"/>
    </font>
    <font>
      <i/>
      <sz val="9"/>
      <color rgb="FF555555"/>
      <name val="Arial"/>
      <family val="2"/>
    </font>
    <font>
      <b/>
      <sz val="10"/>
      <color rgb="FFFFFFFF"/>
      <name val="Arial"/>
      <family val="2"/>
    </font>
    <font>
      <sz val="10"/>
      <color rgb="FF0000FF"/>
      <name val="Arial"/>
      <family val="2"/>
    </font>
    <font>
      <sz val="10"/>
      <color rgb="FF008000"/>
      <name val="Arial"/>
      <family val="2"/>
    </font>
    <font>
      <i/>
      <sz val="9"/>
      <color rgb="FF7F7F7F"/>
      <name val="Arial"/>
      <family val="2"/>
    </font>
  </fonts>
  <fills count="6">
    <fill>
      <patternFill patternType="none"/>
    </fill>
    <fill>
      <patternFill patternType="gray125"/>
    </fill>
    <fill>
      <patternFill patternType="solid">
        <fgColor rgb="FF1F4E78"/>
        <bgColor rgb="FF003366"/>
      </patternFill>
    </fill>
    <fill>
      <patternFill patternType="solid">
        <fgColor rgb="FFFFF2CC"/>
        <bgColor rgb="FFE2EFDA"/>
      </patternFill>
    </fill>
    <fill>
      <patternFill patternType="solid">
        <fgColor rgb="FFE2EFDA"/>
        <bgColor rgb="FFD9E1F2"/>
      </patternFill>
    </fill>
    <fill>
      <patternFill patternType="solid">
        <fgColor rgb="FFD9E1F2"/>
        <bgColor rgb="FFE2EFDA"/>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43">
    <xf numFmtId="0" fontId="0" fillId="0" borderId="0" xfId="0"/>
    <xf numFmtId="0" fontId="0" fillId="0" borderId="0" xfId="0" applyAlignment="1"/>
    <xf numFmtId="0" fontId="1" fillId="0" borderId="0" xfId="0" applyFont="1" applyAlignment="1"/>
    <xf numFmtId="0" fontId="2" fillId="0" borderId="0" xfId="0" applyFont="1" applyAlignment="1"/>
    <xf numFmtId="0" fontId="3" fillId="0" borderId="0" xfId="0" applyFont="1" applyAlignment="1"/>
    <xf numFmtId="0" fontId="4" fillId="0" borderId="0" xfId="0" applyFont="1" applyAlignment="1"/>
    <xf numFmtId="0" fontId="5" fillId="2" borderId="1" xfId="0" applyFont="1" applyFill="1" applyBorder="1" applyAlignment="1">
      <alignment horizontal="center" vertical="center" wrapText="1"/>
    </xf>
    <xf numFmtId="0" fontId="6" fillId="3" borderId="1" xfId="0" applyFont="1" applyFill="1" applyBorder="1" applyAlignment="1">
      <alignment horizontal="left" vertical="center"/>
    </xf>
    <xf numFmtId="164" fontId="6" fillId="3" borderId="1" xfId="0" applyNumberFormat="1" applyFont="1" applyFill="1" applyBorder="1" applyAlignment="1">
      <alignment horizontal="center" vertical="center"/>
    </xf>
    <xf numFmtId="164" fontId="2" fillId="0" borderId="1" xfId="0" applyNumberFormat="1" applyFont="1" applyBorder="1" applyAlignment="1">
      <alignment horizontal="center" vertical="center"/>
    </xf>
    <xf numFmtId="0" fontId="2" fillId="0" borderId="1" xfId="0" applyFont="1" applyBorder="1" applyAlignment="1">
      <alignment horizontal="left" vertical="center"/>
    </xf>
    <xf numFmtId="1" fontId="2" fillId="0" borderId="1" xfId="0" applyNumberFormat="1" applyFont="1" applyBorder="1" applyAlignment="1">
      <alignment horizontal="center" vertical="center"/>
    </xf>
    <xf numFmtId="165" fontId="2" fillId="0" borderId="1" xfId="0" applyNumberFormat="1" applyFont="1" applyBorder="1" applyAlignment="1">
      <alignment horizontal="center" vertical="center"/>
    </xf>
    <xf numFmtId="0" fontId="3" fillId="4" borderId="1" xfId="0" applyFont="1" applyFill="1" applyBorder="1" applyAlignment="1">
      <alignment horizontal="left" vertical="center"/>
    </xf>
    <xf numFmtId="164" fontId="2" fillId="4" borderId="1" xfId="0" applyNumberFormat="1" applyFont="1" applyFill="1" applyBorder="1" applyAlignment="1">
      <alignment horizontal="center" vertical="center"/>
    </xf>
    <xf numFmtId="0" fontId="2" fillId="0" borderId="1" xfId="0" applyFont="1" applyBorder="1" applyAlignment="1">
      <alignment horizontal="center" vertical="center"/>
    </xf>
    <xf numFmtId="164" fontId="7" fillId="0" borderId="1" xfId="0" applyNumberFormat="1" applyFont="1" applyBorder="1" applyAlignment="1">
      <alignment horizontal="center" vertical="center"/>
    </xf>
    <xf numFmtId="0" fontId="3" fillId="5" borderId="1" xfId="0" applyFont="1" applyFill="1" applyBorder="1" applyAlignment="1">
      <alignment horizontal="left" vertical="center"/>
    </xf>
    <xf numFmtId="0" fontId="7" fillId="0" borderId="1" xfId="0" applyFont="1" applyBorder="1" applyAlignment="1">
      <alignment horizontal="center" vertical="center"/>
    </xf>
    <xf numFmtId="0" fontId="6" fillId="3" borderId="1" xfId="0" applyFont="1" applyFill="1" applyBorder="1" applyAlignment="1">
      <alignment horizontal="center" vertical="center"/>
    </xf>
    <xf numFmtId="2" fontId="2" fillId="0" borderId="1" xfId="0" applyNumberFormat="1" applyFont="1" applyBorder="1" applyAlignment="1">
      <alignment horizontal="center" vertical="center"/>
    </xf>
    <xf numFmtId="166" fontId="2" fillId="0" borderId="1" xfId="0" applyNumberFormat="1" applyFont="1" applyBorder="1" applyAlignment="1">
      <alignment horizontal="center" vertical="center"/>
    </xf>
    <xf numFmtId="166" fontId="6" fillId="3" borderId="1" xfId="0" applyNumberFormat="1" applyFont="1" applyFill="1" applyBorder="1" applyAlignment="1">
      <alignment horizontal="center" vertical="center"/>
    </xf>
    <xf numFmtId="167" fontId="2" fillId="0" borderId="1" xfId="0" applyNumberFormat="1" applyFont="1" applyBorder="1" applyAlignment="1">
      <alignment horizontal="center" vertical="center"/>
    </xf>
    <xf numFmtId="168" fontId="6" fillId="3" borderId="1" xfId="0" applyNumberFormat="1" applyFont="1" applyFill="1" applyBorder="1" applyAlignment="1">
      <alignment horizontal="center" vertical="center"/>
    </xf>
    <xf numFmtId="165" fontId="6" fillId="3" borderId="1" xfId="0" applyNumberFormat="1" applyFont="1" applyFill="1" applyBorder="1" applyAlignment="1">
      <alignment horizontal="center" vertical="center"/>
    </xf>
    <xf numFmtId="2" fontId="6" fillId="3" borderId="1" xfId="0" applyNumberFormat="1" applyFont="1" applyFill="1" applyBorder="1" applyAlignment="1">
      <alignment horizontal="center" vertical="center"/>
    </xf>
    <xf numFmtId="1" fontId="6" fillId="3" borderId="1" xfId="0" applyNumberFormat="1" applyFont="1" applyFill="1" applyBorder="1" applyAlignment="1">
      <alignment horizontal="center" vertical="center"/>
    </xf>
    <xf numFmtId="49" fontId="2" fillId="0" borderId="1" xfId="0" applyNumberFormat="1" applyFont="1" applyBorder="1" applyAlignment="1">
      <alignment horizontal="center" vertical="center"/>
    </xf>
    <xf numFmtId="2" fontId="7" fillId="0" borderId="1" xfId="0" applyNumberFormat="1" applyFont="1" applyBorder="1" applyAlignment="1">
      <alignment horizontal="center" vertical="center"/>
    </xf>
    <xf numFmtId="11" fontId="6" fillId="3" borderId="1" xfId="0" applyNumberFormat="1" applyFont="1" applyFill="1" applyBorder="1" applyAlignment="1">
      <alignment horizontal="center" vertical="center"/>
    </xf>
    <xf numFmtId="169" fontId="2" fillId="0" borderId="1" xfId="0" applyNumberFormat="1" applyFont="1" applyBorder="1" applyAlignment="1">
      <alignment horizontal="center" vertical="center"/>
    </xf>
    <xf numFmtId="169" fontId="2" fillId="4" borderId="1" xfId="0" applyNumberFormat="1" applyFont="1" applyFill="1" applyBorder="1" applyAlignment="1">
      <alignment horizontal="center" vertical="center"/>
    </xf>
    <xf numFmtId="0" fontId="1" fillId="0" borderId="0" xfId="0" applyFont="1"/>
    <xf numFmtId="0" fontId="8" fillId="0" borderId="0" xfId="0" applyFont="1" applyAlignment="1">
      <alignment vertical="top" wrapText="1"/>
    </xf>
    <xf numFmtId="0" fontId="5" fillId="2" borderId="0" xfId="0" applyFont="1" applyFill="1"/>
    <xf numFmtId="0" fontId="2" fillId="0" borderId="0" xfId="0" applyFont="1"/>
    <xf numFmtId="164" fontId="2" fillId="0" borderId="0" xfId="0" applyNumberFormat="1" applyFont="1"/>
    <xf numFmtId="165" fontId="2" fillId="0" borderId="0" xfId="0" applyNumberFormat="1" applyFont="1"/>
    <xf numFmtId="0" fontId="3" fillId="0" borderId="0" xfId="0" applyFont="1"/>
    <xf numFmtId="166" fontId="2" fillId="0" borderId="0" xfId="0" applyNumberFormat="1" applyFont="1"/>
    <xf numFmtId="0" fontId="2" fillId="0" borderId="0" xfId="0" applyFont="1" applyAlignment="1">
      <alignment vertical="top" wrapText="1"/>
    </xf>
    <xf numFmtId="164" fontId="3" fillId="0" borderId="0" xfId="0" applyNumberFormat="1"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FF2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3"/>
  <sheetViews>
    <sheetView zoomScaleNormal="100" workbookViewId="0"/>
  </sheetViews>
  <sheetFormatPr defaultColWidth="8.7109375" defaultRowHeight="15" x14ac:dyDescent="0.25"/>
  <cols>
    <col min="1" max="1" width="160" style="1" customWidth="1"/>
  </cols>
  <sheetData>
    <row r="1" spans="1:1" ht="15.75" customHeight="1" x14ac:dyDescent="0.25">
      <c r="A1" s="2" t="s">
        <v>0</v>
      </c>
    </row>
    <row r="3" spans="1:1" ht="15" customHeight="1" x14ac:dyDescent="0.25">
      <c r="A3" s="3" t="s">
        <v>1</v>
      </c>
    </row>
    <row r="4" spans="1:1" ht="15" customHeight="1" x14ac:dyDescent="0.25">
      <c r="A4" s="3"/>
    </row>
    <row r="5" spans="1:1" ht="15" customHeight="1" x14ac:dyDescent="0.25">
      <c r="A5" s="4" t="s">
        <v>2</v>
      </c>
    </row>
    <row r="6" spans="1:1" ht="15" customHeight="1" x14ac:dyDescent="0.25">
      <c r="A6" s="3" t="s">
        <v>3</v>
      </c>
    </row>
    <row r="7" spans="1:1" ht="15" customHeight="1" x14ac:dyDescent="0.25">
      <c r="A7" s="3" t="s">
        <v>4</v>
      </c>
    </row>
    <row r="8" spans="1:1" ht="15" customHeight="1" x14ac:dyDescent="0.25">
      <c r="A8" s="3" t="s">
        <v>5</v>
      </c>
    </row>
    <row r="9" spans="1:1" ht="15" customHeight="1" x14ac:dyDescent="0.25">
      <c r="A9" s="3" t="s">
        <v>6</v>
      </c>
    </row>
    <row r="10" spans="1:1" ht="15" customHeight="1" x14ac:dyDescent="0.25">
      <c r="A10" s="3" t="s">
        <v>7</v>
      </c>
    </row>
    <row r="11" spans="1:1" ht="15" customHeight="1" x14ac:dyDescent="0.25">
      <c r="A11" s="3" t="s">
        <v>8</v>
      </c>
    </row>
    <row r="12" spans="1:1" ht="15" customHeight="1" x14ac:dyDescent="0.25">
      <c r="A12" s="3" t="s">
        <v>9</v>
      </c>
    </row>
    <row r="13" spans="1:1" ht="15" customHeight="1" x14ac:dyDescent="0.25">
      <c r="A13" s="3" t="s">
        <v>10</v>
      </c>
    </row>
    <row r="14" spans="1:1" ht="15" customHeight="1" x14ac:dyDescent="0.25">
      <c r="A14" s="3" t="s">
        <v>11</v>
      </c>
    </row>
    <row r="15" spans="1:1" ht="15" customHeight="1" x14ac:dyDescent="0.25">
      <c r="A15" s="3" t="s">
        <v>12</v>
      </c>
    </row>
    <row r="16" spans="1:1" ht="15" customHeight="1" x14ac:dyDescent="0.25">
      <c r="A16" s="3" t="s">
        <v>13</v>
      </c>
    </row>
    <row r="17" spans="1:1" ht="15" customHeight="1" x14ac:dyDescent="0.25">
      <c r="A17" s="3" t="s">
        <v>14</v>
      </c>
    </row>
    <row r="18" spans="1:1" ht="15" customHeight="1" x14ac:dyDescent="0.25">
      <c r="A18" s="3"/>
    </row>
    <row r="19" spans="1:1" ht="15" customHeight="1" x14ac:dyDescent="0.25">
      <c r="A19" s="3" t="s">
        <v>15</v>
      </c>
    </row>
    <row r="20" spans="1:1" ht="15" customHeight="1" x14ac:dyDescent="0.25">
      <c r="A20" s="3" t="s">
        <v>16</v>
      </c>
    </row>
    <row r="21" spans="1:1" ht="15" customHeight="1" x14ac:dyDescent="0.25">
      <c r="A21" s="3" t="s">
        <v>17</v>
      </c>
    </row>
    <row r="22" spans="1:1" ht="15" customHeight="1" x14ac:dyDescent="0.25">
      <c r="A22" s="3" t="s">
        <v>18</v>
      </c>
    </row>
    <row r="23" spans="1:1" ht="15" customHeight="1" x14ac:dyDescent="0.25">
      <c r="A23" s="3" t="s">
        <v>19</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37"/>
  <sheetViews>
    <sheetView tabSelected="1" zoomScaleNormal="100" workbookViewId="0">
      <pane xSplit="3" ySplit="4" topLeftCell="D5" activePane="bottomRight" state="frozen"/>
      <selection pane="topRight" activeCell="D1" sqref="D1"/>
      <selection pane="bottomLeft" activeCell="A5" sqref="A5"/>
      <selection pane="bottomRight" activeCell="P40" sqref="P40"/>
    </sheetView>
  </sheetViews>
  <sheetFormatPr defaultColWidth="8.7109375" defaultRowHeight="15" x14ac:dyDescent="0.25"/>
  <cols>
    <col min="1" max="1" width="13" style="1" customWidth="1"/>
    <col min="2" max="2" width="26" style="1" customWidth="1"/>
    <col min="3" max="3" width="10" style="1" customWidth="1"/>
    <col min="4" max="23" width="11" style="1" customWidth="1"/>
  </cols>
  <sheetData>
    <row r="1" spans="1:23" ht="15.75" customHeight="1" x14ac:dyDescent="0.25">
      <c r="A1" s="2" t="s">
        <v>20</v>
      </c>
    </row>
    <row r="2" spans="1:23" ht="15" customHeight="1" x14ac:dyDescent="0.25">
      <c r="A2" s="5" t="s">
        <v>21</v>
      </c>
    </row>
    <row r="4" spans="1:23" ht="23.25" customHeight="1" x14ac:dyDescent="0.25">
      <c r="A4" s="6" t="s">
        <v>22</v>
      </c>
      <c r="B4" s="6" t="s">
        <v>23</v>
      </c>
      <c r="C4" s="6" t="s">
        <v>24</v>
      </c>
      <c r="D4" s="6" t="s">
        <v>25</v>
      </c>
      <c r="E4" s="6" t="s">
        <v>26</v>
      </c>
      <c r="F4" s="6" t="s">
        <v>27</v>
      </c>
      <c r="G4" s="6" t="s">
        <v>28</v>
      </c>
      <c r="H4" s="6" t="s">
        <v>29</v>
      </c>
      <c r="I4" s="6" t="s">
        <v>30</v>
      </c>
      <c r="J4" s="6" t="s">
        <v>31</v>
      </c>
      <c r="K4" s="6" t="s">
        <v>32</v>
      </c>
      <c r="L4" s="6" t="s">
        <v>33</v>
      </c>
      <c r="M4" s="6" t="s">
        <v>34</v>
      </c>
      <c r="N4" s="6" t="s">
        <v>35</v>
      </c>
      <c r="O4" s="6" t="s">
        <v>36</v>
      </c>
      <c r="P4" s="6" t="s">
        <v>37</v>
      </c>
      <c r="Q4" s="6" t="s">
        <v>38</v>
      </c>
      <c r="R4" s="6" t="s">
        <v>39</v>
      </c>
      <c r="S4" s="6" t="s">
        <v>40</v>
      </c>
      <c r="T4" s="6" t="s">
        <v>429</v>
      </c>
      <c r="U4" s="6" t="s">
        <v>42</v>
      </c>
      <c r="V4" s="6" t="s">
        <v>43</v>
      </c>
      <c r="W4" s="6" t="s">
        <v>430</v>
      </c>
    </row>
    <row r="5" spans="1:23" ht="15" customHeight="1" x14ac:dyDescent="0.25">
      <c r="A5" s="7" t="s">
        <v>44</v>
      </c>
      <c r="B5" s="7" t="s">
        <v>45</v>
      </c>
      <c r="C5" s="7" t="s">
        <v>46</v>
      </c>
      <c r="D5" s="8">
        <v>3.2360000000000002</v>
      </c>
      <c r="E5" s="8">
        <v>6.367</v>
      </c>
      <c r="F5" s="8">
        <v>2.036</v>
      </c>
      <c r="G5" s="8">
        <v>2.2400000000000002</v>
      </c>
      <c r="H5" s="8">
        <v>7.6429999999999998</v>
      </c>
      <c r="I5" s="8">
        <v>11.445</v>
      </c>
      <c r="J5" s="8">
        <v>3.2909999999999999</v>
      </c>
      <c r="K5" s="8">
        <v>6.484</v>
      </c>
      <c r="L5" s="8">
        <v>0.5</v>
      </c>
      <c r="M5" s="8">
        <v>0.5</v>
      </c>
      <c r="N5" s="8">
        <v>0.5</v>
      </c>
      <c r="O5" s="8">
        <v>0.5</v>
      </c>
      <c r="P5" s="8">
        <v>0.5</v>
      </c>
      <c r="Q5" s="8">
        <v>1.8360000000000001</v>
      </c>
      <c r="R5" s="9">
        <f t="shared" ref="R5:R37" si="0">D5+E5+F5+G5+H5+I5</f>
        <v>32.966999999999999</v>
      </c>
      <c r="S5" s="9">
        <f t="shared" ref="S5:S37" si="1">J5+K5+L5+M5</f>
        <v>10.775</v>
      </c>
      <c r="T5" s="9">
        <f>N5+O5</f>
        <v>1</v>
      </c>
      <c r="U5" s="9">
        <f t="shared" ref="U5:U37" si="2">SUM(D5:Q5)</f>
        <v>47.077999999999996</v>
      </c>
      <c r="V5" s="9">
        <f>(D5/SQG!$D$5+E5/SQG!$D$6+F5/SQG!$D$7+G5/SQG!$D$8+H5/SQG!$D$9+I5/SQG!$D$10+J5/SQG!$D$11+K5/SQG!$D$12+L5/SQG!$D$13+M5/SQG!$D$14+N5/SQG!$D$15+O5/SQG!$D$16+P5/SQG!$D$17+Q5/SQG!$D$18)/14</f>
        <v>0.47911186036334202</v>
      </c>
      <c r="W5" s="9">
        <f>P5+Q5</f>
        <v>2.3360000000000003</v>
      </c>
    </row>
    <row r="6" spans="1:23" ht="15" customHeight="1" x14ac:dyDescent="0.25">
      <c r="A6" s="7" t="s">
        <v>44</v>
      </c>
      <c r="B6" s="7" t="s">
        <v>45</v>
      </c>
      <c r="C6" s="7" t="s">
        <v>47</v>
      </c>
      <c r="D6" s="8">
        <v>1.3640000000000001</v>
      </c>
      <c r="E6" s="8">
        <v>5.93</v>
      </c>
      <c r="F6" s="8">
        <v>4.4749999999999996</v>
      </c>
      <c r="G6" s="8">
        <v>4.3520000000000003</v>
      </c>
      <c r="H6" s="8">
        <v>8.4719999999999995</v>
      </c>
      <c r="I6" s="8">
        <v>9.141</v>
      </c>
      <c r="J6" s="8">
        <v>2.113</v>
      </c>
      <c r="K6" s="8">
        <v>4.1630000000000003</v>
      </c>
      <c r="L6" s="8">
        <v>0.5</v>
      </c>
      <c r="M6" s="8">
        <v>0.5</v>
      </c>
      <c r="N6" s="8">
        <v>0.5</v>
      </c>
      <c r="O6" s="8">
        <v>1.3420000000000001</v>
      </c>
      <c r="P6" s="8">
        <v>0.5</v>
      </c>
      <c r="Q6" s="8">
        <v>2.5110000000000001</v>
      </c>
      <c r="R6" s="9">
        <f t="shared" si="0"/>
        <v>33.733999999999995</v>
      </c>
      <c r="S6" s="9">
        <f t="shared" si="1"/>
        <v>7.2759999999999998</v>
      </c>
      <c r="T6" s="9">
        <f>N6+O6</f>
        <v>1.8420000000000001</v>
      </c>
      <c r="U6" s="9">
        <f t="shared" si="2"/>
        <v>45.862999999999992</v>
      </c>
      <c r="V6" s="9">
        <f>(D6/SQG!$D$5+E6/SQG!$D$6+F6/SQG!$D$7+G6/SQG!$D$8+H6/SQG!$D$9+I6/SQG!$D$10+J6/SQG!$D$11+K6/SQG!$D$12+L6/SQG!$D$13+M6/SQG!$D$14+N6/SQG!$D$15+O6/SQG!$D$16+P6/SQG!$D$17+Q6/SQG!$D$18)/14</f>
        <v>0.49210842249145614</v>
      </c>
      <c r="W6" s="9">
        <f t="shared" ref="W6:W37" si="3">P6+Q6</f>
        <v>3.0110000000000001</v>
      </c>
    </row>
    <row r="7" spans="1:23" ht="15" customHeight="1" x14ac:dyDescent="0.25">
      <c r="A7" s="7" t="s">
        <v>44</v>
      </c>
      <c r="B7" s="7" t="s">
        <v>45</v>
      </c>
      <c r="C7" s="7" t="s">
        <v>48</v>
      </c>
      <c r="D7" s="8">
        <v>3.7839999999999998</v>
      </c>
      <c r="E7" s="8">
        <v>6.9370000000000003</v>
      </c>
      <c r="F7" s="8">
        <v>4.8369999999999997</v>
      </c>
      <c r="G7" s="8">
        <v>4.7560000000000002</v>
      </c>
      <c r="H7" s="8">
        <v>8.2530000000000001</v>
      </c>
      <c r="I7" s="8">
        <v>12.065</v>
      </c>
      <c r="J7" s="8">
        <v>2.1880000000000002</v>
      </c>
      <c r="K7" s="8">
        <v>4.3099999999999996</v>
      </c>
      <c r="L7" s="8">
        <v>0.5</v>
      </c>
      <c r="M7" s="8">
        <v>0.5</v>
      </c>
      <c r="N7" s="8">
        <v>0.5</v>
      </c>
      <c r="O7" s="8">
        <v>1.2929999999999999</v>
      </c>
      <c r="P7" s="8">
        <v>0.5</v>
      </c>
      <c r="Q7" s="8">
        <v>2.274</v>
      </c>
      <c r="R7" s="9">
        <f t="shared" si="0"/>
        <v>40.631999999999998</v>
      </c>
      <c r="S7" s="9">
        <f t="shared" si="1"/>
        <v>7.4979999999999993</v>
      </c>
      <c r="T7" s="9">
        <f t="shared" ref="T7:T37" si="4">N7+O7</f>
        <v>1.7929999999999999</v>
      </c>
      <c r="U7" s="9">
        <f t="shared" si="2"/>
        <v>52.697000000000003</v>
      </c>
      <c r="V7" s="9">
        <f>(D7/SQG!$D$5+E7/SQG!$D$6+F7/SQG!$D$7+G7/SQG!$D$8+H7/SQG!$D$9+I7/SQG!$D$10+J7/SQG!$D$11+K7/SQG!$D$12+L7/SQG!$D$13+M7/SQG!$D$14+N7/SQG!$D$15+O7/SQG!$D$16+P7/SQG!$D$17+Q7/SQG!$D$18)/14</f>
        <v>0.57188045475839</v>
      </c>
      <c r="W7" s="9">
        <f t="shared" si="3"/>
        <v>2.774</v>
      </c>
    </row>
    <row r="8" spans="1:23" ht="15" customHeight="1" x14ac:dyDescent="0.25">
      <c r="A8" s="7" t="s">
        <v>44</v>
      </c>
      <c r="B8" s="7" t="s">
        <v>49</v>
      </c>
      <c r="C8" s="7" t="s">
        <v>50</v>
      </c>
      <c r="D8" s="8">
        <v>0.5</v>
      </c>
      <c r="E8" s="8">
        <v>4.7279999999999998</v>
      </c>
      <c r="F8" s="8">
        <v>0.5</v>
      </c>
      <c r="G8" s="8">
        <v>0.5</v>
      </c>
      <c r="H8" s="8">
        <v>7.2549999999999999</v>
      </c>
      <c r="I8" s="8">
        <v>8.3439999999999994</v>
      </c>
      <c r="J8" s="8">
        <v>0.5</v>
      </c>
      <c r="K8" s="8">
        <v>0.98499999999999999</v>
      </c>
      <c r="L8" s="8">
        <v>0.5</v>
      </c>
      <c r="M8" s="8">
        <v>0.5</v>
      </c>
      <c r="N8" s="8">
        <v>0.5</v>
      </c>
      <c r="O8" s="8">
        <v>0.5</v>
      </c>
      <c r="P8" s="8">
        <v>0.5</v>
      </c>
      <c r="Q8" s="8">
        <v>0.5</v>
      </c>
      <c r="R8" s="9">
        <f t="shared" si="0"/>
        <v>21.826999999999998</v>
      </c>
      <c r="S8" s="9">
        <f t="shared" si="1"/>
        <v>2.4849999999999999</v>
      </c>
      <c r="T8" s="9">
        <f t="shared" si="4"/>
        <v>1</v>
      </c>
      <c r="U8" s="9">
        <f t="shared" si="2"/>
        <v>26.311999999999998</v>
      </c>
      <c r="V8" s="9">
        <f>(D8/SQG!$D$5+E8/SQG!$D$6+F8/SQG!$D$7+G8/SQG!$D$8+H8/SQG!$D$9+I8/SQG!$D$10+J8/SQG!$D$11+K8/SQG!$D$12+L8/SQG!$D$13+M8/SQG!$D$14+N8/SQG!$D$15+O8/SQG!$D$16+P8/SQG!$D$17+Q8/SQG!$D$18)/14</f>
        <v>0.31048861095996694</v>
      </c>
      <c r="W8" s="9">
        <f t="shared" si="3"/>
        <v>1</v>
      </c>
    </row>
    <row r="9" spans="1:23" ht="15" customHeight="1" x14ac:dyDescent="0.25">
      <c r="A9" s="7" t="s">
        <v>44</v>
      </c>
      <c r="B9" s="7" t="s">
        <v>49</v>
      </c>
      <c r="C9" s="7" t="s">
        <v>51</v>
      </c>
      <c r="D9" s="8">
        <v>0.5</v>
      </c>
      <c r="E9" s="8">
        <v>4.2779999999999996</v>
      </c>
      <c r="F9" s="8">
        <v>0.5</v>
      </c>
      <c r="G9" s="8">
        <v>0.5</v>
      </c>
      <c r="H9" s="8">
        <v>7.4260000000000002</v>
      </c>
      <c r="I9" s="8">
        <v>7.9210000000000003</v>
      </c>
      <c r="J9" s="8">
        <v>0.5</v>
      </c>
      <c r="K9" s="8">
        <v>0.98499999999999999</v>
      </c>
      <c r="L9" s="8">
        <v>0.5</v>
      </c>
      <c r="M9" s="8">
        <v>0.5</v>
      </c>
      <c r="N9" s="8">
        <v>0.5</v>
      </c>
      <c r="O9" s="8">
        <v>0.5</v>
      </c>
      <c r="P9" s="8">
        <v>0.5</v>
      </c>
      <c r="Q9" s="8">
        <v>0.5</v>
      </c>
      <c r="R9" s="9">
        <f t="shared" si="0"/>
        <v>21.125</v>
      </c>
      <c r="S9" s="9">
        <f t="shared" si="1"/>
        <v>2.4849999999999999</v>
      </c>
      <c r="T9" s="9">
        <f t="shared" si="4"/>
        <v>1</v>
      </c>
      <c r="U9" s="9">
        <f t="shared" si="2"/>
        <v>25.61</v>
      </c>
      <c r="V9" s="9">
        <f>(D9/SQG!$D$5+E9/SQG!$D$6+F9/SQG!$D$7+G9/SQG!$D$8+H9/SQG!$D$9+I9/SQG!$D$10+J9/SQG!$D$11+K9/SQG!$D$12+L9/SQG!$D$13+M9/SQG!$D$14+N9/SQG!$D$15+O9/SQG!$D$16+P9/SQG!$D$17+Q9/SQG!$D$18)/14</f>
        <v>0.30108339981890675</v>
      </c>
      <c r="W9" s="9">
        <f t="shared" si="3"/>
        <v>1</v>
      </c>
    </row>
    <row r="10" spans="1:23" ht="15" customHeight="1" x14ac:dyDescent="0.25">
      <c r="A10" s="7" t="s">
        <v>44</v>
      </c>
      <c r="B10" s="7" t="s">
        <v>49</v>
      </c>
      <c r="C10" s="7" t="s">
        <v>52</v>
      </c>
      <c r="D10" s="8">
        <v>0.5</v>
      </c>
      <c r="E10" s="8">
        <v>5.0220000000000002</v>
      </c>
      <c r="F10" s="8">
        <v>0.5</v>
      </c>
      <c r="G10" s="8">
        <v>0.5</v>
      </c>
      <c r="H10" s="8">
        <v>7.1029999999999998</v>
      </c>
      <c r="I10" s="8">
        <v>8.7420000000000009</v>
      </c>
      <c r="J10" s="8">
        <v>0.5</v>
      </c>
      <c r="K10" s="8">
        <v>0.98499999999999999</v>
      </c>
      <c r="L10" s="8">
        <v>0.5</v>
      </c>
      <c r="M10" s="8">
        <v>0.5</v>
      </c>
      <c r="N10" s="8">
        <v>0.5</v>
      </c>
      <c r="O10" s="8">
        <v>0.5</v>
      </c>
      <c r="P10" s="8">
        <v>0.5</v>
      </c>
      <c r="Q10" s="8">
        <v>0.5</v>
      </c>
      <c r="R10" s="9">
        <f t="shared" si="0"/>
        <v>22.367000000000001</v>
      </c>
      <c r="S10" s="9">
        <f t="shared" si="1"/>
        <v>2.4849999999999999</v>
      </c>
      <c r="T10" s="9">
        <f t="shared" si="4"/>
        <v>1</v>
      </c>
      <c r="U10" s="9">
        <f t="shared" si="2"/>
        <v>26.852</v>
      </c>
      <c r="V10" s="9">
        <f>(D10/SQG!$D$5+E10/SQG!$D$6+F10/SQG!$D$7+G10/SQG!$D$8+H10/SQG!$D$9+I10/SQG!$D$10+J10/SQG!$D$11+K10/SQG!$D$12+L10/SQG!$D$13+M10/SQG!$D$14+N10/SQG!$D$15+O10/SQG!$D$16+P10/SQG!$D$17+Q10/SQG!$D$18)/14</f>
        <v>0.31749430128641204</v>
      </c>
      <c r="W10" s="9">
        <f t="shared" si="3"/>
        <v>1</v>
      </c>
    </row>
    <row r="11" spans="1:23" ht="15" customHeight="1" x14ac:dyDescent="0.25">
      <c r="A11" s="7" t="s">
        <v>44</v>
      </c>
      <c r="B11" s="7" t="s">
        <v>53</v>
      </c>
      <c r="C11" s="7" t="s">
        <v>54</v>
      </c>
      <c r="D11" s="8">
        <v>7.3739999999999997</v>
      </c>
      <c r="E11" s="8">
        <v>11.566000000000001</v>
      </c>
      <c r="F11" s="8">
        <v>7.3639999999999999</v>
      </c>
      <c r="G11" s="8">
        <v>8.9480000000000004</v>
      </c>
      <c r="H11" s="8">
        <v>9.2669999999999995</v>
      </c>
      <c r="I11" s="8">
        <v>17.866</v>
      </c>
      <c r="J11" s="8">
        <v>7.8620000000000001</v>
      </c>
      <c r="K11" s="8">
        <v>15.489000000000001</v>
      </c>
      <c r="L11" s="8">
        <v>3.0369999999999999</v>
      </c>
      <c r="M11" s="8">
        <v>4.1390000000000002</v>
      </c>
      <c r="N11" s="8">
        <v>3.9889999999999999</v>
      </c>
      <c r="O11" s="8">
        <v>7.9379999999999997</v>
      </c>
      <c r="P11" s="8">
        <v>6.7789999999999999</v>
      </c>
      <c r="Q11" s="8">
        <v>8.298</v>
      </c>
      <c r="R11" s="9">
        <f t="shared" si="0"/>
        <v>62.385000000000005</v>
      </c>
      <c r="S11" s="9">
        <f t="shared" si="1"/>
        <v>30.526999999999997</v>
      </c>
      <c r="T11" s="9">
        <f t="shared" si="4"/>
        <v>11.927</v>
      </c>
      <c r="U11" s="9">
        <f t="shared" si="2"/>
        <v>119.91600000000001</v>
      </c>
      <c r="V11" s="9">
        <f>(D11/SQG!$D$5+E11/SQG!$D$6+F11/SQG!$D$7+G11/SQG!$D$8+H11/SQG!$D$9+I11/SQG!$D$10+J11/SQG!$D$11+K11/SQG!$D$12+L11/SQG!$D$13+M11/SQG!$D$14+N11/SQG!$D$15+O11/SQG!$D$16+P11/SQG!$D$17+Q11/SQG!$D$18)/14</f>
        <v>1.3598052141729053</v>
      </c>
      <c r="W11" s="9">
        <f t="shared" si="3"/>
        <v>15.077</v>
      </c>
    </row>
    <row r="12" spans="1:23" ht="15" customHeight="1" x14ac:dyDescent="0.25">
      <c r="A12" s="7" t="s">
        <v>44</v>
      </c>
      <c r="B12" s="7" t="s">
        <v>53</v>
      </c>
      <c r="C12" s="7" t="s">
        <v>55</v>
      </c>
      <c r="D12" s="8">
        <v>7.3840000000000003</v>
      </c>
      <c r="E12" s="8">
        <v>13.893000000000001</v>
      </c>
      <c r="F12" s="8">
        <v>8.0380000000000003</v>
      </c>
      <c r="G12" s="8">
        <v>8.5760000000000005</v>
      </c>
      <c r="H12" s="8">
        <v>9.1530000000000005</v>
      </c>
      <c r="I12" s="8">
        <v>19.093</v>
      </c>
      <c r="J12" s="8">
        <v>7.4870000000000001</v>
      </c>
      <c r="K12" s="8">
        <v>14.75</v>
      </c>
      <c r="L12" s="8">
        <v>5.0359999999999996</v>
      </c>
      <c r="M12" s="8">
        <v>4.3470000000000004</v>
      </c>
      <c r="N12" s="8">
        <v>4.157</v>
      </c>
      <c r="O12" s="8">
        <v>7.4249999999999998</v>
      </c>
      <c r="P12" s="8">
        <v>6.6369999999999996</v>
      </c>
      <c r="Q12" s="8">
        <v>11.253</v>
      </c>
      <c r="R12" s="9">
        <f t="shared" si="0"/>
        <v>66.137</v>
      </c>
      <c r="S12" s="9">
        <f t="shared" si="1"/>
        <v>31.620000000000005</v>
      </c>
      <c r="T12" s="9">
        <f t="shared" si="4"/>
        <v>11.582000000000001</v>
      </c>
      <c r="U12" s="9">
        <f t="shared" si="2"/>
        <v>127.22899999999998</v>
      </c>
      <c r="V12" s="9">
        <f>(D12/SQG!$D$5+E12/SQG!$D$6+F12/SQG!$D$7+G12/SQG!$D$8+H12/SQG!$D$9+I12/SQG!$D$10+J12/SQG!$D$11+K12/SQG!$D$12+L12/SQG!$D$13+M12/SQG!$D$14+N12/SQG!$D$15+O12/SQG!$D$16+P12/SQG!$D$17+Q12/SQG!$D$18)/14</f>
        <v>1.5801737469780659</v>
      </c>
      <c r="W12" s="9">
        <f t="shared" si="3"/>
        <v>17.89</v>
      </c>
    </row>
    <row r="13" spans="1:23" ht="15" customHeight="1" x14ac:dyDescent="0.25">
      <c r="A13" s="7" t="s">
        <v>44</v>
      </c>
      <c r="B13" s="7" t="s">
        <v>53</v>
      </c>
      <c r="C13" s="7" t="s">
        <v>56</v>
      </c>
      <c r="D13" s="8">
        <v>7.9269999999999996</v>
      </c>
      <c r="E13" s="8">
        <v>9.2970000000000006</v>
      </c>
      <c r="F13" s="8">
        <v>5.6449999999999996</v>
      </c>
      <c r="G13" s="8">
        <v>8.3140000000000001</v>
      </c>
      <c r="H13" s="8">
        <v>9.2530000000000001</v>
      </c>
      <c r="I13" s="8">
        <v>19.172000000000001</v>
      </c>
      <c r="J13" s="8">
        <v>6.8869999999999996</v>
      </c>
      <c r="K13" s="8">
        <v>13.567</v>
      </c>
      <c r="L13" s="8">
        <v>2.9980000000000002</v>
      </c>
      <c r="M13" s="8">
        <v>4.351</v>
      </c>
      <c r="N13" s="8">
        <v>4.9470000000000001</v>
      </c>
      <c r="O13" s="8">
        <v>6.0350000000000001</v>
      </c>
      <c r="P13" s="8">
        <v>6.7729999999999997</v>
      </c>
      <c r="Q13" s="8">
        <v>9.1210000000000004</v>
      </c>
      <c r="R13" s="9">
        <f t="shared" si="0"/>
        <v>59.608000000000004</v>
      </c>
      <c r="S13" s="9">
        <f t="shared" si="1"/>
        <v>27.803000000000001</v>
      </c>
      <c r="T13" s="9">
        <f t="shared" si="4"/>
        <v>10.981999999999999</v>
      </c>
      <c r="U13" s="9">
        <f t="shared" si="2"/>
        <v>114.28700000000001</v>
      </c>
      <c r="V13" s="9">
        <f>(D13/SQG!$D$5+E13/SQG!$D$6+F13/SQG!$D$7+G13/SQG!$D$8+H13/SQG!$D$9+I13/SQG!$D$10+J13/SQG!$D$11+K13/SQG!$D$12+L13/SQG!$D$13+M13/SQG!$D$14+N13/SQG!$D$15+O13/SQG!$D$16+P13/SQG!$D$17+Q13/SQG!$D$18)/14</f>
        <v>1.3265628566493792</v>
      </c>
      <c r="W13" s="9">
        <f t="shared" si="3"/>
        <v>15.894</v>
      </c>
    </row>
    <row r="14" spans="1:23" ht="15" customHeight="1" x14ac:dyDescent="0.25">
      <c r="A14" s="7" t="s">
        <v>57</v>
      </c>
      <c r="B14" s="7" t="s">
        <v>58</v>
      </c>
      <c r="C14" s="7" t="s">
        <v>59</v>
      </c>
      <c r="D14" s="8">
        <v>3.3639999999999999</v>
      </c>
      <c r="E14" s="8">
        <v>6.0469999999999997</v>
      </c>
      <c r="F14" s="8">
        <v>0.5</v>
      </c>
      <c r="G14" s="8">
        <v>3.9660000000000002</v>
      </c>
      <c r="H14" s="8">
        <v>6.3559999999999999</v>
      </c>
      <c r="I14" s="8">
        <v>12.113</v>
      </c>
      <c r="J14" s="8">
        <v>2.6179999999999999</v>
      </c>
      <c r="K14" s="8">
        <v>5.1550000000000002</v>
      </c>
      <c r="L14" s="8">
        <v>0.5</v>
      </c>
      <c r="M14" s="8">
        <v>0.5</v>
      </c>
      <c r="N14" s="8">
        <v>1.931</v>
      </c>
      <c r="O14" s="8">
        <v>3.2410000000000001</v>
      </c>
      <c r="P14" s="8">
        <v>0.5</v>
      </c>
      <c r="Q14" s="8">
        <v>0.5</v>
      </c>
      <c r="R14" s="9">
        <f t="shared" si="0"/>
        <v>32.345999999999997</v>
      </c>
      <c r="S14" s="9">
        <f t="shared" si="1"/>
        <v>8.7729999999999997</v>
      </c>
      <c r="T14" s="9">
        <f t="shared" si="4"/>
        <v>5.1720000000000006</v>
      </c>
      <c r="U14" s="9">
        <f t="shared" si="2"/>
        <v>47.290999999999997</v>
      </c>
      <c r="V14" s="9">
        <f>(D14/SQG!$D$5+E14/SQG!$D$6+F14/SQG!$D$7+G14/SQG!$D$8+H14/SQG!$D$9+I14/SQG!$D$10+J14/SQG!$D$11+K14/SQG!$D$12+L14/SQG!$D$13+M14/SQG!$D$14+N14/SQG!$D$15+O14/SQG!$D$16+P14/SQG!$D$17+Q14/SQG!$D$18)/14</f>
        <v>0.46615140421344836</v>
      </c>
      <c r="W14" s="9">
        <f t="shared" si="3"/>
        <v>1</v>
      </c>
    </row>
    <row r="15" spans="1:23" ht="15" customHeight="1" x14ac:dyDescent="0.25">
      <c r="A15" s="7" t="s">
        <v>57</v>
      </c>
      <c r="B15" s="7" t="s">
        <v>58</v>
      </c>
      <c r="C15" s="7" t="s">
        <v>60</v>
      </c>
      <c r="D15" s="8">
        <v>3.8929999999999998</v>
      </c>
      <c r="E15" s="8">
        <v>7.3840000000000003</v>
      </c>
      <c r="F15" s="8">
        <v>0.5</v>
      </c>
      <c r="G15" s="8">
        <v>7.6680000000000001</v>
      </c>
      <c r="H15" s="8">
        <v>6.3639999999999999</v>
      </c>
      <c r="I15" s="8">
        <v>16.786999999999999</v>
      </c>
      <c r="J15" s="8">
        <v>2.5619999999999998</v>
      </c>
      <c r="K15" s="8">
        <v>5.0469999999999997</v>
      </c>
      <c r="L15" s="8">
        <v>0.5</v>
      </c>
      <c r="M15" s="8">
        <v>0.5</v>
      </c>
      <c r="N15" s="8">
        <v>1.113</v>
      </c>
      <c r="O15" s="8">
        <v>3.984</v>
      </c>
      <c r="P15" s="8">
        <v>0.5</v>
      </c>
      <c r="Q15" s="8">
        <v>0.5</v>
      </c>
      <c r="R15" s="9">
        <f t="shared" si="0"/>
        <v>42.596000000000004</v>
      </c>
      <c r="S15" s="9">
        <f t="shared" si="1"/>
        <v>8.609</v>
      </c>
      <c r="T15" s="9">
        <f t="shared" si="4"/>
        <v>5.0969999999999995</v>
      </c>
      <c r="U15" s="9">
        <f t="shared" si="2"/>
        <v>57.302</v>
      </c>
      <c r="V15" s="9">
        <f>(D15/SQG!$D$5+E15/SQG!$D$6+F15/SQG!$D$7+G15/SQG!$D$8+H15/SQG!$D$9+I15/SQG!$D$10+J15/SQG!$D$11+K15/SQG!$D$12+L15/SQG!$D$13+M15/SQG!$D$14+N15/SQG!$D$15+O15/SQG!$D$16+P15/SQG!$D$17+Q15/SQG!$D$18)/14</f>
        <v>0.58186120718768775</v>
      </c>
      <c r="W15" s="9">
        <f t="shared" si="3"/>
        <v>1</v>
      </c>
    </row>
    <row r="16" spans="1:23" ht="15" customHeight="1" x14ac:dyDescent="0.25">
      <c r="A16" s="7" t="s">
        <v>57</v>
      </c>
      <c r="B16" s="7" t="s">
        <v>58</v>
      </c>
      <c r="C16" s="7" t="s">
        <v>61</v>
      </c>
      <c r="D16" s="8">
        <v>5.6369999999999996</v>
      </c>
      <c r="E16" s="8">
        <v>4.9379999999999997</v>
      </c>
      <c r="F16" s="8">
        <v>0.5</v>
      </c>
      <c r="G16" s="8">
        <v>4.7560000000000002</v>
      </c>
      <c r="H16" s="8">
        <v>6.9240000000000004</v>
      </c>
      <c r="I16" s="8">
        <v>10.1</v>
      </c>
      <c r="J16" s="8">
        <v>4.1189999999999998</v>
      </c>
      <c r="K16" s="8">
        <v>8.1150000000000002</v>
      </c>
      <c r="L16" s="8">
        <v>0.5</v>
      </c>
      <c r="M16" s="8">
        <v>0.5</v>
      </c>
      <c r="N16" s="8">
        <v>0.5</v>
      </c>
      <c r="O16" s="8">
        <v>2.8460000000000001</v>
      </c>
      <c r="P16" s="8">
        <v>0.5</v>
      </c>
      <c r="Q16" s="8">
        <v>0.5</v>
      </c>
      <c r="R16" s="9">
        <f t="shared" si="0"/>
        <v>32.854999999999997</v>
      </c>
      <c r="S16" s="9">
        <f t="shared" si="1"/>
        <v>13.234</v>
      </c>
      <c r="T16" s="9">
        <f t="shared" si="4"/>
        <v>3.3460000000000001</v>
      </c>
      <c r="U16" s="9">
        <f t="shared" si="2"/>
        <v>50.435000000000002</v>
      </c>
      <c r="V16" s="9">
        <f>(D16/SQG!$D$5+E16/SQG!$D$6+F16/SQG!$D$7+G16/SQG!$D$8+H16/SQG!$D$9+I16/SQG!$D$10+J16/SQG!$D$11+K16/SQG!$D$12+L16/SQG!$D$13+M16/SQG!$D$14+N16/SQG!$D$15+O16/SQG!$D$16+P16/SQG!$D$17+Q16/SQG!$D$18)/14</f>
        <v>0.47149286091673048</v>
      </c>
      <c r="W16" s="9">
        <f t="shared" si="3"/>
        <v>1</v>
      </c>
    </row>
    <row r="17" spans="1:23" ht="15" customHeight="1" x14ac:dyDescent="0.25">
      <c r="A17" s="7" t="s">
        <v>57</v>
      </c>
      <c r="B17" s="7" t="s">
        <v>62</v>
      </c>
      <c r="C17" s="7" t="s">
        <v>63</v>
      </c>
      <c r="D17" s="8">
        <v>4.9379999999999997</v>
      </c>
      <c r="E17" s="8">
        <v>9.0380000000000003</v>
      </c>
      <c r="F17" s="8">
        <v>6.0369999999999999</v>
      </c>
      <c r="G17" s="8">
        <v>4.2560000000000002</v>
      </c>
      <c r="H17" s="8">
        <v>7.8529999999999998</v>
      </c>
      <c r="I17" s="8">
        <v>19.699000000000002</v>
      </c>
      <c r="J17" s="8">
        <v>5.0279999999999996</v>
      </c>
      <c r="K17" s="8">
        <v>9.9049999999999994</v>
      </c>
      <c r="L17" s="8">
        <v>0.5</v>
      </c>
      <c r="M17" s="8">
        <v>2.9159999999999999</v>
      </c>
      <c r="N17" s="8">
        <v>0.5</v>
      </c>
      <c r="O17" s="8">
        <v>2.3860000000000001</v>
      </c>
      <c r="P17" s="8">
        <v>1.3420000000000001</v>
      </c>
      <c r="Q17" s="8">
        <v>3.2629999999999999</v>
      </c>
      <c r="R17" s="9">
        <f t="shared" si="0"/>
        <v>51.820999999999998</v>
      </c>
      <c r="S17" s="9">
        <f t="shared" si="1"/>
        <v>18.349</v>
      </c>
      <c r="T17" s="9">
        <f t="shared" si="4"/>
        <v>2.8860000000000001</v>
      </c>
      <c r="U17" s="9">
        <f t="shared" si="2"/>
        <v>77.660999999999987</v>
      </c>
      <c r="V17" s="9">
        <f>(D17/SQG!$D$5+E17/SQG!$D$6+F17/SQG!$D$7+G17/SQG!$D$8+H17/SQG!$D$9+I17/SQG!$D$10+J17/SQG!$D$11+K17/SQG!$D$12+L17/SQG!$D$13+M17/SQG!$D$14+N17/SQG!$D$15+O17/SQG!$D$16+P17/SQG!$D$17+Q17/SQG!$D$18)/14</f>
        <v>0.7678549005904618</v>
      </c>
      <c r="W17" s="9">
        <f t="shared" si="3"/>
        <v>4.6050000000000004</v>
      </c>
    </row>
    <row r="18" spans="1:23" ht="15" customHeight="1" x14ac:dyDescent="0.25">
      <c r="A18" s="7" t="s">
        <v>57</v>
      </c>
      <c r="B18" s="7" t="s">
        <v>62</v>
      </c>
      <c r="C18" s="7" t="s">
        <v>64</v>
      </c>
      <c r="D18" s="8">
        <v>6.7480000000000002</v>
      </c>
      <c r="E18" s="8">
        <v>7.9470000000000001</v>
      </c>
      <c r="F18" s="8">
        <v>2.9729999999999999</v>
      </c>
      <c r="G18" s="8">
        <v>0.5</v>
      </c>
      <c r="H18" s="8">
        <v>6.9370000000000003</v>
      </c>
      <c r="I18" s="8">
        <v>19.689</v>
      </c>
      <c r="J18" s="8">
        <v>3.4620000000000002</v>
      </c>
      <c r="K18" s="8">
        <v>6.82</v>
      </c>
      <c r="L18" s="8">
        <v>0.5</v>
      </c>
      <c r="M18" s="8">
        <v>2.9609999999999999</v>
      </c>
      <c r="N18" s="8">
        <v>0.5</v>
      </c>
      <c r="O18" s="8">
        <v>2.036</v>
      </c>
      <c r="P18" s="8">
        <v>0.5</v>
      </c>
      <c r="Q18" s="8">
        <v>4.2619999999999996</v>
      </c>
      <c r="R18" s="9">
        <f t="shared" si="0"/>
        <v>44.793999999999997</v>
      </c>
      <c r="S18" s="9">
        <f t="shared" si="1"/>
        <v>13.743</v>
      </c>
      <c r="T18" s="9">
        <f t="shared" si="4"/>
        <v>2.536</v>
      </c>
      <c r="U18" s="9">
        <f t="shared" si="2"/>
        <v>65.834999999999994</v>
      </c>
      <c r="V18" s="9">
        <f>(D18/SQG!$D$5+E18/SQG!$D$6+F18/SQG!$D$7+G18/SQG!$D$8+H18/SQG!$D$9+I18/SQG!$D$10+J18/SQG!$D$11+K18/SQG!$D$12+L18/SQG!$D$13+M18/SQG!$D$14+N18/SQG!$D$15+O18/SQG!$D$16+P18/SQG!$D$17+Q18/SQG!$D$18)/14</f>
        <v>0.70978265005056884</v>
      </c>
      <c r="W18" s="9">
        <f t="shared" si="3"/>
        <v>4.7619999999999996</v>
      </c>
    </row>
    <row r="19" spans="1:23" ht="15" customHeight="1" x14ac:dyDescent="0.25">
      <c r="A19" s="7" t="s">
        <v>57</v>
      </c>
      <c r="B19" s="7" t="s">
        <v>62</v>
      </c>
      <c r="C19" s="7" t="s">
        <v>65</v>
      </c>
      <c r="D19" s="8">
        <v>6.4779999999999998</v>
      </c>
      <c r="E19" s="8">
        <v>9.0440000000000005</v>
      </c>
      <c r="F19" s="8">
        <v>6.0469999999999997</v>
      </c>
      <c r="G19" s="8">
        <v>5.4219999999999997</v>
      </c>
      <c r="H19" s="8">
        <v>7.3739999999999997</v>
      </c>
      <c r="I19" s="8">
        <v>17.282</v>
      </c>
      <c r="J19" s="8">
        <v>3.5409999999999999</v>
      </c>
      <c r="K19" s="8">
        <v>6.976</v>
      </c>
      <c r="L19" s="8">
        <v>0.5</v>
      </c>
      <c r="M19" s="8">
        <v>3.044</v>
      </c>
      <c r="N19" s="8">
        <v>0.5</v>
      </c>
      <c r="O19" s="8">
        <v>3.1320000000000001</v>
      </c>
      <c r="P19" s="8">
        <v>1.7150000000000001</v>
      </c>
      <c r="Q19" s="8">
        <v>3.8639999999999999</v>
      </c>
      <c r="R19" s="9">
        <f t="shared" si="0"/>
        <v>51.647000000000006</v>
      </c>
      <c r="S19" s="9">
        <f t="shared" si="1"/>
        <v>14.061</v>
      </c>
      <c r="T19" s="9">
        <f t="shared" si="4"/>
        <v>3.6320000000000001</v>
      </c>
      <c r="U19" s="9">
        <f t="shared" si="2"/>
        <v>74.919000000000011</v>
      </c>
      <c r="V19" s="9">
        <f>(D19/SQG!$D$5+E19/SQG!$D$6+F19/SQG!$D$7+G19/SQG!$D$8+H19/SQG!$D$9+I19/SQG!$D$10+J19/SQG!$D$11+K19/SQG!$D$12+L19/SQG!$D$13+M19/SQG!$D$14+N19/SQG!$D$15+O19/SQG!$D$16+P19/SQG!$D$17+Q19/SQG!$D$18)/14</f>
        <v>0.8016284663083294</v>
      </c>
      <c r="W19" s="9">
        <f t="shared" si="3"/>
        <v>5.5789999999999997</v>
      </c>
    </row>
    <row r="20" spans="1:23" ht="15" customHeight="1" x14ac:dyDescent="0.25">
      <c r="A20" s="7" t="s">
        <v>57</v>
      </c>
      <c r="B20" s="7" t="s">
        <v>66</v>
      </c>
      <c r="C20" s="7" t="s">
        <v>67</v>
      </c>
      <c r="D20" s="8">
        <v>8.3740000000000006</v>
      </c>
      <c r="E20" s="8">
        <v>9.9030000000000005</v>
      </c>
      <c r="F20" s="8">
        <v>3.0569999999999999</v>
      </c>
      <c r="G20" s="8">
        <v>4.0720000000000001</v>
      </c>
      <c r="H20" s="8">
        <v>8.2729999999999997</v>
      </c>
      <c r="I20" s="8">
        <v>19.472999999999999</v>
      </c>
      <c r="J20" s="8">
        <v>4.05</v>
      </c>
      <c r="K20" s="8">
        <v>7.9790000000000001</v>
      </c>
      <c r="L20" s="8">
        <v>0.5</v>
      </c>
      <c r="M20" s="8">
        <v>3.7989999999999999</v>
      </c>
      <c r="N20" s="8">
        <v>2.157</v>
      </c>
      <c r="O20" s="8">
        <v>0.5</v>
      </c>
      <c r="P20" s="8">
        <v>1.7609999999999999</v>
      </c>
      <c r="Q20" s="8">
        <v>3.4249999999999998</v>
      </c>
      <c r="R20" s="9">
        <f t="shared" si="0"/>
        <v>53.152000000000001</v>
      </c>
      <c r="S20" s="9">
        <f t="shared" si="1"/>
        <v>16.327999999999999</v>
      </c>
      <c r="T20" s="9">
        <f t="shared" si="4"/>
        <v>2.657</v>
      </c>
      <c r="U20" s="9">
        <f t="shared" si="2"/>
        <v>77.322999999999993</v>
      </c>
      <c r="V20" s="9">
        <f>(D20/SQG!$D$5+E20/SQG!$D$6+F20/SQG!$D$7+G20/SQG!$D$8+H20/SQG!$D$9+I20/SQG!$D$10+J20/SQG!$D$11+K20/SQG!$D$12+L20/SQG!$D$13+M20/SQG!$D$14+N20/SQG!$D$15+O20/SQG!$D$16+P20/SQG!$D$17+Q20/SQG!$D$18)/14</f>
        <v>0.80335665662182054</v>
      </c>
      <c r="W20" s="9">
        <f t="shared" si="3"/>
        <v>5.1859999999999999</v>
      </c>
    </row>
    <row r="21" spans="1:23" ht="15" customHeight="1" x14ac:dyDescent="0.25">
      <c r="A21" s="7" t="s">
        <v>57</v>
      </c>
      <c r="B21" s="7" t="s">
        <v>66</v>
      </c>
      <c r="C21" s="7" t="s">
        <v>68</v>
      </c>
      <c r="D21" s="8">
        <v>5.3819999999999997</v>
      </c>
      <c r="E21" s="8">
        <v>7.3890000000000002</v>
      </c>
      <c r="F21" s="8">
        <v>7.5469999999999997</v>
      </c>
      <c r="G21" s="8">
        <v>5.48</v>
      </c>
      <c r="H21" s="8">
        <v>5.3739999999999997</v>
      </c>
      <c r="I21" s="8">
        <v>20.681999999999999</v>
      </c>
      <c r="J21" s="8">
        <v>6.7080000000000002</v>
      </c>
      <c r="K21" s="8">
        <v>13.414</v>
      </c>
      <c r="L21" s="8">
        <v>0.5</v>
      </c>
      <c r="M21" s="8">
        <v>3.1139999999999999</v>
      </c>
      <c r="N21" s="8">
        <v>0.5</v>
      </c>
      <c r="O21" s="8">
        <v>0.5</v>
      </c>
      <c r="P21" s="8">
        <v>1.7410000000000001</v>
      </c>
      <c r="Q21" s="8">
        <v>3.9820000000000002</v>
      </c>
      <c r="R21" s="9">
        <f t="shared" si="0"/>
        <v>51.853999999999999</v>
      </c>
      <c r="S21" s="9">
        <f t="shared" si="1"/>
        <v>23.736000000000001</v>
      </c>
      <c r="T21" s="9">
        <f t="shared" si="4"/>
        <v>1</v>
      </c>
      <c r="U21" s="9">
        <f t="shared" si="2"/>
        <v>82.313000000000002</v>
      </c>
      <c r="V21" s="9">
        <f>(D21/SQG!$D$5+E21/SQG!$D$6+F21/SQG!$D$7+G21/SQG!$D$8+H21/SQG!$D$9+I21/SQG!$D$10+J21/SQG!$D$11+K21/SQG!$D$12+L21/SQG!$D$13+M21/SQG!$D$14+N21/SQG!$D$15+O21/SQG!$D$16+P21/SQG!$D$17+Q21/SQG!$D$18)/14</f>
        <v>0.76838697349612561</v>
      </c>
      <c r="W21" s="9">
        <f t="shared" si="3"/>
        <v>5.7230000000000008</v>
      </c>
    </row>
    <row r="22" spans="1:23" ht="15" customHeight="1" x14ac:dyDescent="0.25">
      <c r="A22" s="7" t="s">
        <v>57</v>
      </c>
      <c r="B22" s="7" t="s">
        <v>66</v>
      </c>
      <c r="C22" s="7" t="s">
        <v>69</v>
      </c>
      <c r="D22" s="8">
        <v>6.0369999999999999</v>
      </c>
      <c r="E22" s="8">
        <v>9.9350000000000005</v>
      </c>
      <c r="F22" s="8">
        <v>6.9729999999999999</v>
      </c>
      <c r="G22" s="8">
        <v>4.7039999999999997</v>
      </c>
      <c r="H22" s="8">
        <v>9.2789999999999999</v>
      </c>
      <c r="I22" s="8">
        <v>20.901</v>
      </c>
      <c r="J22" s="8">
        <v>5.165</v>
      </c>
      <c r="K22" s="8">
        <v>10.175000000000001</v>
      </c>
      <c r="L22" s="8">
        <v>0.5</v>
      </c>
      <c r="M22" s="8">
        <v>3.1419999999999999</v>
      </c>
      <c r="N22" s="8">
        <v>1.851</v>
      </c>
      <c r="O22" s="8">
        <v>0.5</v>
      </c>
      <c r="P22" s="8">
        <v>0.5</v>
      </c>
      <c r="Q22" s="8">
        <v>3.202</v>
      </c>
      <c r="R22" s="9">
        <f t="shared" si="0"/>
        <v>57.828999999999994</v>
      </c>
      <c r="S22" s="9">
        <f t="shared" si="1"/>
        <v>18.981999999999999</v>
      </c>
      <c r="T22" s="9">
        <f t="shared" si="4"/>
        <v>2.351</v>
      </c>
      <c r="U22" s="9">
        <f t="shared" si="2"/>
        <v>82.86399999999999</v>
      </c>
      <c r="V22" s="9">
        <f>(D22/SQG!$D$5+E22/SQG!$D$6+F22/SQG!$D$7+G22/SQG!$D$8+H22/SQG!$D$9+I22/SQG!$D$10+J22/SQG!$D$11+K22/SQG!$D$12+L22/SQG!$D$13+M22/SQG!$D$14+N22/SQG!$D$15+O22/SQG!$D$16+P22/SQG!$D$17+Q22/SQG!$D$18)/14</f>
        <v>0.79496347567606696</v>
      </c>
      <c r="W22" s="9">
        <f t="shared" si="3"/>
        <v>3.702</v>
      </c>
    </row>
    <row r="23" spans="1:23" ht="15" customHeight="1" x14ac:dyDescent="0.25">
      <c r="A23" s="7" t="s">
        <v>70</v>
      </c>
      <c r="B23" s="7" t="s">
        <v>71</v>
      </c>
      <c r="C23" s="7" t="s">
        <v>72</v>
      </c>
      <c r="D23" s="8">
        <v>9.7370000000000001</v>
      </c>
      <c r="E23" s="8">
        <v>9.9870000000000001</v>
      </c>
      <c r="F23" s="8">
        <v>0.5</v>
      </c>
      <c r="G23" s="8">
        <v>5.69</v>
      </c>
      <c r="H23" s="8">
        <v>8.2509999999999994</v>
      </c>
      <c r="I23" s="8">
        <v>20.120999999999999</v>
      </c>
      <c r="J23" s="8">
        <v>6.5170000000000003</v>
      </c>
      <c r="K23" s="8">
        <v>12.839</v>
      </c>
      <c r="L23" s="8">
        <v>3.0569999999999999</v>
      </c>
      <c r="M23" s="8">
        <v>3.0990000000000002</v>
      </c>
      <c r="N23" s="8">
        <v>0.5</v>
      </c>
      <c r="O23" s="8">
        <v>3.2130000000000001</v>
      </c>
      <c r="P23" s="8">
        <v>0.5</v>
      </c>
      <c r="Q23" s="8">
        <v>4.1109999999999998</v>
      </c>
      <c r="R23" s="9">
        <f t="shared" si="0"/>
        <v>54.286000000000001</v>
      </c>
      <c r="S23" s="9">
        <f t="shared" si="1"/>
        <v>25.512</v>
      </c>
      <c r="T23" s="9">
        <f t="shared" si="4"/>
        <v>3.7130000000000001</v>
      </c>
      <c r="U23" s="9">
        <f t="shared" si="2"/>
        <v>88.122000000000014</v>
      </c>
      <c r="V23" s="9">
        <f>(D23/SQG!$D$5+E23/SQG!$D$6+F23/SQG!$D$7+G23/SQG!$D$8+H23/SQG!$D$9+I23/SQG!$D$10+J23/SQG!$D$11+K23/SQG!$D$12+L23/SQG!$D$13+M23/SQG!$D$14+N23/SQG!$D$15+O23/SQG!$D$16+P23/SQG!$D$17+Q23/SQG!$D$18)/14</f>
        <v>0.97170040301458982</v>
      </c>
      <c r="W23" s="9">
        <f t="shared" si="3"/>
        <v>4.6109999999999998</v>
      </c>
    </row>
    <row r="24" spans="1:23" ht="15" customHeight="1" x14ac:dyDescent="0.25">
      <c r="A24" s="7" t="s">
        <v>70</v>
      </c>
      <c r="B24" s="7" t="s">
        <v>71</v>
      </c>
      <c r="C24" s="7" t="s">
        <v>73</v>
      </c>
      <c r="D24" s="8">
        <v>7.3719999999999999</v>
      </c>
      <c r="E24" s="8">
        <v>7.8360000000000003</v>
      </c>
      <c r="F24" s="8">
        <v>0.5</v>
      </c>
      <c r="G24" s="8">
        <v>2.7280000000000002</v>
      </c>
      <c r="H24" s="8">
        <v>7.2830000000000004</v>
      </c>
      <c r="I24" s="8">
        <v>20.456</v>
      </c>
      <c r="J24" s="8">
        <v>7.5250000000000004</v>
      </c>
      <c r="K24" s="8">
        <v>14.824</v>
      </c>
      <c r="L24" s="8">
        <v>2.2109999999999999</v>
      </c>
      <c r="M24" s="8">
        <v>3.4769999999999999</v>
      </c>
      <c r="N24" s="8">
        <v>1.946</v>
      </c>
      <c r="O24" s="8">
        <v>3.9460000000000002</v>
      </c>
      <c r="P24" s="8">
        <v>0.5</v>
      </c>
      <c r="Q24" s="8">
        <v>3.2309999999999999</v>
      </c>
      <c r="R24" s="9">
        <f t="shared" si="0"/>
        <v>46.174999999999997</v>
      </c>
      <c r="S24" s="9">
        <f t="shared" si="1"/>
        <v>28.036999999999999</v>
      </c>
      <c r="T24" s="9">
        <f t="shared" si="4"/>
        <v>5.8920000000000003</v>
      </c>
      <c r="U24" s="9">
        <f t="shared" si="2"/>
        <v>83.834999999999994</v>
      </c>
      <c r="V24" s="9">
        <f>(D24/SQG!$D$5+E24/SQG!$D$6+F24/SQG!$D$7+G24/SQG!$D$8+H24/SQG!$D$9+I24/SQG!$D$10+J24/SQG!$D$11+K24/SQG!$D$12+L24/SQG!$D$13+M24/SQG!$D$14+N24/SQG!$D$15+O24/SQG!$D$16+P24/SQG!$D$17+Q24/SQG!$D$18)/14</f>
        <v>0.81654695054915838</v>
      </c>
      <c r="W24" s="9">
        <f t="shared" si="3"/>
        <v>3.7309999999999999</v>
      </c>
    </row>
    <row r="25" spans="1:23" ht="15" customHeight="1" x14ac:dyDescent="0.25">
      <c r="A25" s="7" t="s">
        <v>70</v>
      </c>
      <c r="B25" s="7" t="s">
        <v>71</v>
      </c>
      <c r="C25" s="7" t="s">
        <v>74</v>
      </c>
      <c r="D25" s="8">
        <v>7.9370000000000003</v>
      </c>
      <c r="E25" s="8">
        <v>8.9359999999999999</v>
      </c>
      <c r="F25" s="8">
        <v>0.5</v>
      </c>
      <c r="G25" s="8">
        <v>6.65</v>
      </c>
      <c r="H25" s="8">
        <v>7.2629999999999999</v>
      </c>
      <c r="I25" s="8">
        <v>19.065000000000001</v>
      </c>
      <c r="J25" s="8">
        <v>6.3250000000000002</v>
      </c>
      <c r="K25" s="8">
        <v>12.46</v>
      </c>
      <c r="L25" s="8">
        <v>2.95</v>
      </c>
      <c r="M25" s="8">
        <v>3.004</v>
      </c>
      <c r="N25" s="8">
        <v>2.7480000000000002</v>
      </c>
      <c r="O25" s="8">
        <v>3.9129999999999998</v>
      </c>
      <c r="P25" s="8">
        <v>0.5</v>
      </c>
      <c r="Q25" s="8">
        <v>2.173</v>
      </c>
      <c r="R25" s="9">
        <f t="shared" si="0"/>
        <v>50.350999999999999</v>
      </c>
      <c r="S25" s="9">
        <f t="shared" si="1"/>
        <v>24.739000000000001</v>
      </c>
      <c r="T25" s="9">
        <f t="shared" si="4"/>
        <v>6.6609999999999996</v>
      </c>
      <c r="U25" s="9">
        <f t="shared" si="2"/>
        <v>84.424000000000007</v>
      </c>
      <c r="V25" s="9">
        <f>(D25/SQG!$D$5+E25/SQG!$D$6+F25/SQG!$D$7+G25/SQG!$D$8+H25/SQG!$D$9+I25/SQG!$D$10+J25/SQG!$D$11+K25/SQG!$D$12+L25/SQG!$D$13+M25/SQG!$D$14+N25/SQG!$D$15+O25/SQG!$D$16+P25/SQG!$D$17+Q25/SQG!$D$18)/14</f>
        <v>0.8685572116712118</v>
      </c>
      <c r="W25" s="9">
        <f t="shared" si="3"/>
        <v>2.673</v>
      </c>
    </row>
    <row r="26" spans="1:23" ht="15" customHeight="1" x14ac:dyDescent="0.25">
      <c r="A26" s="7" t="s">
        <v>70</v>
      </c>
      <c r="B26" s="7" t="s">
        <v>75</v>
      </c>
      <c r="C26" s="7" t="s">
        <v>76</v>
      </c>
      <c r="D26" s="8">
        <v>9.9030000000000005</v>
      </c>
      <c r="E26" s="8">
        <v>10.738</v>
      </c>
      <c r="F26" s="8">
        <v>9.9359999999999999</v>
      </c>
      <c r="G26" s="8">
        <v>4.4820000000000002</v>
      </c>
      <c r="H26" s="8">
        <v>8.2729999999999997</v>
      </c>
      <c r="I26" s="8">
        <v>24.294</v>
      </c>
      <c r="J26" s="8">
        <v>4.3890000000000002</v>
      </c>
      <c r="K26" s="8">
        <v>8.6449999999999996</v>
      </c>
      <c r="L26" s="8">
        <v>2.0459999999999998</v>
      </c>
      <c r="M26" s="8">
        <v>6.1609999999999996</v>
      </c>
      <c r="N26" s="8">
        <v>2.9430000000000001</v>
      </c>
      <c r="O26" s="8">
        <v>5.3719999999999999</v>
      </c>
      <c r="P26" s="8">
        <v>3.6349999999999998</v>
      </c>
      <c r="Q26" s="8">
        <v>5.2409999999999997</v>
      </c>
      <c r="R26" s="9">
        <f t="shared" si="0"/>
        <v>67.625999999999991</v>
      </c>
      <c r="S26" s="9">
        <f t="shared" si="1"/>
        <v>21.241</v>
      </c>
      <c r="T26" s="9">
        <f t="shared" si="4"/>
        <v>8.3149999999999995</v>
      </c>
      <c r="U26" s="9">
        <f t="shared" si="2"/>
        <v>106.05799999999999</v>
      </c>
      <c r="V26" s="9">
        <f>(D26/SQG!$D$5+E26/SQG!$D$6+F26/SQG!$D$7+G26/SQG!$D$8+H26/SQG!$D$9+I26/SQG!$D$10+J26/SQG!$D$11+K26/SQG!$D$12+L26/SQG!$D$13+M26/SQG!$D$14+N26/SQG!$D$15+O26/SQG!$D$16+P26/SQG!$D$17+Q26/SQG!$D$18)/14</f>
        <v>1.1819174547419962</v>
      </c>
      <c r="W26" s="9">
        <f t="shared" si="3"/>
        <v>8.8759999999999994</v>
      </c>
    </row>
    <row r="27" spans="1:23" ht="15" customHeight="1" x14ac:dyDescent="0.25">
      <c r="A27" s="7" t="s">
        <v>70</v>
      </c>
      <c r="B27" s="7" t="s">
        <v>75</v>
      </c>
      <c r="C27" s="7" t="s">
        <v>77</v>
      </c>
      <c r="D27" s="8">
        <v>8.7379999999999995</v>
      </c>
      <c r="E27" s="8">
        <v>7.9370000000000003</v>
      </c>
      <c r="F27" s="8">
        <v>9.2629999999999999</v>
      </c>
      <c r="G27" s="8">
        <v>4.1980000000000004</v>
      </c>
      <c r="H27" s="8">
        <v>8.1829999999999998</v>
      </c>
      <c r="I27" s="8">
        <v>19.045999999999999</v>
      </c>
      <c r="J27" s="8">
        <v>5.3070000000000004</v>
      </c>
      <c r="K27" s="8">
        <v>10.455</v>
      </c>
      <c r="L27" s="8">
        <v>2.113</v>
      </c>
      <c r="M27" s="8">
        <v>5.1100000000000003</v>
      </c>
      <c r="N27" s="8">
        <v>0.5</v>
      </c>
      <c r="O27" s="8">
        <v>3.5459999999999998</v>
      </c>
      <c r="P27" s="8">
        <v>3.6960000000000002</v>
      </c>
      <c r="Q27" s="8">
        <v>5.9359999999999999</v>
      </c>
      <c r="R27" s="9">
        <f t="shared" si="0"/>
        <v>57.365000000000002</v>
      </c>
      <c r="S27" s="9">
        <f t="shared" si="1"/>
        <v>22.984999999999999</v>
      </c>
      <c r="T27" s="9">
        <f t="shared" si="4"/>
        <v>4.0459999999999994</v>
      </c>
      <c r="U27" s="9">
        <f t="shared" si="2"/>
        <v>94.02800000000002</v>
      </c>
      <c r="V27" s="9">
        <f>(D27/SQG!$D$5+E27/SQG!$D$6+F27/SQG!$D$7+G27/SQG!$D$8+H27/SQG!$D$9+I27/SQG!$D$10+J27/SQG!$D$11+K27/SQG!$D$12+L27/SQG!$D$13+M27/SQG!$D$14+N27/SQG!$D$15+O27/SQG!$D$16+P27/SQG!$D$17+Q27/SQG!$D$18)/14</f>
        <v>1.0600950218385219</v>
      </c>
      <c r="W27" s="9">
        <f t="shared" si="3"/>
        <v>9.6319999999999997</v>
      </c>
    </row>
    <row r="28" spans="1:23" ht="15" customHeight="1" x14ac:dyDescent="0.25">
      <c r="A28" s="7" t="s">
        <v>70</v>
      </c>
      <c r="B28" s="7" t="s">
        <v>75</v>
      </c>
      <c r="C28" s="7" t="s">
        <v>78</v>
      </c>
      <c r="D28" s="8">
        <v>9.0109999999999992</v>
      </c>
      <c r="E28" s="8">
        <v>7.4749999999999996</v>
      </c>
      <c r="F28" s="8">
        <v>6.3540000000000001</v>
      </c>
      <c r="G28" s="8">
        <v>6.7080000000000002</v>
      </c>
      <c r="H28" s="8">
        <v>7.9370000000000003</v>
      </c>
      <c r="I28" s="8">
        <v>19.497</v>
      </c>
      <c r="J28" s="8">
        <v>7.8230000000000004</v>
      </c>
      <c r="K28" s="8">
        <v>15.411</v>
      </c>
      <c r="L28" s="8">
        <v>2.831</v>
      </c>
      <c r="M28" s="8">
        <v>5.1859999999999999</v>
      </c>
      <c r="N28" s="8">
        <v>2.8460000000000001</v>
      </c>
      <c r="O28" s="8">
        <v>2.3740000000000001</v>
      </c>
      <c r="P28" s="8">
        <v>2.6469999999999998</v>
      </c>
      <c r="Q28" s="8">
        <v>6.0229999999999997</v>
      </c>
      <c r="R28" s="9">
        <f t="shared" si="0"/>
        <v>56.981999999999992</v>
      </c>
      <c r="S28" s="9">
        <f t="shared" si="1"/>
        <v>31.251000000000001</v>
      </c>
      <c r="T28" s="9">
        <f t="shared" si="4"/>
        <v>5.2200000000000006</v>
      </c>
      <c r="U28" s="9">
        <f t="shared" si="2"/>
        <v>102.123</v>
      </c>
      <c r="V28" s="9">
        <f>(D28/SQG!$D$5+E28/SQG!$D$6+F28/SQG!$D$7+G28/SQG!$D$8+H28/SQG!$D$9+I28/SQG!$D$10+J28/SQG!$D$11+K28/SQG!$D$12+L28/SQG!$D$13+M28/SQG!$D$14+N28/SQG!$D$15+O28/SQG!$D$16+P28/SQG!$D$17+Q28/SQG!$D$18)/14</f>
        <v>1.0612423694368442</v>
      </c>
      <c r="W28" s="9">
        <f t="shared" si="3"/>
        <v>8.67</v>
      </c>
    </row>
    <row r="29" spans="1:23" ht="15" customHeight="1" x14ac:dyDescent="0.25">
      <c r="A29" s="7" t="s">
        <v>70</v>
      </c>
      <c r="B29" s="7" t="s">
        <v>79</v>
      </c>
      <c r="C29" s="7" t="s">
        <v>80</v>
      </c>
      <c r="D29" s="8">
        <v>7.26</v>
      </c>
      <c r="E29" s="8">
        <v>10.284000000000001</v>
      </c>
      <c r="F29" s="8">
        <v>6.9470000000000001</v>
      </c>
      <c r="G29" s="8">
        <v>9.4719999999999995</v>
      </c>
      <c r="H29" s="8">
        <v>9.3699999999999992</v>
      </c>
      <c r="I29" s="8">
        <v>22.49</v>
      </c>
      <c r="J29" s="8">
        <v>6.9349999999999996</v>
      </c>
      <c r="K29" s="8">
        <v>13.564</v>
      </c>
      <c r="L29" s="8">
        <v>3.0209999999999999</v>
      </c>
      <c r="M29" s="8">
        <v>5.2759999999999998</v>
      </c>
      <c r="N29" s="8">
        <v>3.2839999999999998</v>
      </c>
      <c r="O29" s="8">
        <v>5.3890000000000002</v>
      </c>
      <c r="P29" s="8">
        <v>0.5</v>
      </c>
      <c r="Q29" s="8">
        <v>5.9720000000000004</v>
      </c>
      <c r="R29" s="9">
        <f t="shared" si="0"/>
        <v>65.822999999999993</v>
      </c>
      <c r="S29" s="9">
        <f t="shared" si="1"/>
        <v>28.795999999999999</v>
      </c>
      <c r="T29" s="9">
        <f t="shared" si="4"/>
        <v>8.673</v>
      </c>
      <c r="U29" s="9">
        <f t="shared" si="2"/>
        <v>109.764</v>
      </c>
      <c r="V29" s="9">
        <f>(D29/SQG!$D$5+E29/SQG!$D$6+F29/SQG!$D$7+G29/SQG!$D$8+H29/SQG!$D$9+I29/SQG!$D$10+J29/SQG!$D$11+K29/SQG!$D$12+L29/SQG!$D$13+M29/SQG!$D$14+N29/SQG!$D$15+O29/SQG!$D$16+P29/SQG!$D$17+Q29/SQG!$D$18)/14</f>
        <v>1.136103001780042</v>
      </c>
      <c r="W29" s="9">
        <f t="shared" si="3"/>
        <v>6.4720000000000004</v>
      </c>
    </row>
    <row r="30" spans="1:23" ht="15" customHeight="1" x14ac:dyDescent="0.25">
      <c r="A30" s="7" t="s">
        <v>70</v>
      </c>
      <c r="B30" s="7" t="s">
        <v>79</v>
      </c>
      <c r="C30" s="7" t="s">
        <v>81</v>
      </c>
      <c r="D30" s="8">
        <v>9.3849999999999998</v>
      </c>
      <c r="E30" s="8">
        <v>10.722</v>
      </c>
      <c r="F30" s="8">
        <v>6.1550000000000002</v>
      </c>
      <c r="G30" s="8">
        <v>6.64</v>
      </c>
      <c r="H30" s="8">
        <v>9.0280000000000005</v>
      </c>
      <c r="I30" s="8">
        <v>19.48</v>
      </c>
      <c r="J30" s="8">
        <v>8.141</v>
      </c>
      <c r="K30" s="8">
        <v>16.038</v>
      </c>
      <c r="L30" s="8">
        <v>3.2629999999999999</v>
      </c>
      <c r="M30" s="8">
        <v>7.2530000000000001</v>
      </c>
      <c r="N30" s="8">
        <v>3.8620000000000001</v>
      </c>
      <c r="O30" s="8">
        <v>5.085</v>
      </c>
      <c r="P30" s="8">
        <v>3.4580000000000002</v>
      </c>
      <c r="Q30" s="8">
        <v>4.9950000000000001</v>
      </c>
      <c r="R30" s="9">
        <f t="shared" si="0"/>
        <v>61.41</v>
      </c>
      <c r="S30" s="9">
        <f t="shared" si="1"/>
        <v>34.695</v>
      </c>
      <c r="T30" s="9">
        <f t="shared" si="4"/>
        <v>8.9469999999999992</v>
      </c>
      <c r="U30" s="9">
        <f t="shared" si="2"/>
        <v>113.505</v>
      </c>
      <c r="V30" s="9">
        <f>(D30/SQG!$D$5+E30/SQG!$D$6+F30/SQG!$D$7+G30/SQG!$D$8+H30/SQG!$D$9+I30/SQG!$D$10+J30/SQG!$D$11+K30/SQG!$D$12+L30/SQG!$D$13+M30/SQG!$D$14+N30/SQG!$D$15+O30/SQG!$D$16+P30/SQG!$D$17+Q30/SQG!$D$18)/14</f>
        <v>1.1729023439881858</v>
      </c>
      <c r="W30" s="9">
        <f t="shared" si="3"/>
        <v>8.4529999999999994</v>
      </c>
    </row>
    <row r="31" spans="1:23" ht="15" customHeight="1" x14ac:dyDescent="0.25">
      <c r="A31" s="7" t="s">
        <v>70</v>
      </c>
      <c r="B31" s="7" t="s">
        <v>79</v>
      </c>
      <c r="C31" s="7" t="s">
        <v>82</v>
      </c>
      <c r="D31" s="8">
        <v>11.723000000000001</v>
      </c>
      <c r="E31" s="8">
        <v>9.0980000000000008</v>
      </c>
      <c r="F31" s="8">
        <v>6.056</v>
      </c>
      <c r="G31" s="8">
        <v>9.8719999999999999</v>
      </c>
      <c r="H31" s="8">
        <v>9.3840000000000003</v>
      </c>
      <c r="I31" s="8">
        <v>21.72</v>
      </c>
      <c r="J31" s="8">
        <v>7.3019999999999996</v>
      </c>
      <c r="K31" s="8">
        <v>14.484999999999999</v>
      </c>
      <c r="L31" s="8">
        <v>0.5</v>
      </c>
      <c r="M31" s="8">
        <v>5.609</v>
      </c>
      <c r="N31" s="8">
        <v>2.8460000000000001</v>
      </c>
      <c r="O31" s="8">
        <v>3.4649999999999999</v>
      </c>
      <c r="P31" s="8">
        <v>4.6390000000000002</v>
      </c>
      <c r="Q31" s="8">
        <v>5.2539999999999996</v>
      </c>
      <c r="R31" s="9">
        <f t="shared" si="0"/>
        <v>67.853000000000009</v>
      </c>
      <c r="S31" s="9">
        <f t="shared" si="1"/>
        <v>27.896000000000001</v>
      </c>
      <c r="T31" s="9">
        <f t="shared" si="4"/>
        <v>6.3109999999999999</v>
      </c>
      <c r="U31" s="9">
        <f t="shared" si="2"/>
        <v>111.953</v>
      </c>
      <c r="V31" s="9">
        <f>(D31/SQG!$D$5+E31/SQG!$D$6+F31/SQG!$D$7+G31/SQG!$D$8+H31/SQG!$D$9+I31/SQG!$D$10+J31/SQG!$D$11+K31/SQG!$D$12+L31/SQG!$D$13+M31/SQG!$D$14+N31/SQG!$D$15+O31/SQG!$D$16+P31/SQG!$D$17+Q31/SQG!$D$18)/14</f>
        <v>1.1115268420034914</v>
      </c>
      <c r="W31" s="9">
        <f t="shared" si="3"/>
        <v>9.8930000000000007</v>
      </c>
    </row>
    <row r="32" spans="1:23" ht="15" customHeight="1" x14ac:dyDescent="0.25">
      <c r="A32" s="7" t="s">
        <v>70</v>
      </c>
      <c r="B32" s="7" t="s">
        <v>83</v>
      </c>
      <c r="C32" s="7" t="s">
        <v>84</v>
      </c>
      <c r="D32" s="8">
        <v>12.637</v>
      </c>
      <c r="E32" s="8">
        <v>12.836</v>
      </c>
      <c r="F32" s="8">
        <v>8.0839999999999996</v>
      </c>
      <c r="G32" s="8">
        <v>6.0570000000000004</v>
      </c>
      <c r="H32" s="8">
        <v>7.2750000000000004</v>
      </c>
      <c r="I32" s="8">
        <v>23.806999999999999</v>
      </c>
      <c r="J32" s="8">
        <v>5.7309999999999999</v>
      </c>
      <c r="K32" s="8">
        <v>11.291</v>
      </c>
      <c r="L32" s="8">
        <v>3.2829999999999999</v>
      </c>
      <c r="M32" s="8">
        <v>7.3940000000000001</v>
      </c>
      <c r="N32" s="8">
        <v>3.7549999999999999</v>
      </c>
      <c r="O32" s="8">
        <v>6.3540000000000001</v>
      </c>
      <c r="P32" s="8">
        <v>3.681</v>
      </c>
      <c r="Q32" s="8">
        <v>8.2449999999999992</v>
      </c>
      <c r="R32" s="9">
        <f t="shared" si="0"/>
        <v>70.695999999999998</v>
      </c>
      <c r="S32" s="9">
        <f t="shared" si="1"/>
        <v>27.698999999999998</v>
      </c>
      <c r="T32" s="9">
        <f t="shared" si="4"/>
        <v>10.109</v>
      </c>
      <c r="U32" s="9">
        <f t="shared" si="2"/>
        <v>120.42999999999999</v>
      </c>
      <c r="V32" s="9">
        <f>(D32/SQG!$D$5+E32/SQG!$D$6+F32/SQG!$D$7+G32/SQG!$D$8+H32/SQG!$D$9+I32/SQG!$D$10+J32/SQG!$D$11+K32/SQG!$D$12+L32/SQG!$D$13+M32/SQG!$D$14+N32/SQG!$D$15+O32/SQG!$D$16+P32/SQG!$D$17+Q32/SQG!$D$18)/14</f>
        <v>1.393605658088463</v>
      </c>
      <c r="W32" s="9">
        <f t="shared" si="3"/>
        <v>11.925999999999998</v>
      </c>
    </row>
    <row r="33" spans="1:23" ht="15" customHeight="1" x14ac:dyDescent="0.25">
      <c r="A33" s="7" t="s">
        <v>70</v>
      </c>
      <c r="B33" s="7" t="s">
        <v>83</v>
      </c>
      <c r="C33" s="7" t="s">
        <v>85</v>
      </c>
      <c r="D33" s="8">
        <v>7.3780000000000001</v>
      </c>
      <c r="E33" s="8">
        <v>13.233000000000001</v>
      </c>
      <c r="F33" s="8">
        <v>9.57</v>
      </c>
      <c r="G33" s="8">
        <v>7.4749999999999996</v>
      </c>
      <c r="H33" s="8">
        <v>9.9969999999999999</v>
      </c>
      <c r="I33" s="8">
        <v>22.481999999999999</v>
      </c>
      <c r="J33" s="8">
        <v>6.4660000000000002</v>
      </c>
      <c r="K33" s="8">
        <v>12.938000000000001</v>
      </c>
      <c r="L33" s="8">
        <v>3.089</v>
      </c>
      <c r="M33" s="8">
        <v>8.7050000000000001</v>
      </c>
      <c r="N33" s="8">
        <v>4.3840000000000003</v>
      </c>
      <c r="O33" s="8">
        <v>7.3639999999999999</v>
      </c>
      <c r="P33" s="8">
        <v>5.6820000000000004</v>
      </c>
      <c r="Q33" s="8">
        <v>7.2619999999999996</v>
      </c>
      <c r="R33" s="9">
        <f t="shared" si="0"/>
        <v>70.134999999999991</v>
      </c>
      <c r="S33" s="9">
        <f t="shared" si="1"/>
        <v>31.198</v>
      </c>
      <c r="T33" s="9">
        <f t="shared" si="4"/>
        <v>11.748000000000001</v>
      </c>
      <c r="U33" s="9">
        <f t="shared" si="2"/>
        <v>126.02499999999999</v>
      </c>
      <c r="V33" s="9">
        <f>(D33/SQG!$D$5+E33/SQG!$D$6+F33/SQG!$D$7+G33/SQG!$D$8+H33/SQG!$D$9+I33/SQG!$D$10+J33/SQG!$D$11+K33/SQG!$D$12+L33/SQG!$D$13+M33/SQG!$D$14+N33/SQG!$D$15+O33/SQG!$D$16+P33/SQG!$D$17+Q33/SQG!$D$18)/14</f>
        <v>1.3896970242464459</v>
      </c>
      <c r="W33" s="9">
        <f t="shared" si="3"/>
        <v>12.943999999999999</v>
      </c>
    </row>
    <row r="34" spans="1:23" ht="15" customHeight="1" x14ac:dyDescent="0.25">
      <c r="A34" s="7" t="s">
        <v>70</v>
      </c>
      <c r="B34" s="7" t="s">
        <v>83</v>
      </c>
      <c r="C34" s="7" t="s">
        <v>86</v>
      </c>
      <c r="D34" s="8">
        <v>9.9369999999999994</v>
      </c>
      <c r="E34" s="8">
        <v>13.481999999999999</v>
      </c>
      <c r="F34" s="8">
        <v>9.8510000000000009</v>
      </c>
      <c r="G34" s="8">
        <v>6.0430000000000001</v>
      </c>
      <c r="H34" s="8">
        <v>10.239000000000001</v>
      </c>
      <c r="I34" s="8">
        <v>25.497</v>
      </c>
      <c r="J34" s="8">
        <v>8.0090000000000003</v>
      </c>
      <c r="K34" s="8">
        <v>15.778</v>
      </c>
      <c r="L34" s="8">
        <v>4.2729999999999997</v>
      </c>
      <c r="M34" s="8">
        <v>8.6519999999999992</v>
      </c>
      <c r="N34" s="8">
        <v>4.8319999999999999</v>
      </c>
      <c r="O34" s="8">
        <v>7.9729999999999999</v>
      </c>
      <c r="P34" s="8">
        <v>5.5090000000000003</v>
      </c>
      <c r="Q34" s="8">
        <v>9.2129999999999992</v>
      </c>
      <c r="R34" s="9">
        <f t="shared" si="0"/>
        <v>75.048999999999992</v>
      </c>
      <c r="S34" s="9">
        <f t="shared" si="1"/>
        <v>36.711999999999996</v>
      </c>
      <c r="T34" s="9">
        <f t="shared" si="4"/>
        <v>12.805</v>
      </c>
      <c r="U34" s="9">
        <f t="shared" si="2"/>
        <v>139.28799999999998</v>
      </c>
      <c r="V34" s="9">
        <f>(D34/SQG!$D$5+E34/SQG!$D$6+F34/SQG!$D$7+G34/SQG!$D$8+H34/SQG!$D$9+I34/SQG!$D$10+J34/SQG!$D$11+K34/SQG!$D$12+L34/SQG!$D$13+M34/SQG!$D$14+N34/SQG!$D$15+O34/SQG!$D$16+P34/SQG!$D$17+Q34/SQG!$D$18)/14</f>
        <v>1.5731425767120368</v>
      </c>
      <c r="W34" s="9">
        <f t="shared" si="3"/>
        <v>14.722</v>
      </c>
    </row>
    <row r="35" spans="1:23" ht="15" customHeight="1" x14ac:dyDescent="0.25">
      <c r="A35" s="7" t="s">
        <v>70</v>
      </c>
      <c r="B35" s="7" t="s">
        <v>87</v>
      </c>
      <c r="C35" s="7" t="s">
        <v>88</v>
      </c>
      <c r="D35" s="8">
        <v>10.286</v>
      </c>
      <c r="E35" s="8">
        <v>13.074</v>
      </c>
      <c r="F35" s="8">
        <v>11.374000000000001</v>
      </c>
      <c r="G35" s="8">
        <v>9.4949999999999992</v>
      </c>
      <c r="H35" s="8">
        <v>9.3800000000000008</v>
      </c>
      <c r="I35" s="8">
        <v>26.917999999999999</v>
      </c>
      <c r="J35" s="8">
        <v>9.0139999999999993</v>
      </c>
      <c r="K35" s="8">
        <v>17.757000000000001</v>
      </c>
      <c r="L35" s="8">
        <v>4.3819999999999997</v>
      </c>
      <c r="M35" s="8">
        <v>16.699000000000002</v>
      </c>
      <c r="N35" s="8">
        <v>8.452</v>
      </c>
      <c r="O35" s="8">
        <v>9.2430000000000003</v>
      </c>
      <c r="P35" s="8">
        <v>6.7140000000000004</v>
      </c>
      <c r="Q35" s="8">
        <v>13.291</v>
      </c>
      <c r="R35" s="9">
        <f t="shared" si="0"/>
        <v>80.527000000000001</v>
      </c>
      <c r="S35" s="9">
        <f t="shared" si="1"/>
        <v>47.852000000000004</v>
      </c>
      <c r="T35" s="9">
        <f t="shared" si="4"/>
        <v>17.695</v>
      </c>
      <c r="U35" s="9">
        <f t="shared" si="2"/>
        <v>166.07900000000001</v>
      </c>
      <c r="V35" s="9">
        <f>(D35/SQG!$D$5+E35/SQG!$D$6+F35/SQG!$D$7+G35/SQG!$D$8+H35/SQG!$D$9+I35/SQG!$D$10+J35/SQG!$D$11+K35/SQG!$D$12+L35/SQG!$D$13+M35/SQG!$D$14+N35/SQG!$D$15+O35/SQG!$D$16+P35/SQG!$D$17+Q35/SQG!$D$18)/14</f>
        <v>1.7863405245316497</v>
      </c>
      <c r="W35" s="9">
        <f t="shared" si="3"/>
        <v>20.005000000000003</v>
      </c>
    </row>
    <row r="36" spans="1:23" ht="15" customHeight="1" x14ac:dyDescent="0.25">
      <c r="A36" s="7" t="s">
        <v>70</v>
      </c>
      <c r="B36" s="7" t="s">
        <v>87</v>
      </c>
      <c r="C36" s="7" t="s">
        <v>89</v>
      </c>
      <c r="D36" s="8">
        <v>13.042999999999999</v>
      </c>
      <c r="E36" s="8">
        <v>14.374000000000001</v>
      </c>
      <c r="F36" s="8">
        <v>11.843</v>
      </c>
      <c r="G36" s="8">
        <v>8.9469999999999992</v>
      </c>
      <c r="H36" s="8">
        <v>12.391</v>
      </c>
      <c r="I36" s="8">
        <v>30.207000000000001</v>
      </c>
      <c r="J36" s="8">
        <v>7.327</v>
      </c>
      <c r="K36" s="8">
        <v>14.534000000000001</v>
      </c>
      <c r="L36" s="8">
        <v>4.0380000000000003</v>
      </c>
      <c r="M36" s="8">
        <v>14.457000000000001</v>
      </c>
      <c r="N36" s="8">
        <v>7.32</v>
      </c>
      <c r="O36" s="8">
        <v>11.472</v>
      </c>
      <c r="P36" s="8">
        <v>9.2010000000000005</v>
      </c>
      <c r="Q36" s="8">
        <v>13.836</v>
      </c>
      <c r="R36" s="9">
        <f t="shared" si="0"/>
        <v>90.805000000000007</v>
      </c>
      <c r="S36" s="9">
        <f t="shared" si="1"/>
        <v>40.356000000000002</v>
      </c>
      <c r="T36" s="9">
        <f t="shared" si="4"/>
        <v>18.792000000000002</v>
      </c>
      <c r="U36" s="9">
        <f t="shared" si="2"/>
        <v>172.99</v>
      </c>
      <c r="V36" s="9">
        <f>(D36/SQG!$D$5+E36/SQG!$D$6+F36/SQG!$D$7+G36/SQG!$D$8+H36/SQG!$D$9+I36/SQG!$D$10+J36/SQG!$D$11+K36/SQG!$D$12+L36/SQG!$D$13+M36/SQG!$D$14+N36/SQG!$D$15+O36/SQG!$D$16+P36/SQG!$D$17+Q36/SQG!$D$18)/14</f>
        <v>1.993554823318787</v>
      </c>
      <c r="W36" s="9">
        <f t="shared" si="3"/>
        <v>23.036999999999999</v>
      </c>
    </row>
    <row r="37" spans="1:23" ht="15" customHeight="1" x14ac:dyDescent="0.25">
      <c r="A37" s="7" t="s">
        <v>70</v>
      </c>
      <c r="B37" s="7" t="s">
        <v>87</v>
      </c>
      <c r="C37" s="7" t="s">
        <v>90</v>
      </c>
      <c r="D37" s="8">
        <v>13.048</v>
      </c>
      <c r="E37" s="8">
        <v>14.111000000000001</v>
      </c>
      <c r="F37" s="8">
        <v>11.324999999999999</v>
      </c>
      <c r="G37" s="8">
        <v>9.4930000000000003</v>
      </c>
      <c r="H37" s="8">
        <v>12.436999999999999</v>
      </c>
      <c r="I37" s="8">
        <v>32.734999999999999</v>
      </c>
      <c r="J37" s="8">
        <v>8.8930000000000007</v>
      </c>
      <c r="K37" s="8">
        <v>17.52</v>
      </c>
      <c r="L37" s="8">
        <v>4.9770000000000003</v>
      </c>
      <c r="M37" s="8">
        <v>14.907999999999999</v>
      </c>
      <c r="N37" s="8">
        <v>7.5839999999999996</v>
      </c>
      <c r="O37" s="8">
        <v>11.475</v>
      </c>
      <c r="P37" s="8">
        <v>11.57</v>
      </c>
      <c r="Q37" s="8">
        <v>13.545999999999999</v>
      </c>
      <c r="R37" s="9">
        <f t="shared" si="0"/>
        <v>93.149000000000001</v>
      </c>
      <c r="S37" s="9">
        <f t="shared" si="1"/>
        <v>46.298000000000002</v>
      </c>
      <c r="T37" s="9">
        <f t="shared" si="4"/>
        <v>19.058999999999997</v>
      </c>
      <c r="U37" s="9">
        <f t="shared" si="2"/>
        <v>183.62199999999999</v>
      </c>
      <c r="V37" s="9">
        <f>(D37/SQG!$D$5+E37/SQG!$D$6+F37/SQG!$D$7+G37/SQG!$D$8+H37/SQG!$D$9+I37/SQG!$D$10+J37/SQG!$D$11+K37/SQG!$D$12+L37/SQG!$D$13+M37/SQG!$D$14+N37/SQG!$D$15+O37/SQG!$D$16+P37/SQG!$D$17+Q37/SQG!$D$18)/14</f>
        <v>2.1226345799293926</v>
      </c>
      <c r="W37" s="9">
        <f t="shared" si="3"/>
        <v>25.116</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4"/>
  <sheetViews>
    <sheetView zoomScaleNormal="100" workbookViewId="0">
      <selection activeCell="I21" sqref="I21:I23"/>
    </sheetView>
  </sheetViews>
  <sheetFormatPr defaultColWidth="8.7109375" defaultRowHeight="15" x14ac:dyDescent="0.25"/>
  <cols>
    <col min="1" max="1" width="22" style="1" customWidth="1"/>
    <col min="2" max="7" width="11" style="1" customWidth="1"/>
    <col min="8" max="8" width="22" style="1" customWidth="1"/>
    <col min="9" max="9" width="18" style="1" customWidth="1"/>
  </cols>
  <sheetData>
    <row r="1" spans="1:9" ht="15.75" customHeight="1" x14ac:dyDescent="0.25">
      <c r="A1" s="2" t="s">
        <v>91</v>
      </c>
    </row>
    <row r="2" spans="1:9" ht="15" customHeight="1" x14ac:dyDescent="0.25">
      <c r="A2" s="5" t="s">
        <v>92</v>
      </c>
    </row>
    <row r="4" spans="1:9" ht="15" customHeight="1" x14ac:dyDescent="0.25">
      <c r="A4" s="6" t="s">
        <v>93</v>
      </c>
      <c r="B4" s="6" t="s">
        <v>94</v>
      </c>
      <c r="C4" s="6" t="s">
        <v>95</v>
      </c>
      <c r="D4" s="6" t="s">
        <v>96</v>
      </c>
      <c r="E4" s="6" t="s">
        <v>97</v>
      </c>
      <c r="F4" s="6" t="s">
        <v>98</v>
      </c>
      <c r="G4" s="6" t="s">
        <v>99</v>
      </c>
      <c r="H4" s="6" t="s">
        <v>100</v>
      </c>
      <c r="I4" s="6" t="s">
        <v>101</v>
      </c>
    </row>
    <row r="5" spans="1:9" ht="15" customHeight="1" x14ac:dyDescent="0.25">
      <c r="A5" s="10" t="s">
        <v>25</v>
      </c>
      <c r="B5" s="9">
        <f>AVERAGE('Raw Data'!D$5:D$37)</f>
        <v>6.9943939393939409</v>
      </c>
      <c r="C5" s="9">
        <f>STDEV('Raw Data'!D$5:D$37)</f>
        <v>3.5152525152842293</v>
      </c>
      <c r="D5" s="9">
        <f>MEDIAN('Raw Data'!D$5:D$37)</f>
        <v>7.3739999999999997</v>
      </c>
      <c r="E5" s="9">
        <f>MIN('Raw Data'!D$5:D$37)</f>
        <v>0.5</v>
      </c>
      <c r="F5" s="9">
        <f>MAX('Raw Data'!D$5:D$37)</f>
        <v>13.048</v>
      </c>
      <c r="G5" s="11">
        <f>COUNTIF('Raw Data'!D$5:D$37,"&gt;0")</f>
        <v>33</v>
      </c>
      <c r="H5" s="12">
        <f>G5/COUNT('Raw Data'!D$5:D$37)*100</f>
        <v>100</v>
      </c>
      <c r="I5" s="12">
        <f t="shared" ref="I5:I23" si="0">B5/$B$22*100</f>
        <v>7.6835041425976369</v>
      </c>
    </row>
    <row r="6" spans="1:9" ht="15" customHeight="1" x14ac:dyDescent="0.25">
      <c r="A6" s="10" t="s">
        <v>26</v>
      </c>
      <c r="B6" s="9">
        <f>AVERAGE('Raw Data'!E$5:E$37)</f>
        <v>9.2050303030303056</v>
      </c>
      <c r="C6" s="9">
        <f>STDEV('Raw Data'!E$5:E$37)</f>
        <v>2.9431852800669853</v>
      </c>
      <c r="D6" s="9">
        <f>MEDIAN('Raw Data'!E$5:E$37)</f>
        <v>9.0440000000000005</v>
      </c>
      <c r="E6" s="9">
        <f>MIN('Raw Data'!E$5:E$37)</f>
        <v>4.2779999999999996</v>
      </c>
      <c r="F6" s="9">
        <f>MAX('Raw Data'!E$5:E$37)</f>
        <v>14.374000000000001</v>
      </c>
      <c r="G6" s="11">
        <f>COUNTIF('Raw Data'!E$5:E$37,"&gt;0")</f>
        <v>33</v>
      </c>
      <c r="H6" s="12">
        <f>G6/COUNT('Raw Data'!E$5:E$37)*100</f>
        <v>100</v>
      </c>
      <c r="I6" s="12">
        <f t="shared" si="0"/>
        <v>10.111939515977358</v>
      </c>
    </row>
    <row r="7" spans="1:9" ht="15" customHeight="1" x14ac:dyDescent="0.25">
      <c r="A7" s="10" t="s">
        <v>27</v>
      </c>
      <c r="B7" s="9">
        <f>AVERAGE('Raw Data'!F$5:F$37)</f>
        <v>5.3420303030303025</v>
      </c>
      <c r="C7" s="9">
        <f>STDEV('Raw Data'!F$5:F$37)</f>
        <v>3.7713778606502735</v>
      </c>
      <c r="D7" s="9">
        <f>MEDIAN('Raw Data'!F$5:F$37)</f>
        <v>6.0469999999999997</v>
      </c>
      <c r="E7" s="9">
        <f>MIN('Raw Data'!F$5:F$37)</f>
        <v>0.5</v>
      </c>
      <c r="F7" s="9">
        <f>MAX('Raw Data'!F$5:F$37)</f>
        <v>11.843</v>
      </c>
      <c r="G7" s="11">
        <f>COUNTIF('Raw Data'!F$5:F$37,"&gt;0")</f>
        <v>33</v>
      </c>
      <c r="H7" s="12">
        <f>G7/COUNT('Raw Data'!F$5:F$37)*100</f>
        <v>100</v>
      </c>
      <c r="I7" s="12">
        <f t="shared" si="0"/>
        <v>5.8683443224491869</v>
      </c>
    </row>
    <row r="8" spans="1:9" ht="15" customHeight="1" x14ac:dyDescent="0.25">
      <c r="A8" s="10" t="s">
        <v>28</v>
      </c>
      <c r="B8" s="9">
        <f>AVERAGE('Raw Data'!G$5:G$37)</f>
        <v>5.5593939393939387</v>
      </c>
      <c r="C8" s="9">
        <f>STDEV('Raw Data'!G$5:G$37)</f>
        <v>2.8017917809345003</v>
      </c>
      <c r="D8" s="9">
        <f>MEDIAN('Raw Data'!G$5:G$37)</f>
        <v>5.48</v>
      </c>
      <c r="E8" s="9">
        <f>MIN('Raw Data'!G$5:G$37)</f>
        <v>0.5</v>
      </c>
      <c r="F8" s="9">
        <f>MAX('Raw Data'!G$5:G$37)</f>
        <v>9.8719999999999999</v>
      </c>
      <c r="G8" s="11">
        <f>COUNTIF('Raw Data'!G$5:G$37,"&gt;0")</f>
        <v>33</v>
      </c>
      <c r="H8" s="12">
        <f>G8/COUNT('Raw Data'!G$5:G$37)*100</f>
        <v>100</v>
      </c>
      <c r="I8" s="12">
        <f t="shared" si="0"/>
        <v>6.1071233238782661</v>
      </c>
    </row>
    <row r="9" spans="1:9" ht="15" customHeight="1" x14ac:dyDescent="0.25">
      <c r="A9" s="10" t="s">
        <v>29</v>
      </c>
      <c r="B9" s="9">
        <f>AVERAGE('Raw Data'!H$5:H$37)</f>
        <v>8.3409090909090917</v>
      </c>
      <c r="C9" s="9">
        <f>STDEV('Raw Data'!H$5:H$37)</f>
        <v>1.5404943476778044</v>
      </c>
      <c r="D9" s="9">
        <f>MEDIAN('Raw Data'!H$5:H$37)</f>
        <v>8.2509999999999994</v>
      </c>
      <c r="E9" s="9">
        <f>MIN('Raw Data'!H$5:H$37)</f>
        <v>5.3739999999999997</v>
      </c>
      <c r="F9" s="9">
        <f>MAX('Raw Data'!H$5:H$37)</f>
        <v>12.436999999999999</v>
      </c>
      <c r="G9" s="11">
        <f>COUNTIF('Raw Data'!H$5:H$37,"&gt;0")</f>
        <v>33</v>
      </c>
      <c r="H9" s="12">
        <f>G9/COUNT('Raw Data'!H$5:H$37)*100</f>
        <v>100</v>
      </c>
      <c r="I9" s="12">
        <f t="shared" si="0"/>
        <v>9.1626823007603466</v>
      </c>
    </row>
    <row r="10" spans="1:9" ht="15" customHeight="1" x14ac:dyDescent="0.25">
      <c r="A10" s="10" t="s">
        <v>30</v>
      </c>
      <c r="B10" s="9">
        <f>AVERAGE('Raw Data'!I$5:I$37)</f>
        <v>18.737272727272725</v>
      </c>
      <c r="C10" s="9">
        <f>STDEV('Raw Data'!I$5:I$37)</f>
        <v>6.1004838346679877</v>
      </c>
      <c r="D10" s="9">
        <f>MEDIAN('Raw Data'!I$5:I$37)</f>
        <v>19.48</v>
      </c>
      <c r="E10" s="9">
        <f>MIN('Raw Data'!I$5:I$37)</f>
        <v>7.9210000000000003</v>
      </c>
      <c r="F10" s="9">
        <f>MAX('Raw Data'!I$5:I$37)</f>
        <v>32.734999999999999</v>
      </c>
      <c r="G10" s="11">
        <f>COUNTIF('Raw Data'!I$5:I$37,"&gt;0")</f>
        <v>33</v>
      </c>
      <c r="H10" s="12">
        <f>G10/COUNT('Raw Data'!I$5:I$37)*100</f>
        <v>100</v>
      </c>
      <c r="I10" s="12">
        <f t="shared" si="0"/>
        <v>20.58332914452005</v>
      </c>
    </row>
    <row r="11" spans="1:9" ht="15" customHeight="1" x14ac:dyDescent="0.25">
      <c r="A11" s="10" t="s">
        <v>31</v>
      </c>
      <c r="B11" s="9">
        <f>AVERAGE('Raw Data'!J$5:J$37)</f>
        <v>5.281363636363638</v>
      </c>
      <c r="C11" s="9">
        <f>STDEV('Raw Data'!J$5:J$37)</f>
        <v>2.5135387258079693</v>
      </c>
      <c r="D11" s="9">
        <f>MEDIAN('Raw Data'!J$5:J$37)</f>
        <v>5.7309999999999999</v>
      </c>
      <c r="E11" s="9">
        <f>MIN('Raw Data'!J$5:J$37)</f>
        <v>0.5</v>
      </c>
      <c r="F11" s="9">
        <f>MAX('Raw Data'!J$5:J$37)</f>
        <v>9.0139999999999993</v>
      </c>
      <c r="G11" s="11">
        <f>COUNTIF('Raw Data'!J$5:J$37,"&gt;0")</f>
        <v>33</v>
      </c>
      <c r="H11" s="12">
        <f>G11/COUNT('Raw Data'!J$5:J$37)*100</f>
        <v>100</v>
      </c>
      <c r="I11" s="12">
        <f t="shared" si="0"/>
        <v>5.8017005805195909</v>
      </c>
    </row>
    <row r="12" spans="1:9" ht="15" customHeight="1" x14ac:dyDescent="0.25">
      <c r="A12" s="10" t="s">
        <v>32</v>
      </c>
      <c r="B12" s="9">
        <f>AVERAGE('Raw Data'!K$5:K$37)</f>
        <v>10.419484848484849</v>
      </c>
      <c r="C12" s="9">
        <f>STDEV('Raw Data'!K$5:K$37)</f>
        <v>4.9616194125583375</v>
      </c>
      <c r="D12" s="9">
        <f>MEDIAN('Raw Data'!K$5:K$37)</f>
        <v>11.291</v>
      </c>
      <c r="E12" s="9">
        <f>MIN('Raw Data'!K$5:K$37)</f>
        <v>0.98499999999999999</v>
      </c>
      <c r="F12" s="9">
        <f>MAX('Raw Data'!K$5:K$37)</f>
        <v>17.757000000000001</v>
      </c>
      <c r="G12" s="11">
        <f>COUNTIF('Raw Data'!K$5:K$37,"&gt;0")</f>
        <v>33</v>
      </c>
      <c r="H12" s="12">
        <f>G12/COUNT('Raw Data'!K$5:K$37)*100</f>
        <v>100</v>
      </c>
      <c r="I12" s="12">
        <f t="shared" si="0"/>
        <v>11.446046032117492</v>
      </c>
    </row>
    <row r="13" spans="1:9" ht="15" customHeight="1" x14ac:dyDescent="0.25">
      <c r="A13" s="10" t="s">
        <v>33</v>
      </c>
      <c r="B13" s="9">
        <f>AVERAGE('Raw Data'!L$5:L$37)</f>
        <v>1.9577272727272728</v>
      </c>
      <c r="C13" s="9">
        <f>STDEV('Raw Data'!L$5:L$37)</f>
        <v>1.5744588410134619</v>
      </c>
      <c r="D13" s="9">
        <f>MEDIAN('Raw Data'!L$5:L$37)</f>
        <v>2.0459999999999998</v>
      </c>
      <c r="E13" s="9">
        <f>MIN('Raw Data'!L$5:L$37)</f>
        <v>0.5</v>
      </c>
      <c r="F13" s="9">
        <f>MAX('Raw Data'!L$5:L$37)</f>
        <v>5.0359999999999996</v>
      </c>
      <c r="G13" s="11">
        <f>COUNTIF('Raw Data'!L$5:L$37,"&gt;0")</f>
        <v>33</v>
      </c>
      <c r="H13" s="12">
        <f>G13/COUNT('Raw Data'!L$5:L$37)*100</f>
        <v>100</v>
      </c>
      <c r="I13" s="12">
        <f t="shared" si="0"/>
        <v>2.1506088648160655</v>
      </c>
    </row>
    <row r="14" spans="1:9" ht="15" customHeight="1" x14ac:dyDescent="0.25">
      <c r="A14" s="10" t="s">
        <v>34</v>
      </c>
      <c r="B14" s="9">
        <f>AVERAGE('Raw Data'!M$5:M$37)</f>
        <v>4.5849393939393934</v>
      </c>
      <c r="C14" s="9">
        <f>STDEV('Raw Data'!M$5:M$37)</f>
        <v>4.2316967189547183</v>
      </c>
      <c r="D14" s="9">
        <f>MEDIAN('Raw Data'!M$5:M$37)</f>
        <v>3.4769999999999999</v>
      </c>
      <c r="E14" s="9">
        <f>MIN('Raw Data'!M$5:M$37)</f>
        <v>0.5</v>
      </c>
      <c r="F14" s="9">
        <f>MAX('Raw Data'!M$5:M$37)</f>
        <v>16.699000000000002</v>
      </c>
      <c r="G14" s="11">
        <f>COUNTIF('Raw Data'!M$5:M$37,"&gt;0")</f>
        <v>33</v>
      </c>
      <c r="H14" s="12">
        <f>G14/COUNT('Raw Data'!M$5:M$37)*100</f>
        <v>100</v>
      </c>
      <c r="I14" s="12">
        <f t="shared" si="0"/>
        <v>5.0366623802068755</v>
      </c>
    </row>
    <row r="15" spans="1:9" ht="15" customHeight="1" x14ac:dyDescent="0.25">
      <c r="A15" s="10" t="s">
        <v>35</v>
      </c>
      <c r="B15" s="9">
        <f>AVERAGE('Raw Data'!N$5:N$37)</f>
        <v>2.5286969696969699</v>
      </c>
      <c r="C15" s="9">
        <f>STDEV('Raw Data'!N$5:N$37)</f>
        <v>2.2642054964828233</v>
      </c>
      <c r="D15" s="9">
        <f>MEDIAN('Raw Data'!N$5:N$37)</f>
        <v>1.946</v>
      </c>
      <c r="E15" s="9">
        <f>MIN('Raw Data'!N$5:N$37)</f>
        <v>0.5</v>
      </c>
      <c r="F15" s="9">
        <f>MAX('Raw Data'!N$5:N$37)</f>
        <v>8.452</v>
      </c>
      <c r="G15" s="11">
        <f>COUNTIF('Raw Data'!N$5:N$37,"&gt;0")</f>
        <v>33</v>
      </c>
      <c r="H15" s="12">
        <f>G15/COUNT('Raw Data'!N$5:N$37)*100</f>
        <v>100</v>
      </c>
      <c r="I15" s="12">
        <f t="shared" si="0"/>
        <v>2.7778323340655717</v>
      </c>
    </row>
    <row r="16" spans="1:9" ht="15" customHeight="1" x14ac:dyDescent="0.25">
      <c r="A16" s="10" t="s">
        <v>36</v>
      </c>
      <c r="B16" s="9">
        <f>AVERAGE('Raw Data'!O$5:O$37)</f>
        <v>4.1012727272727272</v>
      </c>
      <c r="C16" s="9">
        <f>STDEV('Raw Data'!O$5:O$37)</f>
        <v>3.1667255492930626</v>
      </c>
      <c r="D16" s="9">
        <f>MEDIAN('Raw Data'!O$5:O$37)</f>
        <v>3.4649999999999999</v>
      </c>
      <c r="E16" s="9">
        <f>MIN('Raw Data'!O$5:O$37)</f>
        <v>0.5</v>
      </c>
      <c r="F16" s="9">
        <f>MAX('Raw Data'!O$5:O$37)</f>
        <v>11.475</v>
      </c>
      <c r="G16" s="11">
        <f>COUNTIF('Raw Data'!O$5:O$37,"&gt;0")</f>
        <v>33</v>
      </c>
      <c r="H16" s="12">
        <f>G16/COUNT('Raw Data'!O$5:O$37)*100</f>
        <v>100</v>
      </c>
      <c r="I16" s="12">
        <f t="shared" si="0"/>
        <v>4.5053433168011141</v>
      </c>
    </row>
    <row r="17" spans="1:9" ht="15" customHeight="1" x14ac:dyDescent="0.25">
      <c r="A17" s="10" t="s">
        <v>37</v>
      </c>
      <c r="B17" s="9">
        <f>AVERAGE('Raw Data'!P$5:P$37)</f>
        <v>2.8690909090909082</v>
      </c>
      <c r="C17" s="9">
        <f>STDEV('Raw Data'!P$5:P$37)</f>
        <v>2.9895672801807418</v>
      </c>
      <c r="D17" s="9">
        <f>MEDIAN('Raw Data'!P$5:P$37)</f>
        <v>1.7150000000000001</v>
      </c>
      <c r="E17" s="9">
        <f>MIN('Raw Data'!P$5:P$37)</f>
        <v>0.5</v>
      </c>
      <c r="F17" s="9">
        <f>MAX('Raw Data'!P$5:P$37)</f>
        <v>11.57</v>
      </c>
      <c r="G17" s="11">
        <f>COUNTIF('Raw Data'!P$5:P$37,"&gt;0")</f>
        <v>33</v>
      </c>
      <c r="H17" s="12">
        <f>G17/COUNT('Raw Data'!P$5:P$37)*100</f>
        <v>100</v>
      </c>
      <c r="I17" s="12">
        <f t="shared" si="0"/>
        <v>3.1517629799672631</v>
      </c>
    </row>
    <row r="18" spans="1:9" ht="15" customHeight="1" x14ac:dyDescent="0.25">
      <c r="A18" s="10" t="s">
        <v>38</v>
      </c>
      <c r="B18" s="9">
        <f>AVERAGE('Raw Data'!Q$5:Q$37)</f>
        <v>5.1096969696969694</v>
      </c>
      <c r="C18" s="9">
        <f>STDEV('Raw Data'!Q$5:Q$37)</f>
        <v>3.918900032892271</v>
      </c>
      <c r="D18" s="9">
        <f>MEDIAN('Raw Data'!Q$5:Q$37)</f>
        <v>4.1109999999999998</v>
      </c>
      <c r="E18" s="9">
        <f>MIN('Raw Data'!Q$5:Q$37)</f>
        <v>0.5</v>
      </c>
      <c r="F18" s="9">
        <f>MAX('Raw Data'!Q$5:Q$37)</f>
        <v>13.836</v>
      </c>
      <c r="G18" s="11">
        <f>COUNTIF('Raw Data'!Q$5:Q$37,"&gt;0")</f>
        <v>33</v>
      </c>
      <c r="H18" s="12">
        <f>G18/COUNT('Raw Data'!Q$5:Q$37)*100</f>
        <v>100</v>
      </c>
      <c r="I18" s="12">
        <f t="shared" si="0"/>
        <v>5.613120761323195</v>
      </c>
    </row>
    <row r="19" spans="1:9" ht="15" customHeight="1" x14ac:dyDescent="0.25">
      <c r="A19" s="13" t="s">
        <v>39</v>
      </c>
      <c r="B19" s="9">
        <f>AVERAGE('Raw Data'!R$5:R$37)</f>
        <v>54.179030303030302</v>
      </c>
      <c r="C19" s="9">
        <f>STDEV('Raw Data'!R$5:R$37)</f>
        <v>18.369130223157079</v>
      </c>
      <c r="D19" s="9">
        <f>MEDIAN('Raw Data'!R$5:R$37)</f>
        <v>54.286000000000001</v>
      </c>
      <c r="E19" s="9">
        <f>MIN('Raw Data'!R$5:R$37)</f>
        <v>21.125</v>
      </c>
      <c r="F19" s="9">
        <f>MAX('Raw Data'!R$5:R$37)</f>
        <v>93.149000000000001</v>
      </c>
      <c r="G19" s="11">
        <f>COUNTIF('Raw Data'!R$5:R$37,"&gt;0")</f>
        <v>33</v>
      </c>
      <c r="H19" s="12">
        <f>G19/COUNT('Raw Data'!R$5:R$37)*100</f>
        <v>100</v>
      </c>
      <c r="I19" s="12">
        <f t="shared" si="0"/>
        <v>59.516922750182843</v>
      </c>
    </row>
    <row r="20" spans="1:9" ht="15" customHeight="1" x14ac:dyDescent="0.25">
      <c r="A20" s="13" t="s">
        <v>40</v>
      </c>
      <c r="B20" s="9">
        <f>AVERAGE('Raw Data'!S$5:S$37)</f>
        <v>22.243515151515147</v>
      </c>
      <c r="C20" s="9">
        <f>STDEV('Raw Data'!S$5:S$37)</f>
        <v>12.282143367306706</v>
      </c>
      <c r="D20" s="9">
        <f>MEDIAN('Raw Data'!S$5:S$37)</f>
        <v>23.736000000000001</v>
      </c>
      <c r="E20" s="9">
        <f>MIN('Raw Data'!S$5:S$37)</f>
        <v>2.4849999999999999</v>
      </c>
      <c r="F20" s="9">
        <f>MAX('Raw Data'!S$5:S$37)</f>
        <v>47.852000000000004</v>
      </c>
      <c r="G20" s="11">
        <f>COUNTIF('Raw Data'!S$5:S$37,"&gt;0")</f>
        <v>33</v>
      </c>
      <c r="H20" s="12">
        <f>G20/COUNT('Raw Data'!S$5:S$37)*100</f>
        <v>100</v>
      </c>
      <c r="I20" s="12">
        <f t="shared" si="0"/>
        <v>24.435017857660014</v>
      </c>
    </row>
    <row r="21" spans="1:9" ht="15" customHeight="1" x14ac:dyDescent="0.25">
      <c r="A21" s="13" t="s">
        <v>429</v>
      </c>
      <c r="B21" s="9">
        <f>AVERAGE('Raw Data'!T$5:T$37)</f>
        <v>6.6299696969696962</v>
      </c>
      <c r="C21" s="9">
        <f>STDEV('Raw Data'!T$5:T$37)</f>
        <v>5.2941812367733538</v>
      </c>
      <c r="D21" s="9">
        <f>MEDIAN('Raw Data'!T$5:T$37)</f>
        <v>5.1720000000000006</v>
      </c>
      <c r="E21" s="9">
        <f>MIN('Raw Data'!T$5:T$37)</f>
        <v>1</v>
      </c>
      <c r="F21" s="9">
        <f>MAX('Raw Data'!T$5:T$37)</f>
        <v>19.058999999999997</v>
      </c>
      <c r="G21" s="11">
        <f>COUNTIF('Raw Data'!T$5:T$37,"&gt;0")</f>
        <v>33</v>
      </c>
      <c r="H21" s="12">
        <f>G21/COUNT('Raw Data'!T$5:T$37)*100</f>
        <v>100</v>
      </c>
      <c r="I21" s="12">
        <f t="shared" si="0"/>
        <v>7.2831756508666841</v>
      </c>
    </row>
    <row r="22" spans="1:9" ht="15" customHeight="1" x14ac:dyDescent="0.25">
      <c r="A22" s="13" t="s">
        <v>42</v>
      </c>
      <c r="B22" s="9">
        <f>AVERAGE('Raw Data'!U$5:U$37)</f>
        <v>91.031303030303022</v>
      </c>
      <c r="C22" s="9">
        <f>STDEV('Raw Data'!U$5:U$37)</f>
        <v>41.045978006746346</v>
      </c>
      <c r="D22" s="9">
        <f>MEDIAN('Raw Data'!U$5:U$37)</f>
        <v>84.424000000000007</v>
      </c>
      <c r="E22" s="9">
        <f>MIN('Raw Data'!U$5:U$37)</f>
        <v>25.61</v>
      </c>
      <c r="F22" s="9">
        <f>MAX('Raw Data'!U$5:U$37)</f>
        <v>183.62199999999999</v>
      </c>
      <c r="G22" s="11">
        <f>COUNTIF('Raw Data'!U$5:U$37,"&gt;0")</f>
        <v>33</v>
      </c>
      <c r="H22" s="12">
        <f>G22/COUNT('Raw Data'!U$5:U$37)*100</f>
        <v>100</v>
      </c>
      <c r="I22" s="12">
        <f t="shared" si="0"/>
        <v>100</v>
      </c>
    </row>
    <row r="23" spans="1:9" x14ac:dyDescent="0.25">
      <c r="A23" s="13" t="s">
        <v>430</v>
      </c>
      <c r="B23" s="9">
        <f>AVERAGE('Raw Data'!W$5:W$37)</f>
        <v>7.9787878787878794</v>
      </c>
      <c r="C23" s="9">
        <f>STDEV('Raw Data'!W$5:W$37)</f>
        <v>6.7644453013420449</v>
      </c>
      <c r="D23" s="9">
        <f>MEDIAN('Raw Data'!W$5:W$37)</f>
        <v>5.5789999999999997</v>
      </c>
      <c r="E23" s="9">
        <f>MIN('Raw Data'!W$5:W$37)</f>
        <v>1</v>
      </c>
      <c r="F23" s="9">
        <f>MAX('Raw Data'!W$5:W$37)</f>
        <v>25.116</v>
      </c>
      <c r="G23" s="11">
        <f>COUNTIF('Raw Data'!W$5:W$37,"&gt;0")</f>
        <v>33</v>
      </c>
      <c r="H23" s="12">
        <f>G23/COUNT('Raw Data'!W$5:W$37)*100</f>
        <v>100</v>
      </c>
      <c r="I23" s="12">
        <f t="shared" si="0"/>
        <v>8.7648837412904612</v>
      </c>
    </row>
    <row r="24" spans="1:9" ht="15" customHeight="1" x14ac:dyDescent="0.25">
      <c r="A24" s="5" t="s">
        <v>102</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29"/>
  <sheetViews>
    <sheetView zoomScaleNormal="100" workbookViewId="0">
      <pane xSplit="3" ySplit="4" topLeftCell="E5" activePane="bottomRight" state="frozen"/>
      <selection pane="topRight" activeCell="D1" sqref="D1"/>
      <selection pane="bottomLeft" activeCell="A5" sqref="A5"/>
      <selection pane="bottomRight" activeCell="X31" sqref="X31"/>
    </sheetView>
  </sheetViews>
  <sheetFormatPr defaultColWidth="8.7109375" defaultRowHeight="15" x14ac:dyDescent="0.25"/>
  <cols>
    <col min="1" max="1" width="26" style="1" customWidth="1"/>
    <col min="2" max="2" width="13" style="1" customWidth="1"/>
    <col min="3" max="3" width="8" style="1" customWidth="1"/>
    <col min="4" max="21" width="11" style="1" customWidth="1"/>
    <col min="23" max="23" width="11" style="1" customWidth="1"/>
  </cols>
  <sheetData>
    <row r="1" spans="1:23" ht="15.75" customHeight="1" x14ac:dyDescent="0.25">
      <c r="A1" s="2" t="s">
        <v>103</v>
      </c>
    </row>
    <row r="2" spans="1:23" ht="15" customHeight="1" x14ac:dyDescent="0.25">
      <c r="A2" s="5" t="s">
        <v>104</v>
      </c>
    </row>
    <row r="4" spans="1:23" ht="23.25" customHeight="1" x14ac:dyDescent="0.25">
      <c r="A4" s="6" t="s">
        <v>23</v>
      </c>
      <c r="B4" s="6" t="s">
        <v>22</v>
      </c>
      <c r="C4" s="6" t="s">
        <v>105</v>
      </c>
      <c r="D4" s="6" t="s">
        <v>25</v>
      </c>
      <c r="E4" s="6" t="s">
        <v>26</v>
      </c>
      <c r="F4" s="6" t="s">
        <v>27</v>
      </c>
      <c r="G4" s="6" t="s">
        <v>28</v>
      </c>
      <c r="H4" s="6" t="s">
        <v>29</v>
      </c>
      <c r="I4" s="6" t="s">
        <v>30</v>
      </c>
      <c r="J4" s="6" t="s">
        <v>31</v>
      </c>
      <c r="K4" s="6" t="s">
        <v>32</v>
      </c>
      <c r="L4" s="6" t="s">
        <v>33</v>
      </c>
      <c r="M4" s="6" t="s">
        <v>34</v>
      </c>
      <c r="N4" s="6" t="s">
        <v>35</v>
      </c>
      <c r="O4" s="6" t="s">
        <v>36</v>
      </c>
      <c r="P4" s="6" t="s">
        <v>37</v>
      </c>
      <c r="Q4" s="6" t="s">
        <v>38</v>
      </c>
      <c r="R4" s="6" t="s">
        <v>39</v>
      </c>
      <c r="S4" s="6" t="s">
        <v>40</v>
      </c>
      <c r="T4" s="6" t="s">
        <v>429</v>
      </c>
      <c r="U4" s="6" t="s">
        <v>42</v>
      </c>
      <c r="W4" s="6" t="s">
        <v>430</v>
      </c>
    </row>
    <row r="5" spans="1:23" ht="15" customHeight="1" x14ac:dyDescent="0.25">
      <c r="A5" s="10" t="s">
        <v>45</v>
      </c>
      <c r="B5" s="10" t="s">
        <v>44</v>
      </c>
      <c r="C5" s="10" t="s">
        <v>106</v>
      </c>
      <c r="D5" s="9">
        <f>AVERAGE('Raw Data'!D5:D7)</f>
        <v>2.7946666666666666</v>
      </c>
      <c r="E5" s="9">
        <f>AVERAGE('Raw Data'!E5:E7)</f>
        <v>6.4113333333333342</v>
      </c>
      <c r="F5" s="9">
        <f>AVERAGE('Raw Data'!F5:F7)</f>
        <v>3.7826666666666662</v>
      </c>
      <c r="G5" s="9">
        <f>AVERAGE('Raw Data'!G5:G7)</f>
        <v>3.7826666666666671</v>
      </c>
      <c r="H5" s="9">
        <f>AVERAGE('Raw Data'!H5:H7)</f>
        <v>8.1226666666666656</v>
      </c>
      <c r="I5" s="9">
        <f>AVERAGE('Raw Data'!I5:I7)</f>
        <v>10.883666666666665</v>
      </c>
      <c r="J5" s="9">
        <f>AVERAGE('Raw Data'!J5:J7)</f>
        <v>2.5306666666666668</v>
      </c>
      <c r="K5" s="9">
        <f>AVERAGE('Raw Data'!K5:K7)</f>
        <v>4.9856666666666669</v>
      </c>
      <c r="L5" s="9">
        <f>AVERAGE('Raw Data'!L5:L7)</f>
        <v>0.5</v>
      </c>
      <c r="M5" s="9">
        <f>AVERAGE('Raw Data'!M5:M7)</f>
        <v>0.5</v>
      </c>
      <c r="N5" s="9">
        <f>AVERAGE('Raw Data'!N5:N7)</f>
        <v>0.5</v>
      </c>
      <c r="O5" s="9">
        <f>AVERAGE('Raw Data'!O5:O7)</f>
        <v>1.0449999999999999</v>
      </c>
      <c r="P5" s="9">
        <f>AVERAGE('Raw Data'!P5:P7)</f>
        <v>0.5</v>
      </c>
      <c r="Q5" s="9">
        <f>AVERAGE('Raw Data'!Q5:Q7)</f>
        <v>2.2070000000000003</v>
      </c>
      <c r="R5" s="14">
        <f>AVERAGE('Raw Data'!R5:R7)</f>
        <v>35.777666666666669</v>
      </c>
      <c r="S5" s="14">
        <f>AVERAGE('Raw Data'!S5:S7)</f>
        <v>8.5163333333333338</v>
      </c>
      <c r="T5" s="14">
        <f>AVERAGE('Raw Data'!T5:T7)</f>
        <v>1.5449999999999999</v>
      </c>
      <c r="U5" s="14">
        <f>AVERAGE('Raw Data'!U5:U7)</f>
        <v>48.545999999999992</v>
      </c>
      <c r="W5" s="14">
        <f>AVERAGE('Raw Data'!W5:W7)</f>
        <v>2.7070000000000003</v>
      </c>
    </row>
    <row r="6" spans="1:23" ht="15" customHeight="1" x14ac:dyDescent="0.25">
      <c r="A6" s="10" t="s">
        <v>49</v>
      </c>
      <c r="B6" s="10" t="s">
        <v>44</v>
      </c>
      <c r="C6" s="10" t="s">
        <v>107</v>
      </c>
      <c r="D6" s="9">
        <f>AVERAGE('Raw Data'!D8:D10)</f>
        <v>0.5</v>
      </c>
      <c r="E6" s="9">
        <f>AVERAGE('Raw Data'!E8:E10)</f>
        <v>4.6760000000000002</v>
      </c>
      <c r="F6" s="9">
        <f>AVERAGE('Raw Data'!F8:F10)</f>
        <v>0.5</v>
      </c>
      <c r="G6" s="9">
        <f>AVERAGE('Raw Data'!G8:G10)</f>
        <v>0.5</v>
      </c>
      <c r="H6" s="9">
        <f>AVERAGE('Raw Data'!H8:H10)</f>
        <v>7.261333333333333</v>
      </c>
      <c r="I6" s="9">
        <f>AVERAGE('Raw Data'!I8:I10)</f>
        <v>8.3356666666666666</v>
      </c>
      <c r="J6" s="9">
        <f>AVERAGE('Raw Data'!J8:J10)</f>
        <v>0.5</v>
      </c>
      <c r="K6" s="9">
        <f>AVERAGE('Raw Data'!K8:K10)</f>
        <v>0.98499999999999999</v>
      </c>
      <c r="L6" s="9">
        <f>AVERAGE('Raw Data'!L8:L10)</f>
        <v>0.5</v>
      </c>
      <c r="M6" s="9">
        <f>AVERAGE('Raw Data'!M8:M10)</f>
        <v>0.5</v>
      </c>
      <c r="N6" s="9">
        <f>AVERAGE('Raw Data'!N8:N10)</f>
        <v>0.5</v>
      </c>
      <c r="O6" s="9">
        <f>AVERAGE('Raw Data'!O8:O10)</f>
        <v>0.5</v>
      </c>
      <c r="P6" s="9">
        <f>AVERAGE('Raw Data'!P8:P10)</f>
        <v>0.5</v>
      </c>
      <c r="Q6" s="9">
        <f>AVERAGE('Raw Data'!Q8:Q10)</f>
        <v>0.5</v>
      </c>
      <c r="R6" s="14">
        <f>AVERAGE('Raw Data'!R8:R10)</f>
        <v>21.773</v>
      </c>
      <c r="S6" s="14">
        <f>AVERAGE('Raw Data'!S8:S10)</f>
        <v>2.4849999999999999</v>
      </c>
      <c r="T6" s="14">
        <f>AVERAGE('Raw Data'!T8:T10)</f>
        <v>1</v>
      </c>
      <c r="U6" s="14">
        <f>AVERAGE('Raw Data'!U8:U10)</f>
        <v>26.257999999999999</v>
      </c>
      <c r="W6" s="14">
        <f>AVERAGE('Raw Data'!W8:W10)</f>
        <v>1</v>
      </c>
    </row>
    <row r="7" spans="1:23" ht="15" customHeight="1" x14ac:dyDescent="0.25">
      <c r="A7" s="10" t="s">
        <v>53</v>
      </c>
      <c r="B7" s="10" t="s">
        <v>44</v>
      </c>
      <c r="C7" s="10" t="s">
        <v>108</v>
      </c>
      <c r="D7" s="9">
        <f>AVERAGE('Raw Data'!D11:D13)</f>
        <v>7.5616666666666665</v>
      </c>
      <c r="E7" s="9">
        <f>AVERAGE('Raw Data'!E11:E13)</f>
        <v>11.585333333333333</v>
      </c>
      <c r="F7" s="9">
        <f>AVERAGE('Raw Data'!F11:F13)</f>
        <v>7.0156666666666672</v>
      </c>
      <c r="G7" s="9">
        <f>AVERAGE('Raw Data'!G11:G13)</f>
        <v>8.6126666666666676</v>
      </c>
      <c r="H7" s="9">
        <f>AVERAGE('Raw Data'!H11:H13)</f>
        <v>9.2243333333333339</v>
      </c>
      <c r="I7" s="9">
        <f>AVERAGE('Raw Data'!I11:I13)</f>
        <v>18.710333333333335</v>
      </c>
      <c r="J7" s="9">
        <f>AVERAGE('Raw Data'!J11:J13)</f>
        <v>7.4119999999999999</v>
      </c>
      <c r="K7" s="9">
        <f>AVERAGE('Raw Data'!K11:K13)</f>
        <v>14.601999999999999</v>
      </c>
      <c r="L7" s="9">
        <f>AVERAGE('Raw Data'!L11:L13)</f>
        <v>3.6903333333333337</v>
      </c>
      <c r="M7" s="9">
        <f>AVERAGE('Raw Data'!M11:M13)</f>
        <v>4.2789999999999999</v>
      </c>
      <c r="N7" s="9">
        <f>AVERAGE('Raw Data'!N11:N13)</f>
        <v>4.3643333333333336</v>
      </c>
      <c r="O7" s="9">
        <f>AVERAGE('Raw Data'!O11:O13)</f>
        <v>7.1326666666666663</v>
      </c>
      <c r="P7" s="9">
        <f>AVERAGE('Raw Data'!P11:P13)</f>
        <v>6.7296666666666667</v>
      </c>
      <c r="Q7" s="9">
        <f>AVERAGE('Raw Data'!Q11:Q13)</f>
        <v>9.5573333333333341</v>
      </c>
      <c r="R7" s="14">
        <f>AVERAGE('Raw Data'!R11:R13)</f>
        <v>62.71</v>
      </c>
      <c r="S7" s="14">
        <f>AVERAGE('Raw Data'!S11:S13)</f>
        <v>29.983333333333334</v>
      </c>
      <c r="T7" s="14">
        <f>AVERAGE('Raw Data'!T11:T13)</f>
        <v>11.497</v>
      </c>
      <c r="U7" s="14">
        <f>AVERAGE('Raw Data'!U11:U13)</f>
        <v>120.47733333333333</v>
      </c>
      <c r="W7" s="14">
        <f>AVERAGE('Raw Data'!W11:W13)</f>
        <v>16.286999999999999</v>
      </c>
    </row>
    <row r="8" spans="1:23" ht="15" customHeight="1" x14ac:dyDescent="0.25">
      <c r="A8" s="10" t="s">
        <v>58</v>
      </c>
      <c r="B8" s="10" t="s">
        <v>57</v>
      </c>
      <c r="C8" s="10" t="s">
        <v>109</v>
      </c>
      <c r="D8" s="9">
        <f>AVERAGE('Raw Data'!D14:D16)</f>
        <v>4.2979999999999992</v>
      </c>
      <c r="E8" s="9">
        <f>AVERAGE('Raw Data'!E14:E16)</f>
        <v>6.1230000000000002</v>
      </c>
      <c r="F8" s="9">
        <f>AVERAGE('Raw Data'!F14:F16)</f>
        <v>0.5</v>
      </c>
      <c r="G8" s="9">
        <f>AVERAGE('Raw Data'!G14:G16)</f>
        <v>5.4633333333333338</v>
      </c>
      <c r="H8" s="9">
        <f>AVERAGE('Raw Data'!H14:H16)</f>
        <v>6.5479999999999992</v>
      </c>
      <c r="I8" s="9">
        <f>AVERAGE('Raw Data'!I14:I16)</f>
        <v>13</v>
      </c>
      <c r="J8" s="9">
        <f>AVERAGE('Raw Data'!J14:J16)</f>
        <v>3.0996666666666663</v>
      </c>
      <c r="K8" s="9">
        <f>AVERAGE('Raw Data'!K14:K16)</f>
        <v>6.105666666666667</v>
      </c>
      <c r="L8" s="9">
        <f>AVERAGE('Raw Data'!L14:L16)</f>
        <v>0.5</v>
      </c>
      <c r="M8" s="9">
        <f>AVERAGE('Raw Data'!M14:M16)</f>
        <v>0.5</v>
      </c>
      <c r="N8" s="9">
        <f>AVERAGE('Raw Data'!N14:N16)</f>
        <v>1.1813333333333333</v>
      </c>
      <c r="O8" s="9">
        <f>AVERAGE('Raw Data'!O14:O16)</f>
        <v>3.3569999999999998</v>
      </c>
      <c r="P8" s="9">
        <f>AVERAGE('Raw Data'!P14:P16)</f>
        <v>0.5</v>
      </c>
      <c r="Q8" s="9">
        <f>AVERAGE('Raw Data'!Q14:Q16)</f>
        <v>0.5</v>
      </c>
      <c r="R8" s="14">
        <f>AVERAGE('Raw Data'!R14:R16)</f>
        <v>35.932333333333332</v>
      </c>
      <c r="S8" s="14">
        <f>AVERAGE('Raw Data'!S14:S16)</f>
        <v>10.205333333333334</v>
      </c>
      <c r="T8" s="14">
        <f>AVERAGE('Raw Data'!T14:T16)</f>
        <v>4.5383333333333331</v>
      </c>
      <c r="U8" s="14">
        <f>AVERAGE('Raw Data'!U14:U16)</f>
        <v>51.675999999999995</v>
      </c>
      <c r="W8" s="14">
        <f>AVERAGE('Raw Data'!W14:W16)</f>
        <v>1</v>
      </c>
    </row>
    <row r="9" spans="1:23" ht="15" customHeight="1" x14ac:dyDescent="0.25">
      <c r="A9" s="10" t="s">
        <v>62</v>
      </c>
      <c r="B9" s="10" t="s">
        <v>57</v>
      </c>
      <c r="C9" s="10" t="s">
        <v>110</v>
      </c>
      <c r="D9" s="9">
        <f>AVERAGE('Raw Data'!D17:D19)</f>
        <v>6.0546666666666669</v>
      </c>
      <c r="E9" s="9">
        <f>AVERAGE('Raw Data'!E17:E19)</f>
        <v>8.6763333333333339</v>
      </c>
      <c r="F9" s="9">
        <f>AVERAGE('Raw Data'!F17:F19)</f>
        <v>5.0189999999999992</v>
      </c>
      <c r="G9" s="9">
        <f>AVERAGE('Raw Data'!G17:G19)</f>
        <v>3.3926666666666669</v>
      </c>
      <c r="H9" s="9">
        <f>AVERAGE('Raw Data'!H17:H19)</f>
        <v>7.387999999999999</v>
      </c>
      <c r="I9" s="9">
        <f>AVERAGE('Raw Data'!I17:I19)</f>
        <v>18.89</v>
      </c>
      <c r="J9" s="9">
        <f>AVERAGE('Raw Data'!J17:J19)</f>
        <v>4.0103333333333335</v>
      </c>
      <c r="K9" s="9">
        <f>AVERAGE('Raw Data'!K17:K19)</f>
        <v>7.9003333333333332</v>
      </c>
      <c r="L9" s="9">
        <f>AVERAGE('Raw Data'!L17:L19)</f>
        <v>0.5</v>
      </c>
      <c r="M9" s="9">
        <f>AVERAGE('Raw Data'!M17:M19)</f>
        <v>2.9736666666666665</v>
      </c>
      <c r="N9" s="9">
        <f>AVERAGE('Raw Data'!N17:N19)</f>
        <v>0.5</v>
      </c>
      <c r="O9" s="9">
        <f>AVERAGE('Raw Data'!O17:O19)</f>
        <v>2.5180000000000002</v>
      </c>
      <c r="P9" s="9">
        <f>AVERAGE('Raw Data'!P17:P19)</f>
        <v>1.1856666666666669</v>
      </c>
      <c r="Q9" s="9">
        <f>AVERAGE('Raw Data'!Q17:Q19)</f>
        <v>3.7963333333333331</v>
      </c>
      <c r="R9" s="14">
        <f>AVERAGE('Raw Data'!R17:R19)</f>
        <v>49.420666666666669</v>
      </c>
      <c r="S9" s="14">
        <f>AVERAGE('Raw Data'!S17:S19)</f>
        <v>15.384333333333332</v>
      </c>
      <c r="T9" s="14">
        <f>AVERAGE('Raw Data'!T17:T19)</f>
        <v>3.0180000000000002</v>
      </c>
      <c r="U9" s="14">
        <f>AVERAGE('Raw Data'!U17:U19)</f>
        <v>72.804999999999993</v>
      </c>
      <c r="W9" s="14">
        <f>AVERAGE('Raw Data'!W17:W19)</f>
        <v>4.9820000000000002</v>
      </c>
    </row>
    <row r="10" spans="1:23" ht="15" customHeight="1" x14ac:dyDescent="0.25">
      <c r="A10" s="10" t="s">
        <v>66</v>
      </c>
      <c r="B10" s="10" t="s">
        <v>57</v>
      </c>
      <c r="C10" s="10" t="s">
        <v>111</v>
      </c>
      <c r="D10" s="9">
        <f>AVERAGE('Raw Data'!D20:D22)</f>
        <v>6.5976666666666661</v>
      </c>
      <c r="E10" s="9">
        <f>AVERAGE('Raw Data'!E20:E22)</f>
        <v>9.0756666666666685</v>
      </c>
      <c r="F10" s="9">
        <f>AVERAGE('Raw Data'!F20:F22)</f>
        <v>5.8589999999999991</v>
      </c>
      <c r="G10" s="9">
        <f>AVERAGE('Raw Data'!G20:G22)</f>
        <v>4.7519999999999998</v>
      </c>
      <c r="H10" s="9">
        <f>AVERAGE('Raw Data'!H20:H22)</f>
        <v>7.6419999999999995</v>
      </c>
      <c r="I10" s="9">
        <f>AVERAGE('Raw Data'!I20:I22)</f>
        <v>20.352</v>
      </c>
      <c r="J10" s="9">
        <f>AVERAGE('Raw Data'!J20:J22)</f>
        <v>5.3076666666666661</v>
      </c>
      <c r="K10" s="9">
        <f>AVERAGE('Raw Data'!K20:K22)</f>
        <v>10.522666666666668</v>
      </c>
      <c r="L10" s="9">
        <f>AVERAGE('Raw Data'!L20:L22)</f>
        <v>0.5</v>
      </c>
      <c r="M10" s="9">
        <f>AVERAGE('Raw Data'!M20:M22)</f>
        <v>3.3516666666666666</v>
      </c>
      <c r="N10" s="9">
        <f>AVERAGE('Raw Data'!N20:N22)</f>
        <v>1.5026666666666666</v>
      </c>
      <c r="O10" s="9">
        <f>AVERAGE('Raw Data'!O20:O22)</f>
        <v>0.5</v>
      </c>
      <c r="P10" s="9">
        <f>AVERAGE('Raw Data'!P20:P22)</f>
        <v>1.3339999999999999</v>
      </c>
      <c r="Q10" s="9">
        <f>AVERAGE('Raw Data'!Q20:Q22)</f>
        <v>3.5363333333333333</v>
      </c>
      <c r="R10" s="14">
        <f>AVERAGE('Raw Data'!R20:R22)</f>
        <v>54.278333333333329</v>
      </c>
      <c r="S10" s="14">
        <f>AVERAGE('Raw Data'!S20:S22)</f>
        <v>19.681999999999999</v>
      </c>
      <c r="T10" s="14">
        <f>AVERAGE('Raw Data'!T20:T22)</f>
        <v>2.0026666666666668</v>
      </c>
      <c r="U10" s="14">
        <f>AVERAGE('Raw Data'!U20:U22)</f>
        <v>80.833333333333329</v>
      </c>
      <c r="W10" s="14">
        <f>AVERAGE('Raw Data'!W20:W22)</f>
        <v>4.8703333333333338</v>
      </c>
    </row>
    <row r="11" spans="1:23" ht="15" customHeight="1" x14ac:dyDescent="0.25">
      <c r="A11" s="10" t="s">
        <v>71</v>
      </c>
      <c r="B11" s="10" t="s">
        <v>70</v>
      </c>
      <c r="C11" s="10" t="s">
        <v>112</v>
      </c>
      <c r="D11" s="9">
        <f>AVERAGE('Raw Data'!D23:D25)</f>
        <v>8.3486666666666682</v>
      </c>
      <c r="E11" s="9">
        <f>AVERAGE('Raw Data'!E23:E25)</f>
        <v>8.9196666666666662</v>
      </c>
      <c r="F11" s="9">
        <f>AVERAGE('Raw Data'!F23:F25)</f>
        <v>0.5</v>
      </c>
      <c r="G11" s="9">
        <f>AVERAGE('Raw Data'!G23:G25)</f>
        <v>5.0226666666666668</v>
      </c>
      <c r="H11" s="9">
        <f>AVERAGE('Raw Data'!H23:H25)</f>
        <v>7.5989999999999993</v>
      </c>
      <c r="I11" s="9">
        <f>AVERAGE('Raw Data'!I23:I25)</f>
        <v>19.880666666666666</v>
      </c>
      <c r="J11" s="9">
        <f>AVERAGE('Raw Data'!J23:J25)</f>
        <v>6.7890000000000006</v>
      </c>
      <c r="K11" s="9">
        <f>AVERAGE('Raw Data'!K23:K25)</f>
        <v>13.374333333333334</v>
      </c>
      <c r="L11" s="9">
        <f>AVERAGE('Raw Data'!L23:L25)</f>
        <v>2.7393333333333332</v>
      </c>
      <c r="M11" s="9">
        <f>AVERAGE('Raw Data'!M23:M25)</f>
        <v>3.1933333333333334</v>
      </c>
      <c r="N11" s="9">
        <f>AVERAGE('Raw Data'!N23:N25)</f>
        <v>1.7313333333333334</v>
      </c>
      <c r="O11" s="9">
        <f>AVERAGE('Raw Data'!O23:O25)</f>
        <v>3.690666666666667</v>
      </c>
      <c r="P11" s="9">
        <f>AVERAGE('Raw Data'!P23:P25)</f>
        <v>0.5</v>
      </c>
      <c r="Q11" s="9">
        <f>AVERAGE('Raw Data'!Q23:Q25)</f>
        <v>3.1716666666666669</v>
      </c>
      <c r="R11" s="14">
        <f>AVERAGE('Raw Data'!R23:R25)</f>
        <v>50.270666666666671</v>
      </c>
      <c r="S11" s="14">
        <f>AVERAGE('Raw Data'!S23:S25)</f>
        <v>26.096</v>
      </c>
      <c r="T11" s="14">
        <f>AVERAGE('Raw Data'!T23:T25)</f>
        <v>5.4219999999999997</v>
      </c>
      <c r="U11" s="14">
        <f>AVERAGE('Raw Data'!U23:U25)</f>
        <v>85.460333333333324</v>
      </c>
      <c r="W11" s="14">
        <f>AVERAGE('Raw Data'!W23:W25)</f>
        <v>3.6716666666666664</v>
      </c>
    </row>
    <row r="12" spans="1:23" ht="15" customHeight="1" x14ac:dyDescent="0.25">
      <c r="A12" s="10" t="s">
        <v>75</v>
      </c>
      <c r="B12" s="10" t="s">
        <v>70</v>
      </c>
      <c r="C12" s="10" t="s">
        <v>113</v>
      </c>
      <c r="D12" s="9">
        <f>AVERAGE('Raw Data'!D26:D28)</f>
        <v>9.2173333333333325</v>
      </c>
      <c r="E12" s="9">
        <f>AVERAGE('Raw Data'!E26:E28)</f>
        <v>8.7166666666666668</v>
      </c>
      <c r="F12" s="9">
        <f>AVERAGE('Raw Data'!F26:F28)</f>
        <v>8.5176666666666652</v>
      </c>
      <c r="G12" s="9">
        <f>AVERAGE('Raw Data'!G26:G28)</f>
        <v>5.1293333333333333</v>
      </c>
      <c r="H12" s="9">
        <f>AVERAGE('Raw Data'!H26:H28)</f>
        <v>8.1310000000000002</v>
      </c>
      <c r="I12" s="9">
        <f>AVERAGE('Raw Data'!I26:I28)</f>
        <v>20.945666666666668</v>
      </c>
      <c r="J12" s="9">
        <f>AVERAGE('Raw Data'!J26:J28)</f>
        <v>5.839666666666667</v>
      </c>
      <c r="K12" s="9">
        <f>AVERAGE('Raw Data'!K26:K28)</f>
        <v>11.503666666666668</v>
      </c>
      <c r="L12" s="9">
        <f>AVERAGE('Raw Data'!L26:L28)</f>
        <v>2.33</v>
      </c>
      <c r="M12" s="9">
        <f>AVERAGE('Raw Data'!M26:M28)</f>
        <v>5.4856666666666669</v>
      </c>
      <c r="N12" s="9">
        <f>AVERAGE('Raw Data'!N26:N28)</f>
        <v>2.0963333333333334</v>
      </c>
      <c r="O12" s="9">
        <f>AVERAGE('Raw Data'!O26:O28)</f>
        <v>3.7639999999999998</v>
      </c>
      <c r="P12" s="9">
        <f>AVERAGE('Raw Data'!P26:P28)</f>
        <v>3.3260000000000001</v>
      </c>
      <c r="Q12" s="9">
        <f>AVERAGE('Raw Data'!Q26:Q28)</f>
        <v>5.7333333333333334</v>
      </c>
      <c r="R12" s="14">
        <f>AVERAGE('Raw Data'!R26:R28)</f>
        <v>60.657666666666664</v>
      </c>
      <c r="S12" s="14">
        <f>AVERAGE('Raw Data'!S26:S28)</f>
        <v>25.159000000000002</v>
      </c>
      <c r="T12" s="14">
        <f>AVERAGE('Raw Data'!T26:T28)</f>
        <v>5.8603333333333332</v>
      </c>
      <c r="U12" s="14">
        <f>AVERAGE('Raw Data'!U26:U28)</f>
        <v>100.73633333333333</v>
      </c>
      <c r="W12" s="14">
        <f>AVERAGE('Raw Data'!W26:W28)</f>
        <v>9.059333333333333</v>
      </c>
    </row>
    <row r="13" spans="1:23" ht="15" customHeight="1" x14ac:dyDescent="0.25">
      <c r="A13" s="10" t="s">
        <v>79</v>
      </c>
      <c r="B13" s="10" t="s">
        <v>70</v>
      </c>
      <c r="C13" s="10" t="s">
        <v>114</v>
      </c>
      <c r="D13" s="9">
        <f>AVERAGE('Raw Data'!D29:D31)</f>
        <v>9.4560000000000013</v>
      </c>
      <c r="E13" s="9">
        <f>AVERAGE('Raw Data'!E29:E31)</f>
        <v>10.034666666666666</v>
      </c>
      <c r="F13" s="9">
        <f>AVERAGE('Raw Data'!F29:F31)</f>
        <v>6.3860000000000001</v>
      </c>
      <c r="G13" s="9">
        <f>AVERAGE('Raw Data'!G29:G31)</f>
        <v>8.6613333333333333</v>
      </c>
      <c r="H13" s="9">
        <f>AVERAGE('Raw Data'!H29:H31)</f>
        <v>9.2606666666666673</v>
      </c>
      <c r="I13" s="9">
        <f>AVERAGE('Raw Data'!I29:I31)</f>
        <v>21.23</v>
      </c>
      <c r="J13" s="9">
        <f>AVERAGE('Raw Data'!J29:J31)</f>
        <v>7.4593333333333334</v>
      </c>
      <c r="K13" s="9">
        <f>AVERAGE('Raw Data'!K29:K31)</f>
        <v>14.695666666666668</v>
      </c>
      <c r="L13" s="9">
        <f>AVERAGE('Raw Data'!L29:L31)</f>
        <v>2.2613333333333334</v>
      </c>
      <c r="M13" s="9">
        <f>AVERAGE('Raw Data'!M29:M31)</f>
        <v>6.0459999999999994</v>
      </c>
      <c r="N13" s="9">
        <f>AVERAGE('Raw Data'!N29:N31)</f>
        <v>3.3306666666666671</v>
      </c>
      <c r="O13" s="9">
        <f>AVERAGE('Raw Data'!O29:O31)</f>
        <v>4.6463333333333336</v>
      </c>
      <c r="P13" s="9">
        <f>AVERAGE('Raw Data'!P29:P31)</f>
        <v>2.8656666666666673</v>
      </c>
      <c r="Q13" s="9">
        <f>AVERAGE('Raw Data'!Q29:Q31)</f>
        <v>5.407</v>
      </c>
      <c r="R13" s="14">
        <f>AVERAGE('Raw Data'!R29:R31)</f>
        <v>65.028666666666666</v>
      </c>
      <c r="S13" s="14">
        <f>AVERAGE('Raw Data'!S29:S31)</f>
        <v>30.462333333333333</v>
      </c>
      <c r="T13" s="14">
        <f>AVERAGE('Raw Data'!T29:T31)</f>
        <v>7.9769999999999994</v>
      </c>
      <c r="U13" s="14">
        <f>AVERAGE('Raw Data'!U29:U31)</f>
        <v>111.74066666666666</v>
      </c>
      <c r="W13" s="14">
        <f>AVERAGE('Raw Data'!W29:W31)</f>
        <v>8.2726666666666677</v>
      </c>
    </row>
    <row r="14" spans="1:23" ht="15" customHeight="1" x14ac:dyDescent="0.25">
      <c r="A14" s="10" t="s">
        <v>83</v>
      </c>
      <c r="B14" s="10" t="s">
        <v>70</v>
      </c>
      <c r="C14" s="10" t="s">
        <v>115</v>
      </c>
      <c r="D14" s="9">
        <f>AVERAGE('Raw Data'!D32:D34)</f>
        <v>9.984</v>
      </c>
      <c r="E14" s="9">
        <f>AVERAGE('Raw Data'!E32:E34)</f>
        <v>13.183666666666667</v>
      </c>
      <c r="F14" s="9">
        <f>AVERAGE('Raw Data'!F32:F34)</f>
        <v>9.1683333333333348</v>
      </c>
      <c r="G14" s="9">
        <f>AVERAGE('Raw Data'!G32:G34)</f>
        <v>6.5249999999999995</v>
      </c>
      <c r="H14" s="9">
        <f>AVERAGE('Raw Data'!H32:H34)</f>
        <v>9.1703333333333337</v>
      </c>
      <c r="I14" s="9">
        <f>AVERAGE('Raw Data'!I32:I34)</f>
        <v>23.928666666666668</v>
      </c>
      <c r="J14" s="9">
        <f>AVERAGE('Raw Data'!J32:J34)</f>
        <v>6.7353333333333332</v>
      </c>
      <c r="K14" s="9">
        <f>AVERAGE('Raw Data'!K32:K34)</f>
        <v>13.335666666666667</v>
      </c>
      <c r="L14" s="9">
        <f>AVERAGE('Raw Data'!L32:L34)</f>
        <v>3.5483333333333333</v>
      </c>
      <c r="M14" s="9">
        <f>AVERAGE('Raw Data'!M32:M34)</f>
        <v>8.250333333333332</v>
      </c>
      <c r="N14" s="9">
        <f>AVERAGE('Raw Data'!N32:N34)</f>
        <v>4.323666666666667</v>
      </c>
      <c r="O14" s="9">
        <f>AVERAGE('Raw Data'!O32:O34)</f>
        <v>7.2303333333333333</v>
      </c>
      <c r="P14" s="9">
        <f>AVERAGE('Raw Data'!P32:P34)</f>
        <v>4.9573333333333336</v>
      </c>
      <c r="Q14" s="9">
        <f>AVERAGE('Raw Data'!Q32:Q34)</f>
        <v>8.24</v>
      </c>
      <c r="R14" s="14">
        <f>AVERAGE('Raw Data'!R32:R34)</f>
        <v>71.959999999999994</v>
      </c>
      <c r="S14" s="14">
        <f>AVERAGE('Raw Data'!S32:S34)</f>
        <v>31.869666666666664</v>
      </c>
      <c r="T14" s="14">
        <f>AVERAGE('Raw Data'!T32:T34)</f>
        <v>11.554</v>
      </c>
      <c r="U14" s="14">
        <f>AVERAGE('Raw Data'!U32:U34)</f>
        <v>128.58099999999999</v>
      </c>
      <c r="W14" s="14">
        <f>AVERAGE('Raw Data'!W32:W34)</f>
        <v>13.197333333333333</v>
      </c>
    </row>
    <row r="15" spans="1:23" ht="15" customHeight="1" x14ac:dyDescent="0.25">
      <c r="A15" s="10" t="s">
        <v>87</v>
      </c>
      <c r="B15" s="10" t="s">
        <v>70</v>
      </c>
      <c r="C15" s="10" t="s">
        <v>116</v>
      </c>
      <c r="D15" s="9">
        <f>AVERAGE('Raw Data'!D35:D37)</f>
        <v>12.125666666666667</v>
      </c>
      <c r="E15" s="9">
        <f>AVERAGE('Raw Data'!E35:E37)</f>
        <v>13.853</v>
      </c>
      <c r="F15" s="9">
        <f>AVERAGE('Raw Data'!F35:F37)</f>
        <v>11.514000000000001</v>
      </c>
      <c r="G15" s="9">
        <f>AVERAGE('Raw Data'!G35:G37)</f>
        <v>9.3116666666666674</v>
      </c>
      <c r="H15" s="9">
        <f>AVERAGE('Raw Data'!H35:H37)</f>
        <v>11.402666666666667</v>
      </c>
      <c r="I15" s="9">
        <f>AVERAGE('Raw Data'!I35:I37)</f>
        <v>29.953333333333333</v>
      </c>
      <c r="J15" s="9">
        <f>AVERAGE('Raw Data'!J35:J37)</f>
        <v>8.4113333333333333</v>
      </c>
      <c r="K15" s="9">
        <f>AVERAGE('Raw Data'!K35:K37)</f>
        <v>16.603666666666669</v>
      </c>
      <c r="L15" s="9">
        <f>AVERAGE('Raw Data'!L35:L37)</f>
        <v>4.4656666666666665</v>
      </c>
      <c r="M15" s="9">
        <f>AVERAGE('Raw Data'!M35:M37)</f>
        <v>15.354666666666667</v>
      </c>
      <c r="N15" s="9">
        <f>AVERAGE('Raw Data'!N35:N37)</f>
        <v>7.7853333333333339</v>
      </c>
      <c r="O15" s="9">
        <f>AVERAGE('Raw Data'!O35:O37)</f>
        <v>10.729999999999999</v>
      </c>
      <c r="P15" s="9">
        <f>AVERAGE('Raw Data'!P35:P37)</f>
        <v>9.1616666666666671</v>
      </c>
      <c r="Q15" s="9">
        <f>AVERAGE('Raw Data'!Q35:Q37)</f>
        <v>13.557666666666668</v>
      </c>
      <c r="R15" s="14">
        <f>AVERAGE('Raw Data'!R35:R37)</f>
        <v>88.160333333333327</v>
      </c>
      <c r="S15" s="14">
        <f>AVERAGE('Raw Data'!S35:S37)</f>
        <v>44.835333333333331</v>
      </c>
      <c r="T15" s="14">
        <f>AVERAGE('Raw Data'!T35:T37)</f>
        <v>18.515333333333334</v>
      </c>
      <c r="U15" s="14">
        <f>AVERAGE('Raw Data'!U35:U37)</f>
        <v>174.23033333333333</v>
      </c>
      <c r="W15" s="14">
        <f>AVERAGE('Raw Data'!W35:W37)</f>
        <v>22.719333333333335</v>
      </c>
    </row>
    <row r="18" spans="1:23" ht="23.25" customHeight="1" x14ac:dyDescent="0.25">
      <c r="A18" s="6" t="s">
        <v>117</v>
      </c>
      <c r="B18" s="6" t="s">
        <v>22</v>
      </c>
      <c r="C18" s="6" t="s">
        <v>105</v>
      </c>
      <c r="D18" s="6" t="s">
        <v>25</v>
      </c>
      <c r="E18" s="6" t="s">
        <v>26</v>
      </c>
      <c r="F18" s="6" t="s">
        <v>27</v>
      </c>
      <c r="G18" s="6" t="s">
        <v>28</v>
      </c>
      <c r="H18" s="6" t="s">
        <v>29</v>
      </c>
      <c r="I18" s="6" t="s">
        <v>30</v>
      </c>
      <c r="J18" s="6" t="s">
        <v>31</v>
      </c>
      <c r="K18" s="6" t="s">
        <v>32</v>
      </c>
      <c r="L18" s="6" t="s">
        <v>33</v>
      </c>
      <c r="M18" s="6" t="s">
        <v>34</v>
      </c>
      <c r="N18" s="6" t="s">
        <v>35</v>
      </c>
      <c r="O18" s="6" t="s">
        <v>36</v>
      </c>
      <c r="P18" s="6" t="s">
        <v>37</v>
      </c>
      <c r="Q18" s="6" t="s">
        <v>38</v>
      </c>
      <c r="R18" s="6" t="s">
        <v>39</v>
      </c>
      <c r="S18" s="6" t="s">
        <v>40</v>
      </c>
      <c r="T18" s="6" t="s">
        <v>429</v>
      </c>
      <c r="U18" s="6" t="s">
        <v>42</v>
      </c>
      <c r="W18" s="6" t="s">
        <v>430</v>
      </c>
    </row>
    <row r="19" spans="1:23" ht="15" customHeight="1" x14ac:dyDescent="0.25">
      <c r="A19" s="10" t="s">
        <v>45</v>
      </c>
      <c r="B19" s="10" t="s">
        <v>44</v>
      </c>
      <c r="C19" s="10" t="s">
        <v>106</v>
      </c>
      <c r="D19" s="9">
        <f>STDEV('Raw Data'!D5:D7)</f>
        <v>1.2689292073765712</v>
      </c>
      <c r="E19" s="9">
        <f>STDEV('Raw Data'!E5:E7)</f>
        <v>0.50496171472036733</v>
      </c>
      <c r="F19" s="9">
        <f>STDEV('Raw Data'!F5:F7)</f>
        <v>1.5234481721848405</v>
      </c>
      <c r="G19" s="9">
        <f>STDEV('Raw Data'!G5:G7)</f>
        <v>1.3511733172814424</v>
      </c>
      <c r="H19" s="9">
        <f>STDEV('Raw Data'!H5:H7)</f>
        <v>0.42959321844430143</v>
      </c>
      <c r="I19" s="9">
        <f>STDEV('Raw Data'!I5:I7)</f>
        <v>1.5407028699049696</v>
      </c>
      <c r="J19" s="9">
        <f>STDEV('Raw Data'!J5:J7)</f>
        <v>0.65953493715900513</v>
      </c>
      <c r="K19" s="9">
        <f>STDEV('Raw Data'!K5:K7)</f>
        <v>1.2996747028904301</v>
      </c>
      <c r="L19" s="9">
        <f>STDEV('Raw Data'!L5:L7)</f>
        <v>0</v>
      </c>
      <c r="M19" s="9">
        <f>STDEV('Raw Data'!M5:M7)</f>
        <v>0</v>
      </c>
      <c r="N19" s="9">
        <f>STDEV('Raw Data'!N5:N7)</f>
        <v>0</v>
      </c>
      <c r="O19" s="9">
        <f>STDEV('Raw Data'!O5:O7)</f>
        <v>0.47261929710920669</v>
      </c>
      <c r="P19" s="9">
        <f>STDEV('Raw Data'!P5:P7)</f>
        <v>0</v>
      </c>
      <c r="Q19" s="9">
        <f>STDEV('Raw Data'!Q5:Q7)</f>
        <v>0.34245145641389813</v>
      </c>
      <c r="R19" s="14">
        <f>STDEV('Raw Data'!R5:R7)</f>
        <v>4.2214317871231009</v>
      </c>
      <c r="S19" s="14">
        <f>STDEV('Raw Data'!S5:S7)</f>
        <v>1.9592096195489965</v>
      </c>
      <c r="T19" s="14">
        <f>STDEV('Raw Data'!T5:T7)</f>
        <v>0.47261929710920647</v>
      </c>
      <c r="U19" s="14">
        <f>STDEV('Raw Data'!U5:U7)</f>
        <v>3.6458410552299232</v>
      </c>
      <c r="W19" s="14">
        <f>STDEV('Raw Data'!W5:W7)</f>
        <v>0.3424514564138994</v>
      </c>
    </row>
    <row r="20" spans="1:23" ht="15" customHeight="1" x14ac:dyDescent="0.25">
      <c r="A20" s="10" t="s">
        <v>49</v>
      </c>
      <c r="B20" s="10" t="s">
        <v>44</v>
      </c>
      <c r="C20" s="10" t="s">
        <v>107</v>
      </c>
      <c r="D20" s="9">
        <f>STDEV('Raw Data'!D8:D10)</f>
        <v>0</v>
      </c>
      <c r="E20" s="9">
        <f>STDEV('Raw Data'!E8:E10)</f>
        <v>0.37471589237714514</v>
      </c>
      <c r="F20" s="9">
        <f>STDEV('Raw Data'!F8:F10)</f>
        <v>0</v>
      </c>
      <c r="G20" s="9">
        <f>STDEV('Raw Data'!G8:G10)</f>
        <v>0</v>
      </c>
      <c r="H20" s="9">
        <f>STDEV('Raw Data'!H8:H10)</f>
        <v>0.16159311041419247</v>
      </c>
      <c r="I20" s="9">
        <f>STDEV('Raw Data'!I8:I10)</f>
        <v>0.41056343399447248</v>
      </c>
      <c r="J20" s="9">
        <f>STDEV('Raw Data'!J8:J10)</f>
        <v>0</v>
      </c>
      <c r="K20" s="9">
        <f>STDEV('Raw Data'!K8:K10)</f>
        <v>0</v>
      </c>
      <c r="L20" s="9">
        <f>STDEV('Raw Data'!L8:L10)</f>
        <v>0</v>
      </c>
      <c r="M20" s="9">
        <f>STDEV('Raw Data'!M8:M10)</f>
        <v>0</v>
      </c>
      <c r="N20" s="9">
        <f>STDEV('Raw Data'!N8:N10)</f>
        <v>0</v>
      </c>
      <c r="O20" s="9">
        <f>STDEV('Raw Data'!O8:O10)</f>
        <v>0</v>
      </c>
      <c r="P20" s="9">
        <f>STDEV('Raw Data'!P8:P10)</f>
        <v>0</v>
      </c>
      <c r="Q20" s="9">
        <f>STDEV('Raw Data'!Q8:Q10)</f>
        <v>0</v>
      </c>
      <c r="R20" s="14">
        <f>STDEV('Raw Data'!R8:R10)</f>
        <v>0.62275838011222329</v>
      </c>
      <c r="S20" s="14">
        <f>STDEV('Raw Data'!S8:S10)</f>
        <v>0</v>
      </c>
      <c r="T20" s="14">
        <f>STDEV('Raw Data'!T8:T10)</f>
        <v>0</v>
      </c>
      <c r="U20" s="14">
        <f>STDEV('Raw Data'!U8:U10)</f>
        <v>0.62275838011222329</v>
      </c>
      <c r="W20" s="14">
        <f>STDEV('Raw Data'!W8:W10)</f>
        <v>0</v>
      </c>
    </row>
    <row r="21" spans="1:23" ht="15" customHeight="1" x14ac:dyDescent="0.25">
      <c r="A21" s="10" t="s">
        <v>53</v>
      </c>
      <c r="B21" s="10" t="s">
        <v>44</v>
      </c>
      <c r="C21" s="10" t="s">
        <v>108</v>
      </c>
      <c r="D21" s="9">
        <f>STDEV('Raw Data'!D11:D13)</f>
        <v>0.31642745350764556</v>
      </c>
      <c r="E21" s="9">
        <f>STDEV('Raw Data'!E11:E13)</f>
        <v>2.2980609942587149</v>
      </c>
      <c r="F21" s="9">
        <f>STDEV('Raw Data'!F11:F13)</f>
        <v>1.233942597260236</v>
      </c>
      <c r="G21" s="9">
        <f>STDEV('Raw Data'!G11:G13)</f>
        <v>0.31858646131518747</v>
      </c>
      <c r="H21" s="9">
        <f>STDEV('Raw Data'!H11:H13)</f>
        <v>6.2171804970848968E-2</v>
      </c>
      <c r="I21" s="9">
        <f>STDEV('Raw Data'!I11:I13)</f>
        <v>0.73228022869208598</v>
      </c>
      <c r="J21" s="9">
        <f>STDEV('Raw Data'!J11:J13)</f>
        <v>0.49180788932265035</v>
      </c>
      <c r="K21" s="9">
        <f>STDEV('Raw Data'!K11:K13)</f>
        <v>0.9695096698847312</v>
      </c>
      <c r="L21" s="9">
        <f>STDEV('Raw Data'!L11:L13)</f>
        <v>1.1655446509393477</v>
      </c>
      <c r="M21" s="9">
        <f>STDEV('Raw Data'!M11:M13)</f>
        <v>0.12126005112979292</v>
      </c>
      <c r="N21" s="9">
        <f>STDEV('Raw Data'!N11:N13)</f>
        <v>0.51154797754788695</v>
      </c>
      <c r="O21" s="9">
        <f>STDEV('Raw Data'!O11:O13)</f>
        <v>0.98460465839510292</v>
      </c>
      <c r="P21" s="9">
        <f>STDEV('Raw Data'!P11:P13)</f>
        <v>8.0307741428416193E-2</v>
      </c>
      <c r="Q21" s="9">
        <f>STDEV('Raw Data'!Q11:Q13)</f>
        <v>1.5250561738287782</v>
      </c>
      <c r="R21" s="14">
        <f>STDEV('Raw Data'!R11:R13)</f>
        <v>3.2766109015261469</v>
      </c>
      <c r="S21" s="14">
        <f>STDEV('Raw Data'!S11:S13)</f>
        <v>1.9657192915910802</v>
      </c>
      <c r="T21" s="14">
        <f>STDEV('Raw Data'!T11:T13)</f>
        <v>0.47819974905890555</v>
      </c>
      <c r="U21" s="14">
        <f>STDEV('Raw Data'!U11:U13)</f>
        <v>6.4892343410708468</v>
      </c>
      <c r="W21" s="14">
        <f>STDEV('Raw Data'!W11:W13)</f>
        <v>1.4470932934679783</v>
      </c>
    </row>
    <row r="22" spans="1:23" ht="15" customHeight="1" x14ac:dyDescent="0.25">
      <c r="A22" s="10" t="s">
        <v>58</v>
      </c>
      <c r="B22" s="10" t="s">
        <v>57</v>
      </c>
      <c r="C22" s="10" t="s">
        <v>109</v>
      </c>
      <c r="D22" s="9">
        <f>STDEV('Raw Data'!D14:D16)</f>
        <v>1.1893910206488036</v>
      </c>
      <c r="E22" s="9">
        <f>STDEV('Raw Data'!E14:E16)</f>
        <v>1.2247697742841286</v>
      </c>
      <c r="F22" s="9">
        <f>STDEV('Raw Data'!F14:F16)</f>
        <v>0</v>
      </c>
      <c r="G22" s="9">
        <f>STDEV('Raw Data'!G14:G16)</f>
        <v>1.949728528111883</v>
      </c>
      <c r="H22" s="9">
        <f>STDEV('Raw Data'!H14:H16)</f>
        <v>0.32565011899276219</v>
      </c>
      <c r="I22" s="9">
        <f>STDEV('Raw Data'!I14:I16)</f>
        <v>3.4306076721187377</v>
      </c>
      <c r="J22" s="9">
        <f>STDEV('Raw Data'!J14:J16)</f>
        <v>0.883212507459748</v>
      </c>
      <c r="K22" s="9">
        <f>STDEV('Raw Data'!K14:K16)</f>
        <v>1.7409713763681862</v>
      </c>
      <c r="L22" s="9">
        <f>STDEV('Raw Data'!L14:L16)</f>
        <v>0</v>
      </c>
      <c r="M22" s="9">
        <f>STDEV('Raw Data'!M14:M16)</f>
        <v>0</v>
      </c>
      <c r="N22" s="9">
        <f>STDEV('Raw Data'!N14:N16)</f>
        <v>0.71794312680973071</v>
      </c>
      <c r="O22" s="9">
        <f>STDEV('Raw Data'!O14:O16)</f>
        <v>0.57780013845619771</v>
      </c>
      <c r="P22" s="9">
        <f>STDEV('Raw Data'!P14:P16)</f>
        <v>0</v>
      </c>
      <c r="Q22" s="9">
        <f>STDEV('Raw Data'!Q14:Q16)</f>
        <v>0</v>
      </c>
      <c r="R22" s="14">
        <f>STDEV('Raw Data'!R14:R16)</f>
        <v>5.776513683298373</v>
      </c>
      <c r="S22" s="14">
        <f>STDEV('Raw Data'!S14:S16)</f>
        <v>2.6241837461072199</v>
      </c>
      <c r="T22" s="14">
        <f>STDEV('Raw Data'!T14:T16)</f>
        <v>1.0332716648265046</v>
      </c>
      <c r="U22" s="14">
        <f>STDEV('Raw Data'!U14:U16)</f>
        <v>5.1195791819250154</v>
      </c>
      <c r="W22" s="14">
        <f>STDEV('Raw Data'!W14:W16)</f>
        <v>0</v>
      </c>
    </row>
    <row r="23" spans="1:23" ht="15" customHeight="1" x14ac:dyDescent="0.25">
      <c r="A23" s="10" t="s">
        <v>62</v>
      </c>
      <c r="B23" s="10" t="s">
        <v>57</v>
      </c>
      <c r="C23" s="10" t="s">
        <v>110</v>
      </c>
      <c r="D23" s="9">
        <f>STDEV('Raw Data'!D17:D19)</f>
        <v>0.97643910887127117</v>
      </c>
      <c r="E23" s="9">
        <f>STDEV('Raw Data'!E17:E19)</f>
        <v>0.63162831897670135</v>
      </c>
      <c r="F23" s="9">
        <f>STDEV('Raw Data'!F17:F19)</f>
        <v>1.7718950307509753</v>
      </c>
      <c r="G23" s="9">
        <f>STDEV('Raw Data'!G17:G19)</f>
        <v>2.572067132353534</v>
      </c>
      <c r="H23" s="9">
        <f>STDEV('Raw Data'!H17:H19)</f>
        <v>0.45816045224353419</v>
      </c>
      <c r="I23" s="9">
        <f>STDEV('Raw Data'!I17:I19)</f>
        <v>1.3925778254733203</v>
      </c>
      <c r="J23" s="9">
        <f>STDEV('Raw Data'!J17:J19)</f>
        <v>0.88220991455170572</v>
      </c>
      <c r="K23" s="9">
        <f>STDEV('Raw Data'!K17:K19)</f>
        <v>1.737843587131285</v>
      </c>
      <c r="L23" s="9">
        <f>STDEV('Raw Data'!L17:L19)</f>
        <v>0</v>
      </c>
      <c r="M23" s="9">
        <f>STDEV('Raw Data'!M17:M19)</f>
        <v>6.4933299110189552E-2</v>
      </c>
      <c r="N23" s="9">
        <f>STDEV('Raw Data'!N17:N19)</f>
        <v>0</v>
      </c>
      <c r="O23" s="9">
        <f>STDEV('Raw Data'!O17:O19)</f>
        <v>0.5597963915567884</v>
      </c>
      <c r="P23" s="9">
        <f>STDEV('Raw Data'!P17:P19)</f>
        <v>0.62240367393945639</v>
      </c>
      <c r="Q23" s="9">
        <f>STDEV('Raw Data'!Q17:Q19)</f>
        <v>0.50292577318460452</v>
      </c>
      <c r="R23" s="14">
        <f>STDEV('Raw Data'!R17:R19)</f>
        <v>4.0077552736330295</v>
      </c>
      <c r="S23" s="14">
        <f>STDEV('Raw Data'!S17:S19)</f>
        <v>2.5723952521596232</v>
      </c>
      <c r="T23" s="14">
        <f>STDEV('Raw Data'!T17:T19)</f>
        <v>0.55979639155678673</v>
      </c>
      <c r="U23" s="14">
        <f>STDEV('Raw Data'!U17:U19)</f>
        <v>6.1899366717277493</v>
      </c>
      <c r="W23" s="14">
        <f>STDEV('Raw Data'!W17:W19)</f>
        <v>0.52294263547735309</v>
      </c>
    </row>
    <row r="24" spans="1:23" ht="15" customHeight="1" x14ac:dyDescent="0.25">
      <c r="A24" s="10" t="s">
        <v>66</v>
      </c>
      <c r="B24" s="10" t="s">
        <v>57</v>
      </c>
      <c r="C24" s="10" t="s">
        <v>111</v>
      </c>
      <c r="D24" s="9">
        <f>STDEV('Raw Data'!D20:D22)</f>
        <v>1.5728243173772885</v>
      </c>
      <c r="E24" s="9">
        <f>STDEV('Raw Data'!E20:E22)</f>
        <v>1.4607838078693576</v>
      </c>
      <c r="F24" s="9">
        <f>STDEV('Raw Data'!F20:F22)</f>
        <v>2.4435163187505031</v>
      </c>
      <c r="G24" s="9">
        <f>STDEV('Raw Data'!G20:G22)</f>
        <v>0.70522620484494569</v>
      </c>
      <c r="H24" s="9">
        <f>STDEV('Raw Data'!H20:H22)</f>
        <v>2.0275297778331152</v>
      </c>
      <c r="I24" s="9">
        <f>STDEV('Raw Data'!I20:I22)</f>
        <v>0.76907151813079144</v>
      </c>
      <c r="J24" s="9">
        <f>STDEV('Raw Data'!J20:J22)</f>
        <v>1.3347308093144998</v>
      </c>
      <c r="K24" s="9">
        <f>STDEV('Raw Data'!K20:K22)</f>
        <v>2.7341288070120857</v>
      </c>
      <c r="L24" s="9">
        <f>STDEV('Raw Data'!L20:L22)</f>
        <v>0</v>
      </c>
      <c r="M24" s="9">
        <f>STDEV('Raw Data'!M20:M22)</f>
        <v>0.38765491527044171</v>
      </c>
      <c r="N24" s="9">
        <f>STDEV('Raw Data'!N20:N22)</f>
        <v>0.88171102597922224</v>
      </c>
      <c r="O24" s="9">
        <f>STDEV('Raw Data'!O20:O22)</f>
        <v>0</v>
      </c>
      <c r="P24" s="9">
        <f>STDEV('Raw Data'!P20:P22)</f>
        <v>0.72233441008995281</v>
      </c>
      <c r="Q24" s="9">
        <f>STDEV('Raw Data'!Q20:Q22)</f>
        <v>0.40174162509420586</v>
      </c>
      <c r="R24" s="14">
        <f>STDEV('Raw Data'!R20:R22)</f>
        <v>3.1427100301067088</v>
      </c>
      <c r="S24" s="14">
        <f>STDEV('Raw Data'!S20:S22)</f>
        <v>3.753280698269172</v>
      </c>
      <c r="T24" s="14">
        <f>STDEV('Raw Data'!T20:T22)</f>
        <v>0.8817110259792228</v>
      </c>
      <c r="U24" s="14">
        <f>STDEV('Raw Data'!U20:U22)</f>
        <v>3.0524957548428042</v>
      </c>
      <c r="W24" s="14">
        <f>STDEV('Raw Data'!W20:W22)</f>
        <v>1.046825837154076</v>
      </c>
    </row>
    <row r="25" spans="1:23" ht="15" customHeight="1" x14ac:dyDescent="0.25">
      <c r="A25" s="10" t="s">
        <v>71</v>
      </c>
      <c r="B25" s="10" t="s">
        <v>70</v>
      </c>
      <c r="C25" s="10" t="s">
        <v>112</v>
      </c>
      <c r="D25" s="9">
        <f>STDEV('Raw Data'!D23:D25)</f>
        <v>1.2350742217912667</v>
      </c>
      <c r="E25" s="9">
        <f>STDEV('Raw Data'!E23:E25)</f>
        <v>1.0755930147287742</v>
      </c>
      <c r="F25" s="9">
        <f>STDEV('Raw Data'!F23:F25)</f>
        <v>0</v>
      </c>
      <c r="G25" s="9">
        <f>STDEV('Raw Data'!G23:G25)</f>
        <v>2.0443877649147972</v>
      </c>
      <c r="H25" s="9">
        <f>STDEV('Raw Data'!H23:H25)</f>
        <v>0.56473710697987567</v>
      </c>
      <c r="I25" s="9">
        <f>STDEV('Raw Data'!I23:I25)</f>
        <v>0.7259754357644147</v>
      </c>
      <c r="J25" s="9">
        <f>STDEV('Raw Data'!J23:J25)</f>
        <v>0.64458358651147807</v>
      </c>
      <c r="K25" s="9">
        <f>STDEV('Raw Data'!K23:K25)</f>
        <v>1.2696693795367879</v>
      </c>
      <c r="L25" s="9">
        <f>STDEV('Raw Data'!L23:L25)</f>
        <v>0.46066726965710697</v>
      </c>
      <c r="M25" s="9">
        <f>STDEV('Raw Data'!M23:M25)</f>
        <v>0.25021257628930899</v>
      </c>
      <c r="N25" s="9">
        <f>STDEV('Raw Data'!N23:N25)</f>
        <v>1.1392705268430907</v>
      </c>
      <c r="O25" s="9">
        <f>STDEV('Raw Data'!O23:O25)</f>
        <v>0.41400040257629378</v>
      </c>
      <c r="P25" s="9">
        <f>STDEV('Raw Data'!P23:P25)</f>
        <v>0</v>
      </c>
      <c r="Q25" s="9">
        <f>STDEV('Raw Data'!Q23:Q25)</f>
        <v>0.97036144468611851</v>
      </c>
      <c r="R25" s="14">
        <f>STDEV('Raw Data'!R23:R25)</f>
        <v>4.05609668688178</v>
      </c>
      <c r="S25" s="14">
        <f>STDEV('Raw Data'!S23:S25)</f>
        <v>1.7248168018662147</v>
      </c>
      <c r="T25" s="14">
        <f>STDEV('Raw Data'!T23:T25)</f>
        <v>1.5291667665758379</v>
      </c>
      <c r="U25" s="14">
        <f>STDEV('Raw Data'!U23:U25)</f>
        <v>2.3238077229696468</v>
      </c>
      <c r="W25" s="14">
        <f>STDEV('Raw Data'!W23:W25)</f>
        <v>0.9703614446861204</v>
      </c>
    </row>
    <row r="26" spans="1:23" ht="15" customHeight="1" x14ac:dyDescent="0.25">
      <c r="A26" s="10" t="s">
        <v>75</v>
      </c>
      <c r="B26" s="10" t="s">
        <v>70</v>
      </c>
      <c r="C26" s="10" t="s">
        <v>113</v>
      </c>
      <c r="D26" s="9">
        <f>STDEV('Raw Data'!D26:D28)</f>
        <v>0.60929166524197098</v>
      </c>
      <c r="E26" s="9">
        <f>STDEV('Raw Data'!E26:E28)</f>
        <v>1.7657016546782021</v>
      </c>
      <c r="F26" s="9">
        <f>STDEV('Raw Data'!F26:F28)</f>
        <v>1.9037653041626095</v>
      </c>
      <c r="G26" s="9">
        <f>STDEV('Raw Data'!G26:G28)</f>
        <v>1.3745200374433786</v>
      </c>
      <c r="H26" s="9">
        <f>STDEV('Raw Data'!H26:H28)</f>
        <v>0.17393102080997483</v>
      </c>
      <c r="I26" s="9">
        <f>STDEV('Raw Data'!I26:I28)</f>
        <v>2.908496576125402</v>
      </c>
      <c r="J26" s="9">
        <f>STDEV('Raw Data'!J26:J28)</f>
        <v>1.7778890104090646</v>
      </c>
      <c r="K26" s="9">
        <f>STDEV('Raw Data'!K26:K28)</f>
        <v>3.5027796581191448</v>
      </c>
      <c r="L26" s="9">
        <f>STDEV('Raw Data'!L26:L28)</f>
        <v>0.43517008169220434</v>
      </c>
      <c r="M26" s="9">
        <f>STDEV('Raw Data'!M26:M28)</f>
        <v>0.58608901485468312</v>
      </c>
      <c r="N26" s="9">
        <f>STDEV('Raw Data'!N26:N28)</f>
        <v>1.3833157026988936</v>
      </c>
      <c r="O26" s="9">
        <f>STDEV('Raw Data'!O26:O28)</f>
        <v>1.5108421492664286</v>
      </c>
      <c r="P26" s="9">
        <f>STDEV('Raw Data'!P26:P28)</f>
        <v>0.58882170476299456</v>
      </c>
      <c r="Q26" s="9">
        <f>STDEV('Raw Data'!Q26:Q28)</f>
        <v>0.42858643624516796</v>
      </c>
      <c r="R26" s="14">
        <f>STDEV('Raw Data'!R26:R28)</f>
        <v>6.0377913456274133</v>
      </c>
      <c r="S26" s="14">
        <f>STDEV('Raw Data'!S26:S28)</f>
        <v>5.3474042300914473</v>
      </c>
      <c r="T26" s="14">
        <f>STDEV('Raw Data'!T26:T28)</f>
        <v>2.2053594567175079</v>
      </c>
      <c r="U26" s="14">
        <f>STDEV('Raw Data'!U26:U28)</f>
        <v>6.1337067368218028</v>
      </c>
      <c r="W26" s="14">
        <f>STDEV('Raw Data'!W26:W28)</f>
        <v>0.50652673506275392</v>
      </c>
    </row>
    <row r="27" spans="1:23" ht="15" customHeight="1" x14ac:dyDescent="0.25">
      <c r="A27" s="10" t="s">
        <v>79</v>
      </c>
      <c r="B27" s="10" t="s">
        <v>70</v>
      </c>
      <c r="C27" s="10" t="s">
        <v>114</v>
      </c>
      <c r="D27" s="9">
        <f>STDEV('Raw Data'!D29:D31)</f>
        <v>2.2323469712390143</v>
      </c>
      <c r="E27" s="9">
        <f>STDEV('Raw Data'!E29:E31)</f>
        <v>0.8402198125094007</v>
      </c>
      <c r="F27" s="9">
        <f>STDEV('Raw Data'!F29:F31)</f>
        <v>0.48835540336930844</v>
      </c>
      <c r="G27" s="9">
        <f>STDEV('Raw Data'!G29:G31)</f>
        <v>1.7619141106573135</v>
      </c>
      <c r="H27" s="9">
        <f>STDEV('Raw Data'!H29:H31)</f>
        <v>0.20161679824194506</v>
      </c>
      <c r="I27" s="9">
        <f>STDEV('Raw Data'!I29:I31)</f>
        <v>1.5636815532582062</v>
      </c>
      <c r="J27" s="9">
        <f>STDEV('Raw Data'!J29:J31)</f>
        <v>0.61820250188213699</v>
      </c>
      <c r="K27" s="9">
        <f>STDEV('Raw Data'!K29:K31)</f>
        <v>1.2503816750629919</v>
      </c>
      <c r="L27" s="9">
        <f>STDEV('Raw Data'!L29:L31)</f>
        <v>1.5301510818652295</v>
      </c>
      <c r="M27" s="9">
        <f>STDEV('Raw Data'!M29:M31)</f>
        <v>1.0584701223936435</v>
      </c>
      <c r="N27" s="9">
        <f>STDEV('Raw Data'!N29:N31)</f>
        <v>0.50960507585122394</v>
      </c>
      <c r="O27" s="9">
        <f>STDEV('Raw Data'!O29:O31)</f>
        <v>1.0342946066442236</v>
      </c>
      <c r="P27" s="9">
        <f>STDEV('Raw Data'!P29:P31)</f>
        <v>2.1321290611342771</v>
      </c>
      <c r="Q27" s="9">
        <f>STDEV('Raw Data'!Q29:Q31)</f>
        <v>0.50615116319139308</v>
      </c>
      <c r="R27" s="14">
        <f>STDEV('Raw Data'!R29:R31)</f>
        <v>3.294129070533419</v>
      </c>
      <c r="S27" s="14">
        <f>STDEV('Raw Data'!S29:S31)</f>
        <v>3.6931152613116929</v>
      </c>
      <c r="T27" s="14">
        <f>STDEV('Raw Data'!T29:T31)</f>
        <v>1.4492881011034404</v>
      </c>
      <c r="U27" s="14">
        <f>STDEV('Raw Data'!U29:U31)</f>
        <v>1.879517047896436</v>
      </c>
      <c r="W27" s="14">
        <f>STDEV('Raw Data'!W29:W31)</f>
        <v>1.7176147220297477</v>
      </c>
    </row>
    <row r="28" spans="1:23" ht="15" customHeight="1" x14ac:dyDescent="0.25">
      <c r="A28" s="10" t="s">
        <v>83</v>
      </c>
      <c r="B28" s="10" t="s">
        <v>70</v>
      </c>
      <c r="C28" s="10" t="s">
        <v>115</v>
      </c>
      <c r="D28" s="9">
        <f>STDEV('Raw Data'!D32:D34)</f>
        <v>2.6298150125056345</v>
      </c>
      <c r="E28" s="9">
        <f>STDEV('Raw Data'!E32:E34)</f>
        <v>0.32581334124515687</v>
      </c>
      <c r="F28" s="9">
        <f>STDEV('Raw Data'!F32:F34)</f>
        <v>0.94951268202869965</v>
      </c>
      <c r="G28" s="9">
        <f>STDEV('Raw Data'!G32:G34)</f>
        <v>0.82275391217544913</v>
      </c>
      <c r="H28" s="9">
        <f>STDEV('Raw Data'!H32:H34)</f>
        <v>1.6458606664397069</v>
      </c>
      <c r="I28" s="9">
        <f>STDEV('Raw Data'!I32:I34)</f>
        <v>1.5111777967311901</v>
      </c>
      <c r="J28" s="9">
        <f>STDEV('Raw Data'!J32:J34)</f>
        <v>1.1626376620999905</v>
      </c>
      <c r="K28" s="9">
        <f>STDEV('Raw Data'!K32:K34)</f>
        <v>2.2697789172810099</v>
      </c>
      <c r="L28" s="9">
        <f>STDEV('Raw Data'!L32:L34)</f>
        <v>0.63503175773604426</v>
      </c>
      <c r="M28" s="9">
        <f>STDEV('Raw Data'!M32:M34)</f>
        <v>0.74207973515878534</v>
      </c>
      <c r="N28" s="9">
        <f>STDEV('Raw Data'!N32:N34)</f>
        <v>0.54102895794341188</v>
      </c>
      <c r="O28" s="9">
        <f>STDEV('Raw Data'!O32:O34)</f>
        <v>0.81773487961156044</v>
      </c>
      <c r="P28" s="9">
        <f>STDEV('Raw Data'!P32:P34)</f>
        <v>1.1087165252368771</v>
      </c>
      <c r="Q28" s="9">
        <f>STDEV('Raw Data'!Q32:Q34)</f>
        <v>0.97550961040883633</v>
      </c>
      <c r="R28" s="14">
        <f>STDEV('Raw Data'!R32:R34)</f>
        <v>2.6898180235844946</v>
      </c>
      <c r="S28" s="14">
        <f>STDEV('Raw Data'!S32:S34)</f>
        <v>4.5438853785425959</v>
      </c>
      <c r="T28" s="14">
        <f>STDEV('Raw Data'!T32:T34)</f>
        <v>1.3584296080401075</v>
      </c>
      <c r="U28" s="14">
        <f>STDEV('Raw Data'!U32:U34)</f>
        <v>9.6853442375581</v>
      </c>
      <c r="W28" s="14">
        <f>STDEV('Raw Data'!W32:W34)</f>
        <v>1.4151103608317392</v>
      </c>
    </row>
    <row r="29" spans="1:23" ht="15" customHeight="1" x14ac:dyDescent="0.25">
      <c r="A29" s="10" t="s">
        <v>87</v>
      </c>
      <c r="B29" s="10" t="s">
        <v>70</v>
      </c>
      <c r="C29" s="10" t="s">
        <v>116</v>
      </c>
      <c r="D29" s="9">
        <f>STDEV('Raw Data'!D35:D37)</f>
        <v>1.5932000292911535</v>
      </c>
      <c r="E29" s="9">
        <f>STDEV('Raw Data'!E35:E37)</f>
        <v>0.68733034270283788</v>
      </c>
      <c r="F29" s="9">
        <f>STDEV('Raw Data'!F35:F37)</f>
        <v>0.28597377502141702</v>
      </c>
      <c r="G29" s="9">
        <f>STDEV('Raw Data'!G35:G37)</f>
        <v>0.31581218047018633</v>
      </c>
      <c r="H29" s="9">
        <f>STDEV('Raw Data'!H35:H37)</f>
        <v>1.7518317080511299</v>
      </c>
      <c r="I29" s="9">
        <f>STDEV('Raw Data'!I35:I37)</f>
        <v>2.9167845880923968</v>
      </c>
      <c r="J29" s="9">
        <f>STDEV('Raw Data'!J35:J37)</f>
        <v>0.9410070846350379</v>
      </c>
      <c r="K29" s="9">
        <f>STDEV('Raw Data'!K35:K37)</f>
        <v>1.7962968388697156</v>
      </c>
      <c r="L29" s="9">
        <f>STDEV('Raw Data'!L35:L37)</f>
        <v>0.47505824204336611</v>
      </c>
      <c r="M29" s="9">
        <f>STDEV('Raw Data'!M35:M37)</f>
        <v>1.1858643823529464</v>
      </c>
      <c r="N29" s="9">
        <f>STDEV('Raw Data'!N35:N37)</f>
        <v>0.59224769592910464</v>
      </c>
      <c r="O29" s="9">
        <f>STDEV('Raw Data'!O35:O37)</f>
        <v>1.2877806490237376</v>
      </c>
      <c r="P29" s="9">
        <f>STDEV('Raw Data'!P35:P37)</f>
        <v>2.4282389366232748</v>
      </c>
      <c r="Q29" s="9">
        <f>STDEV('Raw Data'!Q35:Q37)</f>
        <v>0.27268724453727811</v>
      </c>
      <c r="R29" s="14">
        <f>STDEV('Raw Data'!R35:R37)</f>
        <v>6.7137483817412571</v>
      </c>
      <c r="S29" s="14">
        <f>STDEV('Raw Data'!S35:S37)</f>
        <v>3.9562670958029793</v>
      </c>
      <c r="T29" s="14">
        <f>STDEV('Raw Data'!T35:T37)</f>
        <v>0.72286397982838524</v>
      </c>
      <c r="U29" s="14">
        <f>STDEV('Raw Data'!U35:U37)</f>
        <v>8.8370262154942782</v>
      </c>
      <c r="W29" s="14">
        <f>STDEV('Raw Data'!W35:W37)</f>
        <v>2.5702654207947719</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W20"/>
  <sheetViews>
    <sheetView zoomScaleNormal="100" workbookViewId="0">
      <selection activeCell="E20" sqref="E20"/>
    </sheetView>
  </sheetViews>
  <sheetFormatPr defaultColWidth="8.7109375" defaultRowHeight="15" x14ac:dyDescent="0.25"/>
  <cols>
    <col min="1" max="1" width="16" style="1" customWidth="1"/>
    <col min="2" max="2" width="10" style="1" customWidth="1"/>
    <col min="3" max="3" width="8" style="1" customWidth="1"/>
    <col min="4" max="21" width="11" style="1" customWidth="1"/>
    <col min="23" max="23" width="11" style="1" customWidth="1"/>
  </cols>
  <sheetData>
    <row r="1" spans="1:23" ht="15.75" customHeight="1" x14ac:dyDescent="0.25">
      <c r="A1" s="2" t="s">
        <v>118</v>
      </c>
    </row>
    <row r="2" spans="1:23" ht="15" customHeight="1" x14ac:dyDescent="0.25">
      <c r="A2" s="5" t="s">
        <v>119</v>
      </c>
    </row>
    <row r="4" spans="1:23" ht="23.25" customHeight="1" x14ac:dyDescent="0.25">
      <c r="A4" s="6" t="s">
        <v>22</v>
      </c>
      <c r="B4" s="6" t="s">
        <v>120</v>
      </c>
      <c r="C4" s="6" t="s">
        <v>105</v>
      </c>
      <c r="D4" s="6" t="s">
        <v>25</v>
      </c>
      <c r="E4" s="6" t="s">
        <v>26</v>
      </c>
      <c r="F4" s="6" t="s">
        <v>27</v>
      </c>
      <c r="G4" s="6" t="s">
        <v>28</v>
      </c>
      <c r="H4" s="6" t="s">
        <v>29</v>
      </c>
      <c r="I4" s="6" t="s">
        <v>30</v>
      </c>
      <c r="J4" s="6" t="s">
        <v>31</v>
      </c>
      <c r="K4" s="6" t="s">
        <v>32</v>
      </c>
      <c r="L4" s="6" t="s">
        <v>33</v>
      </c>
      <c r="M4" s="6" t="s">
        <v>34</v>
      </c>
      <c r="N4" s="6" t="s">
        <v>35</v>
      </c>
      <c r="O4" s="6" t="s">
        <v>36</v>
      </c>
      <c r="P4" s="6" t="s">
        <v>37</v>
      </c>
      <c r="Q4" s="6" t="s">
        <v>38</v>
      </c>
      <c r="R4" s="6" t="s">
        <v>39</v>
      </c>
      <c r="S4" s="6" t="s">
        <v>40</v>
      </c>
      <c r="T4" s="6" t="s">
        <v>429</v>
      </c>
      <c r="U4" s="6" t="s">
        <v>42</v>
      </c>
      <c r="W4" s="6" t="s">
        <v>430</v>
      </c>
    </row>
    <row r="5" spans="1:23" ht="15" customHeight="1" x14ac:dyDescent="0.25">
      <c r="A5" s="10" t="s">
        <v>44</v>
      </c>
      <c r="B5" s="15">
        <f>COUNTA('Raw Data'!C5:C13)</f>
        <v>9</v>
      </c>
      <c r="C5" s="10" t="s">
        <v>121</v>
      </c>
      <c r="D5" s="9">
        <f>AVERAGE('Raw Data'!D5:D13)</f>
        <v>3.6187777777777779</v>
      </c>
      <c r="E5" s="9">
        <f>AVERAGE('Raw Data'!E5:E13)</f>
        <v>7.557555555555556</v>
      </c>
      <c r="F5" s="9">
        <f>AVERAGE('Raw Data'!F5:F13)</f>
        <v>3.7661111111111105</v>
      </c>
      <c r="G5" s="9">
        <f>AVERAGE('Raw Data'!G5:G13)</f>
        <v>4.2984444444444447</v>
      </c>
      <c r="H5" s="9">
        <f>AVERAGE('Raw Data'!H5:H13)</f>
        <v>8.2027777777777775</v>
      </c>
      <c r="I5" s="9">
        <f>AVERAGE('Raw Data'!I5:I13)</f>
        <v>12.643222222222223</v>
      </c>
      <c r="J5" s="9">
        <f>AVERAGE('Raw Data'!J5:J13)</f>
        <v>3.4808888888888894</v>
      </c>
      <c r="K5" s="9">
        <f>AVERAGE('Raw Data'!K5:K13)</f>
        <v>6.857555555555555</v>
      </c>
      <c r="L5" s="9">
        <f>AVERAGE('Raw Data'!L5:L13)</f>
        <v>1.5634444444444446</v>
      </c>
      <c r="M5" s="9">
        <f>AVERAGE('Raw Data'!M5:M13)</f>
        <v>1.7596666666666667</v>
      </c>
      <c r="N5" s="9">
        <f>AVERAGE('Raw Data'!N5:N13)</f>
        <v>1.7881111111111112</v>
      </c>
      <c r="O5" s="9">
        <f>AVERAGE('Raw Data'!O5:O13)</f>
        <v>2.8925555555555555</v>
      </c>
      <c r="P5" s="9">
        <f>AVERAGE('Raw Data'!P5:P13)</f>
        <v>2.5765555555555557</v>
      </c>
      <c r="Q5" s="9">
        <f>AVERAGE('Raw Data'!Q5:Q13)</f>
        <v>4.088111111111111</v>
      </c>
      <c r="R5" s="14">
        <f>AVERAGE('Raw Data'!R5:R13)</f>
        <v>40.086888888888886</v>
      </c>
      <c r="S5" s="14">
        <f>AVERAGE('Raw Data'!S5:S13)</f>
        <v>13.661555555555555</v>
      </c>
      <c r="T5" s="14">
        <f>AVERAGE('Raw Data'!T5:T13)</f>
        <v>4.6806666666666663</v>
      </c>
      <c r="U5" s="14">
        <f>AVERAGE('Raw Data'!U5:U13)</f>
        <v>65.093777777777788</v>
      </c>
      <c r="W5" s="14">
        <f>AVERAGE('Raw Data'!W5:W13)</f>
        <v>6.6646666666666663</v>
      </c>
    </row>
    <row r="6" spans="1:23" ht="15" customHeight="1" x14ac:dyDescent="0.25">
      <c r="A6" s="10" t="s">
        <v>57</v>
      </c>
      <c r="B6" s="15">
        <f>COUNTA('Raw Data'!C14:C22)</f>
        <v>9</v>
      </c>
      <c r="C6" s="10" t="s">
        <v>122</v>
      </c>
      <c r="D6" s="9">
        <f>AVERAGE('Raw Data'!D14:D22)</f>
        <v>5.6501111111111113</v>
      </c>
      <c r="E6" s="9">
        <f>AVERAGE('Raw Data'!E14:E22)</f>
        <v>7.958333333333333</v>
      </c>
      <c r="F6" s="9">
        <f>AVERAGE('Raw Data'!F14:F22)</f>
        <v>3.7926666666666669</v>
      </c>
      <c r="G6" s="9">
        <f>AVERAGE('Raw Data'!G14:G22)</f>
        <v>4.5360000000000005</v>
      </c>
      <c r="H6" s="9">
        <f>AVERAGE('Raw Data'!H14:H22)</f>
        <v>7.1926666666666677</v>
      </c>
      <c r="I6" s="9">
        <f>AVERAGE('Raw Data'!I14:I22)</f>
        <v>17.414000000000001</v>
      </c>
      <c r="J6" s="9">
        <f>AVERAGE('Raw Data'!J14:J22)</f>
        <v>4.1392222222222221</v>
      </c>
      <c r="K6" s="9">
        <f>AVERAGE('Raw Data'!K14:K22)</f>
        <v>8.1762222222222221</v>
      </c>
      <c r="L6" s="9">
        <f>AVERAGE('Raw Data'!L14:L22)</f>
        <v>0.5</v>
      </c>
      <c r="M6" s="9">
        <f>AVERAGE('Raw Data'!M14:M22)</f>
        <v>2.2751111111111109</v>
      </c>
      <c r="N6" s="9">
        <f>AVERAGE('Raw Data'!N14:N22)</f>
        <v>1.0613333333333332</v>
      </c>
      <c r="O6" s="9">
        <f>AVERAGE('Raw Data'!O14:O22)</f>
        <v>2.125</v>
      </c>
      <c r="P6" s="9">
        <f>AVERAGE('Raw Data'!P14:P22)</f>
        <v>1.0065555555555556</v>
      </c>
      <c r="Q6" s="9">
        <f>AVERAGE('Raw Data'!Q14:Q22)</f>
        <v>2.6108888888888888</v>
      </c>
      <c r="R6" s="14">
        <f>AVERAGE('Raw Data'!R14:R22)</f>
        <v>46.54377777777777</v>
      </c>
      <c r="S6" s="14">
        <f>AVERAGE('Raw Data'!S14:S22)</f>
        <v>15.090555555555556</v>
      </c>
      <c r="T6" s="14">
        <f>AVERAGE('Raw Data'!T14:T22)</f>
        <v>3.1863333333333337</v>
      </c>
      <c r="U6" s="14">
        <f>AVERAGE('Raw Data'!U14:U22)</f>
        <v>68.438111111111112</v>
      </c>
      <c r="W6" s="14">
        <f>AVERAGE('Raw Data'!W14:W22)</f>
        <v>3.6174444444444447</v>
      </c>
    </row>
    <row r="7" spans="1:23" ht="15" customHeight="1" x14ac:dyDescent="0.25">
      <c r="A7" s="10" t="s">
        <v>70</v>
      </c>
      <c r="B7" s="15">
        <f>COUNTA('Raw Data'!C23:C37)</f>
        <v>15</v>
      </c>
      <c r="C7" s="10" t="s">
        <v>123</v>
      </c>
      <c r="D7" s="9">
        <f>AVERAGE('Raw Data'!D23:D37)</f>
        <v>9.8263333333333343</v>
      </c>
      <c r="E7" s="9">
        <f>AVERAGE('Raw Data'!E23:E37)</f>
        <v>10.941533333333332</v>
      </c>
      <c r="F7" s="9">
        <f>AVERAGE('Raw Data'!F23:F37)</f>
        <v>7.2172000000000009</v>
      </c>
      <c r="G7" s="9">
        <f>AVERAGE('Raw Data'!G23:G37)</f>
        <v>6.9300000000000015</v>
      </c>
      <c r="H7" s="9">
        <f>AVERAGE('Raw Data'!H23:H37)</f>
        <v>9.1127333333333329</v>
      </c>
      <c r="I7" s="9">
        <f>AVERAGE('Raw Data'!I23:I37)</f>
        <v>23.187666666666665</v>
      </c>
      <c r="J7" s="9">
        <f>AVERAGE('Raw Data'!J23:J37)</f>
        <v>7.0469333333333326</v>
      </c>
      <c r="K7" s="9">
        <f>AVERAGE('Raw Data'!K23:K37)</f>
        <v>13.9026</v>
      </c>
      <c r="L7" s="9">
        <f>AVERAGE('Raw Data'!L23:L37)</f>
        <v>3.0689333333333337</v>
      </c>
      <c r="M7" s="9">
        <f>AVERAGE('Raw Data'!M23:M37)</f>
        <v>7.6659999999999995</v>
      </c>
      <c r="N7" s="9">
        <f>AVERAGE('Raw Data'!N23:N37)</f>
        <v>3.8534666666666664</v>
      </c>
      <c r="O7" s="9">
        <f>AVERAGE('Raw Data'!O23:O37)</f>
        <v>6.0122666666666653</v>
      </c>
      <c r="P7" s="9">
        <f>AVERAGE('Raw Data'!P23:P37)</f>
        <v>4.1621333333333332</v>
      </c>
      <c r="Q7" s="9">
        <f>AVERAGE('Raw Data'!Q23:Q37)</f>
        <v>7.2219333333333315</v>
      </c>
      <c r="R7" s="14">
        <f>AVERAGE('Raw Data'!R23:R37)</f>
        <v>67.215466666666657</v>
      </c>
      <c r="S7" s="14">
        <f>AVERAGE('Raw Data'!S23:S37)</f>
        <v>31.684466666666662</v>
      </c>
      <c r="T7" s="14">
        <f>AVERAGE('Raw Data'!T23:T37)</f>
        <v>9.865733333333333</v>
      </c>
      <c r="U7" s="14">
        <f>AVERAGE('Raw Data'!U23:U37)</f>
        <v>120.14973333333334</v>
      </c>
      <c r="W7" s="14">
        <f>AVERAGE('Raw Data'!W23:W37)</f>
        <v>11.384066666666667</v>
      </c>
    </row>
    <row r="10" spans="1:23" ht="23.25" customHeight="1" x14ac:dyDescent="0.25">
      <c r="A10" s="6" t="s">
        <v>124</v>
      </c>
      <c r="B10" s="6" t="s">
        <v>120</v>
      </c>
      <c r="C10" s="6" t="s">
        <v>105</v>
      </c>
      <c r="D10" s="6" t="s">
        <v>25</v>
      </c>
      <c r="E10" s="6" t="s">
        <v>26</v>
      </c>
      <c r="F10" s="6" t="s">
        <v>27</v>
      </c>
      <c r="G10" s="6" t="s">
        <v>28</v>
      </c>
      <c r="H10" s="6" t="s">
        <v>29</v>
      </c>
      <c r="I10" s="6" t="s">
        <v>30</v>
      </c>
      <c r="J10" s="6" t="s">
        <v>31</v>
      </c>
      <c r="K10" s="6" t="s">
        <v>32</v>
      </c>
      <c r="L10" s="6" t="s">
        <v>33</v>
      </c>
      <c r="M10" s="6" t="s">
        <v>34</v>
      </c>
      <c r="N10" s="6" t="s">
        <v>35</v>
      </c>
      <c r="O10" s="6" t="s">
        <v>36</v>
      </c>
      <c r="P10" s="6" t="s">
        <v>37</v>
      </c>
      <c r="Q10" s="6" t="s">
        <v>38</v>
      </c>
      <c r="R10" s="6" t="s">
        <v>39</v>
      </c>
      <c r="S10" s="6" t="s">
        <v>40</v>
      </c>
      <c r="T10" s="6" t="s">
        <v>429</v>
      </c>
      <c r="U10" s="6" t="s">
        <v>42</v>
      </c>
      <c r="W10" s="6" t="s">
        <v>430</v>
      </c>
    </row>
    <row r="11" spans="1:23" ht="15" customHeight="1" x14ac:dyDescent="0.25">
      <c r="A11" s="10" t="s">
        <v>44</v>
      </c>
      <c r="B11" s="15">
        <f>B5</f>
        <v>9</v>
      </c>
      <c r="C11" s="10" t="s">
        <v>121</v>
      </c>
      <c r="D11" s="9">
        <f>STDEV('Raw Data'!D5:D13)</f>
        <v>3.1874271669238881</v>
      </c>
      <c r="E11" s="9">
        <f>STDEV('Raw Data'!E5:E13)</f>
        <v>3.3330449708603953</v>
      </c>
      <c r="F11" s="9">
        <f>STDEV('Raw Data'!F5:F13)</f>
        <v>2.986827725382085</v>
      </c>
      <c r="G11" s="9">
        <f>STDEV('Raw Data'!G5:G13)</f>
        <v>3.60164015106698</v>
      </c>
      <c r="H11" s="9">
        <f>STDEV('Raw Data'!H5:H13)</f>
        <v>0.88303380141670451</v>
      </c>
      <c r="I11" s="9">
        <f>STDEV('Raw Data'!I5:I13)</f>
        <v>4.7636625556859542</v>
      </c>
      <c r="J11" s="9">
        <f>STDEV('Raw Data'!J5:J13)</f>
        <v>3.1040394828531266</v>
      </c>
      <c r="K11" s="9">
        <f>STDEV('Raw Data'!K5:K13)</f>
        <v>6.1151461166335013</v>
      </c>
      <c r="L11" s="9">
        <f>STDEV('Raw Data'!L5:L13)</f>
        <v>1.6982874544015736</v>
      </c>
      <c r="M11" s="9">
        <f>STDEV('Raw Data'!M5:M13)</f>
        <v>1.8904724938490909</v>
      </c>
      <c r="N11" s="9">
        <f>STDEV('Raw Data'!N5:N13)</f>
        <v>1.9490224116492634</v>
      </c>
      <c r="O11" s="9">
        <f>STDEV('Raw Data'!O5:O13)</f>
        <v>3.2352474445979826</v>
      </c>
      <c r="P11" s="9">
        <f>STDEV('Raw Data'!P5:P13)</f>
        <v>3.1150921379275087</v>
      </c>
      <c r="Q11" s="9">
        <f>STDEV('Raw Data'!Q5:Q13)</f>
        <v>4.2406172146411798</v>
      </c>
      <c r="R11" s="14">
        <f>STDEV('Raw Data'!R5:R13)</f>
        <v>18.218151054953726</v>
      </c>
      <c r="S11" s="14">
        <f>STDEV('Raw Data'!S5:S13)</f>
        <v>12.593512795395007</v>
      </c>
      <c r="T11" s="14">
        <f>STDEV('Raw Data'!T5:T13)</f>
        <v>5.1287233547930819</v>
      </c>
      <c r="U11" s="14">
        <f>STDEV('Raw Data'!U5:U13)</f>
        <v>42.807322281876544</v>
      </c>
      <c r="W11" s="14">
        <f>STDEV('Raw Data'!W5:W13)</f>
        <v>7.2925074734277793</v>
      </c>
    </row>
    <row r="12" spans="1:23" ht="15" customHeight="1" x14ac:dyDescent="0.25">
      <c r="A12" s="10" t="s">
        <v>57</v>
      </c>
      <c r="B12" s="15">
        <f>B6</f>
        <v>9</v>
      </c>
      <c r="C12" s="10" t="s">
        <v>122</v>
      </c>
      <c r="D12" s="9">
        <f>STDEV('Raw Data'!D14:D22)</f>
        <v>1.5146334081589201</v>
      </c>
      <c r="E12" s="9">
        <f>STDEV('Raw Data'!E14:E22)</f>
        <v>1.7125648892815757</v>
      </c>
      <c r="F12" s="9">
        <f>STDEV('Raw Data'!F14:F22)</f>
        <v>2.9169035380005277</v>
      </c>
      <c r="G12" s="9">
        <f>STDEV('Raw Data'!G14:G22)</f>
        <v>1.8864673334038939</v>
      </c>
      <c r="H12" s="9">
        <f>STDEV('Raw Data'!H14:H22)</f>
        <v>1.1630038692970741</v>
      </c>
      <c r="I12" s="9">
        <f>STDEV('Raw Data'!I14:I22)</f>
        <v>3.864600141023645</v>
      </c>
      <c r="J12" s="9">
        <f>STDEV('Raw Data'!J14:J22)</f>
        <v>1.3260553134935364</v>
      </c>
      <c r="K12" s="9">
        <f>STDEV('Raw Data'!K14:K22)</f>
        <v>2.6613068583769968</v>
      </c>
      <c r="L12" s="9">
        <f>STDEV('Raw Data'!L14:L22)</f>
        <v>0</v>
      </c>
      <c r="M12" s="9">
        <f>STDEV('Raw Data'!M14:M22)</f>
        <v>1.3556778234931448</v>
      </c>
      <c r="N12" s="9">
        <f>STDEV('Raw Data'!N14:N22)</f>
        <v>0.72098231601059393</v>
      </c>
      <c r="O12" s="9">
        <f>STDEV('Raw Data'!O14:O22)</f>
        <v>1.3338451934163875</v>
      </c>
      <c r="P12" s="9">
        <f>STDEV('Raw Data'!P14:P22)</f>
        <v>0.61298493274939292</v>
      </c>
      <c r="Q12" s="9">
        <f>STDEV('Raw Data'!Q14:Q22)</f>
        <v>1.6194673078241224</v>
      </c>
      <c r="R12" s="14">
        <f>STDEV('Raw Data'!R14:R22)</f>
        <v>9.0879140590371588</v>
      </c>
      <c r="S12" s="14">
        <f>STDEV('Raw Data'!S14:S22)</f>
        <v>4.8769936721076217</v>
      </c>
      <c r="T12" s="14">
        <f>STDEV('Raw Data'!T14:T22)</f>
        <v>1.3270641469047384</v>
      </c>
      <c r="U12" s="14">
        <f>STDEV('Raw Data'!U14:U22)</f>
        <v>13.732830821105692</v>
      </c>
      <c r="W12" s="14">
        <f>STDEV('Raw Data'!W14:W22)</f>
        <v>2.0489906119301216</v>
      </c>
    </row>
    <row r="13" spans="1:23" ht="15" customHeight="1" x14ac:dyDescent="0.25">
      <c r="A13" s="10" t="s">
        <v>70</v>
      </c>
      <c r="B13" s="15">
        <f>B7</f>
        <v>15</v>
      </c>
      <c r="C13" s="10" t="s">
        <v>123</v>
      </c>
      <c r="D13" s="9">
        <f>STDEV('Raw Data'!D23:D37)</f>
        <v>2.0120781604623335</v>
      </c>
      <c r="E13" s="9">
        <f>STDEV('Raw Data'!E23:E37)</f>
        <v>2.4084798070468398</v>
      </c>
      <c r="F13" s="9">
        <f>STDEV('Raw Data'!F23:F37)</f>
        <v>3.9551884585765498</v>
      </c>
      <c r="G13" s="9">
        <f>STDEV('Raw Data'!G23:G37)</f>
        <v>2.188317194297285</v>
      </c>
      <c r="H13" s="9">
        <f>STDEV('Raw Data'!H23:H37)</f>
        <v>1.645508148465598</v>
      </c>
      <c r="I13" s="9">
        <f>STDEV('Raw Data'!I23:I37)</f>
        <v>4.1644872890852289</v>
      </c>
      <c r="J13" s="9">
        <f>STDEV('Raw Data'!J23:J37)</f>
        <v>1.2914520878600617</v>
      </c>
      <c r="K13" s="9">
        <f>STDEV('Raw Data'!K23:K37)</f>
        <v>2.5423181997089772</v>
      </c>
      <c r="L13" s="9">
        <f>STDEV('Raw Data'!L23:L37)</f>
        <v>1.1086183464543768</v>
      </c>
      <c r="M13" s="9">
        <f>STDEV('Raw Data'!M23:M37)</f>
        <v>4.371065316373115</v>
      </c>
      <c r="N13" s="9">
        <f>STDEV('Raw Data'!N23:N37)</f>
        <v>2.3734270841569005</v>
      </c>
      <c r="O13" s="9">
        <f>STDEV('Raw Data'!O23:O37)</f>
        <v>2.9259277275193716</v>
      </c>
      <c r="P13" s="9">
        <f>STDEV('Raw Data'!P23:P37)</f>
        <v>3.2545911498037592</v>
      </c>
      <c r="Q13" s="9">
        <f>STDEV('Raw Data'!Q23:Q37)</f>
        <v>3.7234062451828542</v>
      </c>
      <c r="R13" s="14">
        <f>STDEV('Raw Data'!R23:R37)</f>
        <v>13.681240267851035</v>
      </c>
      <c r="S13" s="14">
        <f>STDEV('Raw Data'!S23:S37)</f>
        <v>8.0528307876943739</v>
      </c>
      <c r="T13" s="14">
        <f>STDEV('Raw Data'!T23:T37)</f>
        <v>5.1714181595527942</v>
      </c>
      <c r="U13" s="14">
        <f>STDEV('Raw Data'!U23:U37)</f>
        <v>32.045883939988919</v>
      </c>
      <c r="W13" s="14">
        <f>STDEV('Raw Data'!W23:W37)</f>
        <v>6.7851828638024232</v>
      </c>
    </row>
    <row r="16" spans="1:23" ht="23.25" customHeight="1" x14ac:dyDescent="0.25">
      <c r="A16" s="6" t="s">
        <v>22</v>
      </c>
      <c r="B16" s="6" t="s">
        <v>125</v>
      </c>
      <c r="C16" s="6" t="s">
        <v>126</v>
      </c>
      <c r="D16" s="6" t="s">
        <v>431</v>
      </c>
      <c r="E16" s="6" t="s">
        <v>432</v>
      </c>
    </row>
    <row r="17" spans="1:5" ht="15" customHeight="1" x14ac:dyDescent="0.25">
      <c r="A17" s="10" t="s">
        <v>44</v>
      </c>
      <c r="B17" s="12">
        <f>R5/U5*100</f>
        <v>61.583288383938374</v>
      </c>
      <c r="C17" s="12">
        <f>S5/U5*100</f>
        <v>20.987498378407903</v>
      </c>
      <c r="D17" s="12">
        <f>T5/U5*100</f>
        <v>7.1906514362185137</v>
      </c>
      <c r="E17" s="12">
        <f>W5/U5*100</f>
        <v>10.238561801435193</v>
      </c>
    </row>
    <row r="18" spans="1:5" ht="15" customHeight="1" x14ac:dyDescent="0.25">
      <c r="A18" s="10" t="s">
        <v>57</v>
      </c>
      <c r="B18" s="12">
        <f>R6/U6*100</f>
        <v>68.008565727672845</v>
      </c>
      <c r="C18" s="12">
        <f>S6/U6*100</f>
        <v>22.04992994481632</v>
      </c>
      <c r="D18" s="12">
        <f>T6/U6*100</f>
        <v>4.6557879544048726</v>
      </c>
      <c r="E18" s="12">
        <f t="shared" ref="E18:E19" si="0">W6/U6*100</f>
        <v>5.2857163731059531</v>
      </c>
    </row>
    <row r="19" spans="1:5" ht="15" customHeight="1" x14ac:dyDescent="0.25">
      <c r="A19" s="10" t="s">
        <v>70</v>
      </c>
      <c r="B19" s="12">
        <f>R7/U7*100</f>
        <v>55.943084351414832</v>
      </c>
      <c r="C19" s="12">
        <f>S7/U7*100</f>
        <v>26.370817302410433</v>
      </c>
      <c r="D19" s="12">
        <f>T7/U7*100</f>
        <v>8.2111986931861676</v>
      </c>
      <c r="E19" s="12">
        <f t="shared" si="0"/>
        <v>9.4748996529885492</v>
      </c>
    </row>
    <row r="20" spans="1:5" ht="15" customHeight="1" x14ac:dyDescent="0.25">
      <c r="A20" s="10" t="s">
        <v>127</v>
      </c>
      <c r="B20" s="12">
        <f>'Descriptive Stats'!B19/'Descriptive Stats'!B22*100</f>
        <v>59.516922750182843</v>
      </c>
      <c r="C20" s="12">
        <f>'Descriptive Stats'!B20/'Descriptive Stats'!B22*100</f>
        <v>24.435017857660014</v>
      </c>
      <c r="D20" s="12">
        <f>'Descriptive Stats'!B21/'Descriptive Stats'!B22*100</f>
        <v>7.2831756508666841</v>
      </c>
      <c r="E20" s="12">
        <f>'Descriptive Stats'!B23/'Descriptive Stats'!B22*100</f>
        <v>8.7648837412904612</v>
      </c>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T19"/>
  <sheetViews>
    <sheetView zoomScaleNormal="100" workbookViewId="0">
      <pane xSplit="2" ySplit="4" topLeftCell="C5" activePane="bottomRight" state="frozen"/>
      <selection pane="topRight" activeCell="C1" sqref="C1"/>
      <selection pane="bottomLeft" activeCell="A5" sqref="A5"/>
      <selection pane="bottomRight"/>
    </sheetView>
  </sheetViews>
  <sheetFormatPr defaultColWidth="8.7109375" defaultRowHeight="15" x14ac:dyDescent="0.25"/>
  <cols>
    <col min="1" max="1" width="26" style="1" customWidth="1"/>
    <col min="2" max="2" width="12" style="1" customWidth="1"/>
    <col min="3" max="20" width="11" style="1" customWidth="1"/>
  </cols>
  <sheetData>
    <row r="1" spans="1:20" ht="15.75" customHeight="1" x14ac:dyDescent="0.25">
      <c r="A1" s="2" t="s">
        <v>128</v>
      </c>
    </row>
    <row r="2" spans="1:20" ht="15" customHeight="1" x14ac:dyDescent="0.25">
      <c r="A2" s="5" t="s">
        <v>129</v>
      </c>
    </row>
    <row r="4" spans="1:20" ht="23.25" customHeight="1" x14ac:dyDescent="0.25">
      <c r="A4" s="6" t="s">
        <v>130</v>
      </c>
      <c r="B4" s="6" t="s">
        <v>131</v>
      </c>
      <c r="C4" s="6" t="s">
        <v>25</v>
      </c>
      <c r="D4" s="6" t="s">
        <v>26</v>
      </c>
      <c r="E4" s="6" t="s">
        <v>27</v>
      </c>
      <c r="F4" s="6" t="s">
        <v>28</v>
      </c>
      <c r="G4" s="6" t="s">
        <v>29</v>
      </c>
      <c r="H4" s="6" t="s">
        <v>30</v>
      </c>
      <c r="I4" s="6" t="s">
        <v>31</v>
      </c>
      <c r="J4" s="6" t="s">
        <v>32</v>
      </c>
      <c r="K4" s="6" t="s">
        <v>33</v>
      </c>
      <c r="L4" s="6" t="s">
        <v>34</v>
      </c>
      <c r="M4" s="6" t="s">
        <v>35</v>
      </c>
      <c r="N4" s="6" t="s">
        <v>36</v>
      </c>
      <c r="O4" s="6" t="s">
        <v>37</v>
      </c>
      <c r="P4" s="6" t="s">
        <v>38</v>
      </c>
      <c r="Q4" s="6" t="s">
        <v>39</v>
      </c>
      <c r="R4" s="6" t="s">
        <v>40</v>
      </c>
      <c r="S4" s="6" t="s">
        <v>41</v>
      </c>
      <c r="T4" s="6" t="s">
        <v>42</v>
      </c>
    </row>
    <row r="5" spans="1:20" ht="15" customHeight="1" x14ac:dyDescent="0.25">
      <c r="A5" s="10" t="s">
        <v>45</v>
      </c>
      <c r="B5" s="10" t="s">
        <v>23</v>
      </c>
      <c r="C5" s="16">
        <f>'Site Means'!D5</f>
        <v>2.7946666666666666</v>
      </c>
      <c r="D5" s="16">
        <f>'Site Means'!E5</f>
        <v>6.4113333333333342</v>
      </c>
      <c r="E5" s="16">
        <f>'Site Means'!F5</f>
        <v>3.7826666666666662</v>
      </c>
      <c r="F5" s="16">
        <f>'Site Means'!G5</f>
        <v>3.7826666666666671</v>
      </c>
      <c r="G5" s="16">
        <f>'Site Means'!H5</f>
        <v>8.1226666666666656</v>
      </c>
      <c r="H5" s="16">
        <f>'Site Means'!I5</f>
        <v>10.883666666666665</v>
      </c>
      <c r="I5" s="16">
        <f>'Site Means'!J5</f>
        <v>2.5306666666666668</v>
      </c>
      <c r="J5" s="16">
        <f>'Site Means'!K5</f>
        <v>4.9856666666666669</v>
      </c>
      <c r="K5" s="16">
        <f>'Site Means'!L5</f>
        <v>0.5</v>
      </c>
      <c r="L5" s="16">
        <f>'Site Means'!M5</f>
        <v>0.5</v>
      </c>
      <c r="M5" s="16">
        <f>'Site Means'!N5</f>
        <v>0.5</v>
      </c>
      <c r="N5" s="16">
        <f>'Site Means'!O5</f>
        <v>1.0449999999999999</v>
      </c>
      <c r="O5" s="16">
        <f>'Site Means'!P5</f>
        <v>0.5</v>
      </c>
      <c r="P5" s="16">
        <f>'Site Means'!Q5</f>
        <v>2.2070000000000003</v>
      </c>
      <c r="Q5" s="16">
        <f>'Site Means'!R5</f>
        <v>35.777666666666669</v>
      </c>
      <c r="R5" s="16">
        <f>'Site Means'!S5</f>
        <v>8.5163333333333338</v>
      </c>
      <c r="S5" s="16">
        <f>'Site Means'!T5</f>
        <v>1.5449999999999999</v>
      </c>
      <c r="T5" s="16">
        <f>'Site Means'!U5</f>
        <v>48.545999999999992</v>
      </c>
    </row>
    <row r="6" spans="1:20" ht="15" customHeight="1" x14ac:dyDescent="0.25">
      <c r="A6" s="10" t="s">
        <v>49</v>
      </c>
      <c r="B6" s="10" t="s">
        <v>23</v>
      </c>
      <c r="C6" s="16">
        <f>'Site Means'!D6</f>
        <v>0.5</v>
      </c>
      <c r="D6" s="16">
        <f>'Site Means'!E6</f>
        <v>4.6760000000000002</v>
      </c>
      <c r="E6" s="16">
        <f>'Site Means'!F6</f>
        <v>0.5</v>
      </c>
      <c r="F6" s="16">
        <f>'Site Means'!G6</f>
        <v>0.5</v>
      </c>
      <c r="G6" s="16">
        <f>'Site Means'!H6</f>
        <v>7.261333333333333</v>
      </c>
      <c r="H6" s="16">
        <f>'Site Means'!I6</f>
        <v>8.3356666666666666</v>
      </c>
      <c r="I6" s="16">
        <f>'Site Means'!J6</f>
        <v>0.5</v>
      </c>
      <c r="J6" s="16">
        <f>'Site Means'!K6</f>
        <v>0.98499999999999999</v>
      </c>
      <c r="K6" s="16">
        <f>'Site Means'!L6</f>
        <v>0.5</v>
      </c>
      <c r="L6" s="16">
        <f>'Site Means'!M6</f>
        <v>0.5</v>
      </c>
      <c r="M6" s="16">
        <f>'Site Means'!N6</f>
        <v>0.5</v>
      </c>
      <c r="N6" s="16">
        <f>'Site Means'!O6</f>
        <v>0.5</v>
      </c>
      <c r="O6" s="16">
        <f>'Site Means'!P6</f>
        <v>0.5</v>
      </c>
      <c r="P6" s="16">
        <f>'Site Means'!Q6</f>
        <v>0.5</v>
      </c>
      <c r="Q6" s="16">
        <f>'Site Means'!R6</f>
        <v>21.773</v>
      </c>
      <c r="R6" s="16">
        <f>'Site Means'!S6</f>
        <v>2.4849999999999999</v>
      </c>
      <c r="S6" s="16">
        <f>'Site Means'!T6</f>
        <v>1</v>
      </c>
      <c r="T6" s="16">
        <f>'Site Means'!U6</f>
        <v>26.257999999999999</v>
      </c>
    </row>
    <row r="7" spans="1:20" ht="15" customHeight="1" x14ac:dyDescent="0.25">
      <c r="A7" s="10" t="s">
        <v>53</v>
      </c>
      <c r="B7" s="10" t="s">
        <v>23</v>
      </c>
      <c r="C7" s="16">
        <f>'Site Means'!D7</f>
        <v>7.5616666666666665</v>
      </c>
      <c r="D7" s="16">
        <f>'Site Means'!E7</f>
        <v>11.585333333333333</v>
      </c>
      <c r="E7" s="16">
        <f>'Site Means'!F7</f>
        <v>7.0156666666666672</v>
      </c>
      <c r="F7" s="16">
        <f>'Site Means'!G7</f>
        <v>8.6126666666666676</v>
      </c>
      <c r="G7" s="16">
        <f>'Site Means'!H7</f>
        <v>9.2243333333333339</v>
      </c>
      <c r="H7" s="16">
        <f>'Site Means'!I7</f>
        <v>18.710333333333335</v>
      </c>
      <c r="I7" s="16">
        <f>'Site Means'!J7</f>
        <v>7.4119999999999999</v>
      </c>
      <c r="J7" s="16">
        <f>'Site Means'!K7</f>
        <v>14.601999999999999</v>
      </c>
      <c r="K7" s="16">
        <f>'Site Means'!L7</f>
        <v>3.6903333333333337</v>
      </c>
      <c r="L7" s="16">
        <f>'Site Means'!M7</f>
        <v>4.2789999999999999</v>
      </c>
      <c r="M7" s="16">
        <f>'Site Means'!N7</f>
        <v>4.3643333333333336</v>
      </c>
      <c r="N7" s="16">
        <f>'Site Means'!O7</f>
        <v>7.1326666666666663</v>
      </c>
      <c r="O7" s="16">
        <f>'Site Means'!P7</f>
        <v>6.7296666666666667</v>
      </c>
      <c r="P7" s="16">
        <f>'Site Means'!Q7</f>
        <v>9.5573333333333341</v>
      </c>
      <c r="Q7" s="16">
        <f>'Site Means'!R7</f>
        <v>62.71</v>
      </c>
      <c r="R7" s="16">
        <f>'Site Means'!S7</f>
        <v>29.983333333333334</v>
      </c>
      <c r="S7" s="16">
        <f>'Site Means'!T7</f>
        <v>11.497</v>
      </c>
      <c r="T7" s="16">
        <f>'Site Means'!U7</f>
        <v>120.47733333333333</v>
      </c>
    </row>
    <row r="8" spans="1:20" ht="15" customHeight="1" x14ac:dyDescent="0.25">
      <c r="A8" s="10" t="s">
        <v>58</v>
      </c>
      <c r="B8" s="10" t="s">
        <v>23</v>
      </c>
      <c r="C8" s="16">
        <f>'Site Means'!D8</f>
        <v>4.2979999999999992</v>
      </c>
      <c r="D8" s="16">
        <f>'Site Means'!E8</f>
        <v>6.1230000000000002</v>
      </c>
      <c r="E8" s="16">
        <f>'Site Means'!F8</f>
        <v>0.5</v>
      </c>
      <c r="F8" s="16">
        <f>'Site Means'!G8</f>
        <v>5.4633333333333338</v>
      </c>
      <c r="G8" s="16">
        <f>'Site Means'!H8</f>
        <v>6.5479999999999992</v>
      </c>
      <c r="H8" s="16">
        <f>'Site Means'!I8</f>
        <v>13</v>
      </c>
      <c r="I8" s="16">
        <f>'Site Means'!J8</f>
        <v>3.0996666666666663</v>
      </c>
      <c r="J8" s="16">
        <f>'Site Means'!K8</f>
        <v>6.105666666666667</v>
      </c>
      <c r="K8" s="16">
        <f>'Site Means'!L8</f>
        <v>0.5</v>
      </c>
      <c r="L8" s="16">
        <f>'Site Means'!M8</f>
        <v>0.5</v>
      </c>
      <c r="M8" s="16">
        <f>'Site Means'!N8</f>
        <v>1.1813333333333333</v>
      </c>
      <c r="N8" s="16">
        <f>'Site Means'!O8</f>
        <v>3.3569999999999998</v>
      </c>
      <c r="O8" s="16">
        <f>'Site Means'!P8</f>
        <v>0.5</v>
      </c>
      <c r="P8" s="16">
        <f>'Site Means'!Q8</f>
        <v>0.5</v>
      </c>
      <c r="Q8" s="16">
        <f>'Site Means'!R8</f>
        <v>35.932333333333332</v>
      </c>
      <c r="R8" s="16">
        <f>'Site Means'!S8</f>
        <v>10.205333333333334</v>
      </c>
      <c r="S8" s="16">
        <f>'Site Means'!T8</f>
        <v>4.5383333333333331</v>
      </c>
      <c r="T8" s="16">
        <f>'Site Means'!U8</f>
        <v>51.675999999999995</v>
      </c>
    </row>
    <row r="9" spans="1:20" ht="15" customHeight="1" x14ac:dyDescent="0.25">
      <c r="A9" s="10" t="s">
        <v>62</v>
      </c>
      <c r="B9" s="10" t="s">
        <v>23</v>
      </c>
      <c r="C9" s="16">
        <f>'Site Means'!D9</f>
        <v>6.0546666666666669</v>
      </c>
      <c r="D9" s="16">
        <f>'Site Means'!E9</f>
        <v>8.6763333333333339</v>
      </c>
      <c r="E9" s="16">
        <f>'Site Means'!F9</f>
        <v>5.0189999999999992</v>
      </c>
      <c r="F9" s="16">
        <f>'Site Means'!G9</f>
        <v>3.3926666666666669</v>
      </c>
      <c r="G9" s="16">
        <f>'Site Means'!H9</f>
        <v>7.387999999999999</v>
      </c>
      <c r="H9" s="16">
        <f>'Site Means'!I9</f>
        <v>18.89</v>
      </c>
      <c r="I9" s="16">
        <f>'Site Means'!J9</f>
        <v>4.0103333333333335</v>
      </c>
      <c r="J9" s="16">
        <f>'Site Means'!K9</f>
        <v>7.9003333333333332</v>
      </c>
      <c r="K9" s="16">
        <f>'Site Means'!L9</f>
        <v>0.5</v>
      </c>
      <c r="L9" s="16">
        <f>'Site Means'!M9</f>
        <v>2.9736666666666665</v>
      </c>
      <c r="M9" s="16">
        <f>'Site Means'!N9</f>
        <v>0.5</v>
      </c>
      <c r="N9" s="16">
        <f>'Site Means'!O9</f>
        <v>2.5180000000000002</v>
      </c>
      <c r="O9" s="16">
        <f>'Site Means'!P9</f>
        <v>1.1856666666666669</v>
      </c>
      <c r="P9" s="16">
        <f>'Site Means'!Q9</f>
        <v>3.7963333333333331</v>
      </c>
      <c r="Q9" s="16">
        <f>'Site Means'!R9</f>
        <v>49.420666666666669</v>
      </c>
      <c r="R9" s="16">
        <f>'Site Means'!S9</f>
        <v>15.384333333333332</v>
      </c>
      <c r="S9" s="16">
        <f>'Site Means'!T9</f>
        <v>3.0180000000000002</v>
      </c>
      <c r="T9" s="16">
        <f>'Site Means'!U9</f>
        <v>72.804999999999993</v>
      </c>
    </row>
    <row r="10" spans="1:20" ht="15" customHeight="1" x14ac:dyDescent="0.25">
      <c r="A10" s="10" t="s">
        <v>66</v>
      </c>
      <c r="B10" s="10" t="s">
        <v>23</v>
      </c>
      <c r="C10" s="16">
        <f>'Site Means'!D10</f>
        <v>6.5976666666666661</v>
      </c>
      <c r="D10" s="16">
        <f>'Site Means'!E10</f>
        <v>9.0756666666666685</v>
      </c>
      <c r="E10" s="16">
        <f>'Site Means'!F10</f>
        <v>5.8589999999999991</v>
      </c>
      <c r="F10" s="16">
        <f>'Site Means'!G10</f>
        <v>4.7519999999999998</v>
      </c>
      <c r="G10" s="16">
        <f>'Site Means'!H10</f>
        <v>7.6419999999999995</v>
      </c>
      <c r="H10" s="16">
        <f>'Site Means'!I10</f>
        <v>20.352</v>
      </c>
      <c r="I10" s="16">
        <f>'Site Means'!J10</f>
        <v>5.3076666666666661</v>
      </c>
      <c r="J10" s="16">
        <f>'Site Means'!K10</f>
        <v>10.522666666666668</v>
      </c>
      <c r="K10" s="16">
        <f>'Site Means'!L10</f>
        <v>0.5</v>
      </c>
      <c r="L10" s="16">
        <f>'Site Means'!M10</f>
        <v>3.3516666666666666</v>
      </c>
      <c r="M10" s="16">
        <f>'Site Means'!N10</f>
        <v>1.5026666666666666</v>
      </c>
      <c r="N10" s="16">
        <f>'Site Means'!O10</f>
        <v>0.5</v>
      </c>
      <c r="O10" s="16">
        <f>'Site Means'!P10</f>
        <v>1.3339999999999999</v>
      </c>
      <c r="P10" s="16">
        <f>'Site Means'!Q10</f>
        <v>3.5363333333333333</v>
      </c>
      <c r="Q10" s="16">
        <f>'Site Means'!R10</f>
        <v>54.278333333333329</v>
      </c>
      <c r="R10" s="16">
        <f>'Site Means'!S10</f>
        <v>19.681999999999999</v>
      </c>
      <c r="S10" s="16">
        <f>'Site Means'!T10</f>
        <v>2.0026666666666668</v>
      </c>
      <c r="T10" s="16">
        <f>'Site Means'!U10</f>
        <v>80.833333333333329</v>
      </c>
    </row>
    <row r="11" spans="1:20" ht="15" customHeight="1" x14ac:dyDescent="0.25">
      <c r="A11" s="10" t="s">
        <v>71</v>
      </c>
      <c r="B11" s="10" t="s">
        <v>23</v>
      </c>
      <c r="C11" s="16">
        <f>'Site Means'!D11</f>
        <v>8.3486666666666682</v>
      </c>
      <c r="D11" s="16">
        <f>'Site Means'!E11</f>
        <v>8.9196666666666662</v>
      </c>
      <c r="E11" s="16">
        <f>'Site Means'!F11</f>
        <v>0.5</v>
      </c>
      <c r="F11" s="16">
        <f>'Site Means'!G11</f>
        <v>5.0226666666666668</v>
      </c>
      <c r="G11" s="16">
        <f>'Site Means'!H11</f>
        <v>7.5989999999999993</v>
      </c>
      <c r="H11" s="16">
        <f>'Site Means'!I11</f>
        <v>19.880666666666666</v>
      </c>
      <c r="I11" s="16">
        <f>'Site Means'!J11</f>
        <v>6.7890000000000006</v>
      </c>
      <c r="J11" s="16">
        <f>'Site Means'!K11</f>
        <v>13.374333333333334</v>
      </c>
      <c r="K11" s="16">
        <f>'Site Means'!L11</f>
        <v>2.7393333333333332</v>
      </c>
      <c r="L11" s="16">
        <f>'Site Means'!M11</f>
        <v>3.1933333333333334</v>
      </c>
      <c r="M11" s="16">
        <f>'Site Means'!N11</f>
        <v>1.7313333333333334</v>
      </c>
      <c r="N11" s="16">
        <f>'Site Means'!O11</f>
        <v>3.690666666666667</v>
      </c>
      <c r="O11" s="16">
        <f>'Site Means'!P11</f>
        <v>0.5</v>
      </c>
      <c r="P11" s="16">
        <f>'Site Means'!Q11</f>
        <v>3.1716666666666669</v>
      </c>
      <c r="Q11" s="16">
        <f>'Site Means'!R11</f>
        <v>50.270666666666671</v>
      </c>
      <c r="R11" s="16">
        <f>'Site Means'!S11</f>
        <v>26.096</v>
      </c>
      <c r="S11" s="16">
        <f>'Site Means'!T11</f>
        <v>5.4219999999999997</v>
      </c>
      <c r="T11" s="16">
        <f>'Site Means'!U11</f>
        <v>85.460333333333324</v>
      </c>
    </row>
    <row r="12" spans="1:20" ht="15" customHeight="1" x14ac:dyDescent="0.25">
      <c r="A12" s="10" t="s">
        <v>75</v>
      </c>
      <c r="B12" s="10" t="s">
        <v>23</v>
      </c>
      <c r="C12" s="16">
        <f>'Site Means'!D12</f>
        <v>9.2173333333333325</v>
      </c>
      <c r="D12" s="16">
        <f>'Site Means'!E12</f>
        <v>8.7166666666666668</v>
      </c>
      <c r="E12" s="16">
        <f>'Site Means'!F12</f>
        <v>8.5176666666666652</v>
      </c>
      <c r="F12" s="16">
        <f>'Site Means'!G12</f>
        <v>5.1293333333333333</v>
      </c>
      <c r="G12" s="16">
        <f>'Site Means'!H12</f>
        <v>8.1310000000000002</v>
      </c>
      <c r="H12" s="16">
        <f>'Site Means'!I12</f>
        <v>20.945666666666668</v>
      </c>
      <c r="I12" s="16">
        <f>'Site Means'!J12</f>
        <v>5.839666666666667</v>
      </c>
      <c r="J12" s="16">
        <f>'Site Means'!K12</f>
        <v>11.503666666666668</v>
      </c>
      <c r="K12" s="16">
        <f>'Site Means'!L12</f>
        <v>2.33</v>
      </c>
      <c r="L12" s="16">
        <f>'Site Means'!M12</f>
        <v>5.4856666666666669</v>
      </c>
      <c r="M12" s="16">
        <f>'Site Means'!N12</f>
        <v>2.0963333333333334</v>
      </c>
      <c r="N12" s="16">
        <f>'Site Means'!O12</f>
        <v>3.7639999999999998</v>
      </c>
      <c r="O12" s="16">
        <f>'Site Means'!P12</f>
        <v>3.3260000000000001</v>
      </c>
      <c r="P12" s="16">
        <f>'Site Means'!Q12</f>
        <v>5.7333333333333334</v>
      </c>
      <c r="Q12" s="16">
        <f>'Site Means'!R12</f>
        <v>60.657666666666664</v>
      </c>
      <c r="R12" s="16">
        <f>'Site Means'!S12</f>
        <v>25.159000000000002</v>
      </c>
      <c r="S12" s="16">
        <f>'Site Means'!T12</f>
        <v>5.8603333333333332</v>
      </c>
      <c r="T12" s="16">
        <f>'Site Means'!U12</f>
        <v>100.73633333333333</v>
      </c>
    </row>
    <row r="13" spans="1:20" ht="15" customHeight="1" x14ac:dyDescent="0.25">
      <c r="A13" s="10" t="s">
        <v>79</v>
      </c>
      <c r="B13" s="10" t="s">
        <v>23</v>
      </c>
      <c r="C13" s="16">
        <f>'Site Means'!D13</f>
        <v>9.4560000000000013</v>
      </c>
      <c r="D13" s="16">
        <f>'Site Means'!E13</f>
        <v>10.034666666666666</v>
      </c>
      <c r="E13" s="16">
        <f>'Site Means'!F13</f>
        <v>6.3860000000000001</v>
      </c>
      <c r="F13" s="16">
        <f>'Site Means'!G13</f>
        <v>8.6613333333333333</v>
      </c>
      <c r="G13" s="16">
        <f>'Site Means'!H13</f>
        <v>9.2606666666666673</v>
      </c>
      <c r="H13" s="16">
        <f>'Site Means'!I13</f>
        <v>21.23</v>
      </c>
      <c r="I13" s="16">
        <f>'Site Means'!J13</f>
        <v>7.4593333333333334</v>
      </c>
      <c r="J13" s="16">
        <f>'Site Means'!K13</f>
        <v>14.695666666666668</v>
      </c>
      <c r="K13" s="16">
        <f>'Site Means'!L13</f>
        <v>2.2613333333333334</v>
      </c>
      <c r="L13" s="16">
        <f>'Site Means'!M13</f>
        <v>6.0459999999999994</v>
      </c>
      <c r="M13" s="16">
        <f>'Site Means'!N13</f>
        <v>3.3306666666666671</v>
      </c>
      <c r="N13" s="16">
        <f>'Site Means'!O13</f>
        <v>4.6463333333333336</v>
      </c>
      <c r="O13" s="16">
        <f>'Site Means'!P13</f>
        <v>2.8656666666666673</v>
      </c>
      <c r="P13" s="16">
        <f>'Site Means'!Q13</f>
        <v>5.407</v>
      </c>
      <c r="Q13" s="16">
        <f>'Site Means'!R13</f>
        <v>65.028666666666666</v>
      </c>
      <c r="R13" s="16">
        <f>'Site Means'!S13</f>
        <v>30.462333333333333</v>
      </c>
      <c r="S13" s="16">
        <f>'Site Means'!T13</f>
        <v>7.9769999999999994</v>
      </c>
      <c r="T13" s="16">
        <f>'Site Means'!U13</f>
        <v>111.74066666666666</v>
      </c>
    </row>
    <row r="14" spans="1:20" ht="15" customHeight="1" x14ac:dyDescent="0.25">
      <c r="A14" s="10" t="s">
        <v>83</v>
      </c>
      <c r="B14" s="10" t="s">
        <v>23</v>
      </c>
      <c r="C14" s="16">
        <f>'Site Means'!D14</f>
        <v>9.984</v>
      </c>
      <c r="D14" s="16">
        <f>'Site Means'!E14</f>
        <v>13.183666666666667</v>
      </c>
      <c r="E14" s="16">
        <f>'Site Means'!F14</f>
        <v>9.1683333333333348</v>
      </c>
      <c r="F14" s="16">
        <f>'Site Means'!G14</f>
        <v>6.5249999999999995</v>
      </c>
      <c r="G14" s="16">
        <f>'Site Means'!H14</f>
        <v>9.1703333333333337</v>
      </c>
      <c r="H14" s="16">
        <f>'Site Means'!I14</f>
        <v>23.928666666666668</v>
      </c>
      <c r="I14" s="16">
        <f>'Site Means'!J14</f>
        <v>6.7353333333333332</v>
      </c>
      <c r="J14" s="16">
        <f>'Site Means'!K14</f>
        <v>13.335666666666667</v>
      </c>
      <c r="K14" s="16">
        <f>'Site Means'!L14</f>
        <v>3.5483333333333333</v>
      </c>
      <c r="L14" s="16">
        <f>'Site Means'!M14</f>
        <v>8.250333333333332</v>
      </c>
      <c r="M14" s="16">
        <f>'Site Means'!N14</f>
        <v>4.323666666666667</v>
      </c>
      <c r="N14" s="16">
        <f>'Site Means'!O14</f>
        <v>7.2303333333333333</v>
      </c>
      <c r="O14" s="16">
        <f>'Site Means'!P14</f>
        <v>4.9573333333333336</v>
      </c>
      <c r="P14" s="16">
        <f>'Site Means'!Q14</f>
        <v>8.24</v>
      </c>
      <c r="Q14" s="16">
        <f>'Site Means'!R14</f>
        <v>71.959999999999994</v>
      </c>
      <c r="R14" s="16">
        <f>'Site Means'!S14</f>
        <v>31.869666666666664</v>
      </c>
      <c r="S14" s="16">
        <f>'Site Means'!T14</f>
        <v>11.554</v>
      </c>
      <c r="T14" s="16">
        <f>'Site Means'!U14</f>
        <v>128.58099999999999</v>
      </c>
    </row>
    <row r="15" spans="1:20" ht="15" customHeight="1" x14ac:dyDescent="0.25">
      <c r="A15" s="10" t="s">
        <v>87</v>
      </c>
      <c r="B15" s="10" t="s">
        <v>23</v>
      </c>
      <c r="C15" s="16">
        <f>'Site Means'!D15</f>
        <v>12.125666666666667</v>
      </c>
      <c r="D15" s="16">
        <f>'Site Means'!E15</f>
        <v>13.853</v>
      </c>
      <c r="E15" s="16">
        <f>'Site Means'!F15</f>
        <v>11.514000000000001</v>
      </c>
      <c r="F15" s="16">
        <f>'Site Means'!G15</f>
        <v>9.3116666666666674</v>
      </c>
      <c r="G15" s="16">
        <f>'Site Means'!H15</f>
        <v>11.402666666666667</v>
      </c>
      <c r="H15" s="16">
        <f>'Site Means'!I15</f>
        <v>29.953333333333333</v>
      </c>
      <c r="I15" s="16">
        <f>'Site Means'!J15</f>
        <v>8.4113333333333333</v>
      </c>
      <c r="J15" s="16">
        <f>'Site Means'!K15</f>
        <v>16.603666666666669</v>
      </c>
      <c r="K15" s="16">
        <f>'Site Means'!L15</f>
        <v>4.4656666666666665</v>
      </c>
      <c r="L15" s="16">
        <f>'Site Means'!M15</f>
        <v>15.354666666666667</v>
      </c>
      <c r="M15" s="16">
        <f>'Site Means'!N15</f>
        <v>7.7853333333333339</v>
      </c>
      <c r="N15" s="16">
        <f>'Site Means'!O15</f>
        <v>10.729999999999999</v>
      </c>
      <c r="O15" s="16">
        <f>'Site Means'!P15</f>
        <v>9.1616666666666671</v>
      </c>
      <c r="P15" s="16">
        <f>'Site Means'!Q15</f>
        <v>13.557666666666668</v>
      </c>
      <c r="Q15" s="16">
        <f>'Site Means'!R15</f>
        <v>88.160333333333327</v>
      </c>
      <c r="R15" s="16">
        <f>'Site Means'!S15</f>
        <v>44.835333333333331</v>
      </c>
      <c r="S15" s="16">
        <f>'Site Means'!T15</f>
        <v>18.515333333333334</v>
      </c>
      <c r="T15" s="16">
        <f>'Site Means'!U15</f>
        <v>174.23033333333333</v>
      </c>
    </row>
    <row r="16" spans="1:20" ht="15" customHeight="1" x14ac:dyDescent="0.25">
      <c r="A16" s="17" t="s">
        <v>44</v>
      </c>
      <c r="B16" s="10" t="s">
        <v>22</v>
      </c>
      <c r="C16" s="16">
        <f>'Zone Means'!D5</f>
        <v>3.6187777777777779</v>
      </c>
      <c r="D16" s="16">
        <f>'Zone Means'!E5</f>
        <v>7.557555555555556</v>
      </c>
      <c r="E16" s="16">
        <f>'Zone Means'!F5</f>
        <v>3.7661111111111105</v>
      </c>
      <c r="F16" s="16">
        <f>'Zone Means'!G5</f>
        <v>4.2984444444444447</v>
      </c>
      <c r="G16" s="16">
        <f>'Zone Means'!H5</f>
        <v>8.2027777777777775</v>
      </c>
      <c r="H16" s="16">
        <f>'Zone Means'!I5</f>
        <v>12.643222222222223</v>
      </c>
      <c r="I16" s="16">
        <f>'Zone Means'!J5</f>
        <v>3.4808888888888894</v>
      </c>
      <c r="J16" s="16">
        <f>'Zone Means'!K5</f>
        <v>6.857555555555555</v>
      </c>
      <c r="K16" s="16">
        <f>'Zone Means'!L5</f>
        <v>1.5634444444444446</v>
      </c>
      <c r="L16" s="16">
        <f>'Zone Means'!M5</f>
        <v>1.7596666666666667</v>
      </c>
      <c r="M16" s="16">
        <f>'Zone Means'!N5</f>
        <v>1.7881111111111112</v>
      </c>
      <c r="N16" s="16">
        <f>'Zone Means'!O5</f>
        <v>2.8925555555555555</v>
      </c>
      <c r="O16" s="16">
        <f>'Zone Means'!P5</f>
        <v>2.5765555555555557</v>
      </c>
      <c r="P16" s="16">
        <f>'Zone Means'!Q5</f>
        <v>4.088111111111111</v>
      </c>
      <c r="Q16" s="16">
        <f>'Zone Means'!R5</f>
        <v>40.086888888888886</v>
      </c>
      <c r="R16" s="16">
        <f>'Zone Means'!S5</f>
        <v>13.661555555555555</v>
      </c>
      <c r="S16" s="16">
        <f>'Zone Means'!T5</f>
        <v>4.6806666666666663</v>
      </c>
      <c r="T16" s="16">
        <f>'Zone Means'!U5</f>
        <v>65.093777777777788</v>
      </c>
    </row>
    <row r="17" spans="1:20" ht="15" customHeight="1" x14ac:dyDescent="0.25">
      <c r="A17" s="17" t="s">
        <v>57</v>
      </c>
      <c r="B17" s="10" t="s">
        <v>22</v>
      </c>
      <c r="C17" s="16">
        <f>'Zone Means'!D6</f>
        <v>5.6501111111111113</v>
      </c>
      <c r="D17" s="16">
        <f>'Zone Means'!E6</f>
        <v>7.958333333333333</v>
      </c>
      <c r="E17" s="16">
        <f>'Zone Means'!F6</f>
        <v>3.7926666666666669</v>
      </c>
      <c r="F17" s="16">
        <f>'Zone Means'!G6</f>
        <v>4.5360000000000005</v>
      </c>
      <c r="G17" s="16">
        <f>'Zone Means'!H6</f>
        <v>7.1926666666666677</v>
      </c>
      <c r="H17" s="16">
        <f>'Zone Means'!I6</f>
        <v>17.414000000000001</v>
      </c>
      <c r="I17" s="16">
        <f>'Zone Means'!J6</f>
        <v>4.1392222222222221</v>
      </c>
      <c r="J17" s="16">
        <f>'Zone Means'!K6</f>
        <v>8.1762222222222221</v>
      </c>
      <c r="K17" s="16">
        <f>'Zone Means'!L6</f>
        <v>0.5</v>
      </c>
      <c r="L17" s="16">
        <f>'Zone Means'!M6</f>
        <v>2.2751111111111109</v>
      </c>
      <c r="M17" s="16">
        <f>'Zone Means'!N6</f>
        <v>1.0613333333333332</v>
      </c>
      <c r="N17" s="16">
        <f>'Zone Means'!O6</f>
        <v>2.125</v>
      </c>
      <c r="O17" s="16">
        <f>'Zone Means'!P6</f>
        <v>1.0065555555555556</v>
      </c>
      <c r="P17" s="16">
        <f>'Zone Means'!Q6</f>
        <v>2.6108888888888888</v>
      </c>
      <c r="Q17" s="16">
        <f>'Zone Means'!R6</f>
        <v>46.54377777777777</v>
      </c>
      <c r="R17" s="16">
        <f>'Zone Means'!S6</f>
        <v>15.090555555555556</v>
      </c>
      <c r="S17" s="16">
        <f>'Zone Means'!T6</f>
        <v>3.1863333333333337</v>
      </c>
      <c r="T17" s="16">
        <f>'Zone Means'!U6</f>
        <v>68.438111111111112</v>
      </c>
    </row>
    <row r="18" spans="1:20" ht="15" customHeight="1" x14ac:dyDescent="0.25">
      <c r="A18" s="17" t="s">
        <v>70</v>
      </c>
      <c r="B18" s="10" t="s">
        <v>22</v>
      </c>
      <c r="C18" s="16">
        <f>'Zone Means'!D7</f>
        <v>9.8263333333333343</v>
      </c>
      <c r="D18" s="16">
        <f>'Zone Means'!E7</f>
        <v>10.941533333333332</v>
      </c>
      <c r="E18" s="16">
        <f>'Zone Means'!F7</f>
        <v>7.2172000000000009</v>
      </c>
      <c r="F18" s="16">
        <f>'Zone Means'!G7</f>
        <v>6.9300000000000015</v>
      </c>
      <c r="G18" s="16">
        <f>'Zone Means'!H7</f>
        <v>9.1127333333333329</v>
      </c>
      <c r="H18" s="16">
        <f>'Zone Means'!I7</f>
        <v>23.187666666666665</v>
      </c>
      <c r="I18" s="16">
        <f>'Zone Means'!J7</f>
        <v>7.0469333333333326</v>
      </c>
      <c r="J18" s="16">
        <f>'Zone Means'!K7</f>
        <v>13.9026</v>
      </c>
      <c r="K18" s="16">
        <f>'Zone Means'!L7</f>
        <v>3.0689333333333337</v>
      </c>
      <c r="L18" s="16">
        <f>'Zone Means'!M7</f>
        <v>7.6659999999999995</v>
      </c>
      <c r="M18" s="16">
        <f>'Zone Means'!N7</f>
        <v>3.8534666666666664</v>
      </c>
      <c r="N18" s="16">
        <f>'Zone Means'!O7</f>
        <v>6.0122666666666653</v>
      </c>
      <c r="O18" s="16">
        <f>'Zone Means'!P7</f>
        <v>4.1621333333333332</v>
      </c>
      <c r="P18" s="16">
        <f>'Zone Means'!Q7</f>
        <v>7.2219333333333315</v>
      </c>
      <c r="Q18" s="16">
        <f>'Zone Means'!R7</f>
        <v>67.215466666666657</v>
      </c>
      <c r="R18" s="16">
        <f>'Zone Means'!S7</f>
        <v>31.684466666666662</v>
      </c>
      <c r="S18" s="16">
        <f>'Zone Means'!T7</f>
        <v>9.865733333333333</v>
      </c>
      <c r="T18" s="16">
        <f>'Zone Means'!U7</f>
        <v>120.14973333333334</v>
      </c>
    </row>
    <row r="19" spans="1:20" ht="15" customHeight="1" x14ac:dyDescent="0.25">
      <c r="A19" s="17" t="s">
        <v>127</v>
      </c>
      <c r="B19" s="10" t="s">
        <v>132</v>
      </c>
      <c r="C19" s="16">
        <f>'Descriptive Stats'!B5</f>
        <v>6.9943939393939409</v>
      </c>
      <c r="D19" s="16">
        <f>'Descriptive Stats'!B6</f>
        <v>9.2050303030303056</v>
      </c>
      <c r="E19" s="16">
        <f>'Descriptive Stats'!B7</f>
        <v>5.3420303030303025</v>
      </c>
      <c r="F19" s="16">
        <f>'Descriptive Stats'!B8</f>
        <v>5.5593939393939387</v>
      </c>
      <c r="G19" s="16">
        <f>'Descriptive Stats'!B9</f>
        <v>8.3409090909090917</v>
      </c>
      <c r="H19" s="16">
        <f>'Descriptive Stats'!B10</f>
        <v>18.737272727272725</v>
      </c>
      <c r="I19" s="16">
        <f>'Descriptive Stats'!B11</f>
        <v>5.281363636363638</v>
      </c>
      <c r="J19" s="16">
        <f>'Descriptive Stats'!B12</f>
        <v>10.419484848484849</v>
      </c>
      <c r="K19" s="16">
        <f>'Descriptive Stats'!B13</f>
        <v>1.9577272727272728</v>
      </c>
      <c r="L19" s="16">
        <f>'Descriptive Stats'!B14</f>
        <v>4.5849393939393934</v>
      </c>
      <c r="M19" s="16">
        <f>'Descriptive Stats'!B15</f>
        <v>2.5286969696969699</v>
      </c>
      <c r="N19" s="16">
        <f>'Descriptive Stats'!B16</f>
        <v>4.1012727272727272</v>
      </c>
      <c r="O19" s="16">
        <f>'Descriptive Stats'!B17</f>
        <v>2.8690909090909082</v>
      </c>
      <c r="P19" s="16">
        <f>'Descriptive Stats'!B18</f>
        <v>5.1096969696969694</v>
      </c>
      <c r="Q19" s="16">
        <f>'Descriptive Stats'!B19</f>
        <v>54.179030303030302</v>
      </c>
      <c r="R19" s="16">
        <f>'Descriptive Stats'!B20</f>
        <v>22.243515151515147</v>
      </c>
      <c r="S19" s="16">
        <f>'Descriptive Stats'!B21</f>
        <v>6.6299696969696962</v>
      </c>
      <c r="T19" s="16">
        <f>'Descriptive Stats'!B22</f>
        <v>91.031303030303022</v>
      </c>
    </row>
  </sheetData>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74"/>
  <sheetViews>
    <sheetView topLeftCell="A43" zoomScaleNormal="100" workbookViewId="0"/>
  </sheetViews>
  <sheetFormatPr defaultColWidth="8.7109375" defaultRowHeight="15" x14ac:dyDescent="0.25"/>
  <cols>
    <col min="1" max="1" width="52" style="1" customWidth="1"/>
    <col min="2" max="2" width="14" style="1" customWidth="1"/>
    <col min="3" max="3" width="18" style="1" customWidth="1"/>
    <col min="4" max="4" width="14" style="1" customWidth="1"/>
    <col min="5" max="5" width="18" style="1" customWidth="1"/>
    <col min="6" max="6" width="14" style="1" customWidth="1"/>
  </cols>
  <sheetData>
    <row r="1" spans="1:6" ht="15.75" customHeight="1" x14ac:dyDescent="0.25">
      <c r="A1" s="2" t="s">
        <v>133</v>
      </c>
    </row>
    <row r="2" spans="1:6" ht="15" customHeight="1" x14ac:dyDescent="0.25">
      <c r="A2" s="5" t="s">
        <v>134</v>
      </c>
    </row>
    <row r="4" spans="1:6" ht="23.25" customHeight="1" x14ac:dyDescent="0.25">
      <c r="A4" s="6" t="s">
        <v>135</v>
      </c>
      <c r="B4" s="6" t="s">
        <v>22</v>
      </c>
      <c r="C4" s="6" t="s">
        <v>136</v>
      </c>
      <c r="D4" s="6" t="s">
        <v>42</v>
      </c>
      <c r="E4" s="6" t="s">
        <v>137</v>
      </c>
      <c r="F4" s="6" t="s">
        <v>138</v>
      </c>
    </row>
    <row r="5" spans="1:6" ht="15" customHeight="1" x14ac:dyDescent="0.25">
      <c r="A5" s="18" t="str">
        <f>'Raw Data'!C5</f>
        <v>BSR1</v>
      </c>
      <c r="B5" s="18" t="str">
        <f>'Raw Data'!A5</f>
        <v>Up-stream</v>
      </c>
      <c r="C5" s="19">
        <v>1</v>
      </c>
      <c r="D5" s="16">
        <f>'Raw Data'!U5</f>
        <v>47.077999999999996</v>
      </c>
      <c r="E5" s="12">
        <f t="shared" ref="E5:E37" si="0">_xlfn.RANK.AVG(D5,$D$5:$D$37,1)</f>
        <v>5</v>
      </c>
      <c r="F5" s="12">
        <f t="shared" ref="F5:F37" si="1">_xlfn.RANK.AVG(C5,$C$5:$C$37,1)</f>
        <v>2</v>
      </c>
    </row>
    <row r="6" spans="1:6" ht="15" customHeight="1" x14ac:dyDescent="0.25">
      <c r="A6" s="18" t="str">
        <f>'Raw Data'!C6</f>
        <v>BSR2</v>
      </c>
      <c r="B6" s="18" t="str">
        <f>'Raw Data'!A6</f>
        <v>Up-stream</v>
      </c>
      <c r="C6" s="19">
        <v>1</v>
      </c>
      <c r="D6" s="16">
        <f>'Raw Data'!U6</f>
        <v>45.862999999999992</v>
      </c>
      <c r="E6" s="12">
        <f t="shared" si="0"/>
        <v>4</v>
      </c>
      <c r="F6" s="12">
        <f t="shared" si="1"/>
        <v>2</v>
      </c>
    </row>
    <row r="7" spans="1:6" ht="15" customHeight="1" x14ac:dyDescent="0.25">
      <c r="A7" s="18" t="str">
        <f>'Raw Data'!C7</f>
        <v>BSR3</v>
      </c>
      <c r="B7" s="18" t="str">
        <f>'Raw Data'!A7</f>
        <v>Up-stream</v>
      </c>
      <c r="C7" s="19">
        <v>1</v>
      </c>
      <c r="D7" s="16">
        <f>'Raw Data'!U7</f>
        <v>52.697000000000003</v>
      </c>
      <c r="E7" s="12">
        <f t="shared" si="0"/>
        <v>8</v>
      </c>
      <c r="F7" s="12">
        <f t="shared" si="1"/>
        <v>2</v>
      </c>
    </row>
    <row r="8" spans="1:6" ht="15" customHeight="1" x14ac:dyDescent="0.25">
      <c r="A8" s="18" t="str">
        <f>'Raw Data'!C8</f>
        <v>ESR1</v>
      </c>
      <c r="B8" s="18" t="str">
        <f>'Raw Data'!A8</f>
        <v>Up-stream</v>
      </c>
      <c r="C8" s="19">
        <v>2</v>
      </c>
      <c r="D8" s="16">
        <f>'Raw Data'!U8</f>
        <v>26.311999999999998</v>
      </c>
      <c r="E8" s="12">
        <f t="shared" si="0"/>
        <v>2</v>
      </c>
      <c r="F8" s="12">
        <f t="shared" si="1"/>
        <v>5</v>
      </c>
    </row>
    <row r="9" spans="1:6" ht="15" customHeight="1" x14ac:dyDescent="0.25">
      <c r="A9" s="18" t="str">
        <f>'Raw Data'!C9</f>
        <v>ESR2</v>
      </c>
      <c r="B9" s="18" t="str">
        <f>'Raw Data'!A9</f>
        <v>Up-stream</v>
      </c>
      <c r="C9" s="19">
        <v>2</v>
      </c>
      <c r="D9" s="16">
        <f>'Raw Data'!U9</f>
        <v>25.61</v>
      </c>
      <c r="E9" s="12">
        <f t="shared" si="0"/>
        <v>1</v>
      </c>
      <c r="F9" s="12">
        <f t="shared" si="1"/>
        <v>5</v>
      </c>
    </row>
    <row r="10" spans="1:6" ht="15" customHeight="1" x14ac:dyDescent="0.25">
      <c r="A10" s="18" t="str">
        <f>'Raw Data'!C10</f>
        <v>ESR3</v>
      </c>
      <c r="B10" s="18" t="str">
        <f>'Raw Data'!A10</f>
        <v>Up-stream</v>
      </c>
      <c r="C10" s="19">
        <v>2</v>
      </c>
      <c r="D10" s="16">
        <f>'Raw Data'!U10</f>
        <v>26.852</v>
      </c>
      <c r="E10" s="12">
        <f t="shared" si="0"/>
        <v>3</v>
      </c>
      <c r="F10" s="12">
        <f t="shared" si="1"/>
        <v>5</v>
      </c>
    </row>
    <row r="11" spans="1:6" ht="15" customHeight="1" x14ac:dyDescent="0.25">
      <c r="A11" s="18" t="str">
        <f>'Raw Data'!C11</f>
        <v>NZSR1</v>
      </c>
      <c r="B11" s="18" t="str">
        <f>'Raw Data'!A11</f>
        <v>Up-stream</v>
      </c>
      <c r="C11" s="19">
        <v>3</v>
      </c>
      <c r="D11" s="16">
        <f>'Raw Data'!U11</f>
        <v>119.91600000000001</v>
      </c>
      <c r="E11" s="12">
        <f t="shared" si="0"/>
        <v>26</v>
      </c>
      <c r="F11" s="12">
        <f t="shared" si="1"/>
        <v>8</v>
      </c>
    </row>
    <row r="12" spans="1:6" ht="15" customHeight="1" x14ac:dyDescent="0.25">
      <c r="A12" s="18" t="str">
        <f>'Raw Data'!C12</f>
        <v>NZSR2</v>
      </c>
      <c r="B12" s="18" t="str">
        <f>'Raw Data'!A12</f>
        <v>Up-stream</v>
      </c>
      <c r="C12" s="19">
        <v>3</v>
      </c>
      <c r="D12" s="16">
        <f>'Raw Data'!U12</f>
        <v>127.22899999999998</v>
      </c>
      <c r="E12" s="12">
        <f t="shared" si="0"/>
        <v>29</v>
      </c>
      <c r="F12" s="12">
        <f t="shared" si="1"/>
        <v>8</v>
      </c>
    </row>
    <row r="13" spans="1:6" ht="15" customHeight="1" x14ac:dyDescent="0.25">
      <c r="A13" s="18" t="str">
        <f>'Raw Data'!C13</f>
        <v>NZSR3</v>
      </c>
      <c r="B13" s="18" t="str">
        <f>'Raw Data'!A13</f>
        <v>Up-stream</v>
      </c>
      <c r="C13" s="19">
        <v>3</v>
      </c>
      <c r="D13" s="16">
        <f>'Raw Data'!U13</f>
        <v>114.28700000000001</v>
      </c>
      <c r="E13" s="12">
        <f t="shared" si="0"/>
        <v>25</v>
      </c>
      <c r="F13" s="12">
        <f t="shared" si="1"/>
        <v>8</v>
      </c>
    </row>
    <row r="14" spans="1:6" ht="15" customHeight="1" x14ac:dyDescent="0.25">
      <c r="A14" s="18" t="str">
        <f>'Raw Data'!C14</f>
        <v>SSR1</v>
      </c>
      <c r="B14" s="18" t="str">
        <f>'Raw Data'!A14</f>
        <v>Mid-stream</v>
      </c>
      <c r="C14" s="19">
        <v>4</v>
      </c>
      <c r="D14" s="16">
        <f>'Raw Data'!U14</f>
        <v>47.290999999999997</v>
      </c>
      <c r="E14" s="12">
        <f t="shared" si="0"/>
        <v>6</v>
      </c>
      <c r="F14" s="12">
        <f t="shared" si="1"/>
        <v>11</v>
      </c>
    </row>
    <row r="15" spans="1:6" ht="15" customHeight="1" x14ac:dyDescent="0.25">
      <c r="A15" s="18" t="str">
        <f>'Raw Data'!C15</f>
        <v>SSR2</v>
      </c>
      <c r="B15" s="18" t="str">
        <f>'Raw Data'!A15</f>
        <v>Mid-stream</v>
      </c>
      <c r="C15" s="19">
        <v>4</v>
      </c>
      <c r="D15" s="16">
        <f>'Raw Data'!U15</f>
        <v>57.302</v>
      </c>
      <c r="E15" s="12">
        <f t="shared" si="0"/>
        <v>9</v>
      </c>
      <c r="F15" s="12">
        <f t="shared" si="1"/>
        <v>11</v>
      </c>
    </row>
    <row r="16" spans="1:6" ht="15" customHeight="1" x14ac:dyDescent="0.25">
      <c r="A16" s="18" t="str">
        <f>'Raw Data'!C16</f>
        <v>SSR3</v>
      </c>
      <c r="B16" s="18" t="str">
        <f>'Raw Data'!A16</f>
        <v>Mid-stream</v>
      </c>
      <c r="C16" s="19">
        <v>4</v>
      </c>
      <c r="D16" s="16">
        <f>'Raw Data'!U16</f>
        <v>50.435000000000002</v>
      </c>
      <c r="E16" s="12">
        <f t="shared" si="0"/>
        <v>7</v>
      </c>
      <c r="F16" s="12">
        <f t="shared" si="1"/>
        <v>11</v>
      </c>
    </row>
    <row r="17" spans="1:6" ht="15" customHeight="1" x14ac:dyDescent="0.25">
      <c r="A17" s="18" t="str">
        <f>'Raw Data'!C17</f>
        <v>NISR1</v>
      </c>
      <c r="B17" s="18" t="str">
        <f>'Raw Data'!A17</f>
        <v>Mid-stream</v>
      </c>
      <c r="C17" s="19">
        <v>5</v>
      </c>
      <c r="D17" s="16">
        <f>'Raw Data'!U17</f>
        <v>77.660999999999987</v>
      </c>
      <c r="E17" s="12">
        <f t="shared" si="0"/>
        <v>13</v>
      </c>
      <c r="F17" s="12">
        <f t="shared" si="1"/>
        <v>14</v>
      </c>
    </row>
    <row r="18" spans="1:6" ht="15" customHeight="1" x14ac:dyDescent="0.25">
      <c r="A18" s="18" t="str">
        <f>'Raw Data'!C18</f>
        <v>NISR2</v>
      </c>
      <c r="B18" s="18" t="str">
        <f>'Raw Data'!A18</f>
        <v>Mid-stream</v>
      </c>
      <c r="C18" s="19">
        <v>5</v>
      </c>
      <c r="D18" s="16">
        <f>'Raw Data'!U18</f>
        <v>65.834999999999994</v>
      </c>
      <c r="E18" s="12">
        <f t="shared" si="0"/>
        <v>10</v>
      </c>
      <c r="F18" s="12">
        <f t="shared" si="1"/>
        <v>14</v>
      </c>
    </row>
    <row r="19" spans="1:6" ht="15" customHeight="1" x14ac:dyDescent="0.25">
      <c r="A19" s="18" t="str">
        <f>'Raw Data'!C19</f>
        <v>NISR3</v>
      </c>
      <c r="B19" s="18" t="str">
        <f>'Raw Data'!A19</f>
        <v>Mid-stream</v>
      </c>
      <c r="C19" s="19">
        <v>5</v>
      </c>
      <c r="D19" s="16">
        <f>'Raw Data'!U19</f>
        <v>74.919000000000011</v>
      </c>
      <c r="E19" s="12">
        <f t="shared" si="0"/>
        <v>11</v>
      </c>
      <c r="F19" s="12">
        <f t="shared" si="1"/>
        <v>14</v>
      </c>
    </row>
    <row r="20" spans="1:6" ht="15" customHeight="1" x14ac:dyDescent="0.25">
      <c r="A20" s="18" t="str">
        <f>'Raw Data'!C20</f>
        <v>NDSR1</v>
      </c>
      <c r="B20" s="18" t="str">
        <f>'Raw Data'!A20</f>
        <v>Mid-stream</v>
      </c>
      <c r="C20" s="19">
        <v>6</v>
      </c>
      <c r="D20" s="16">
        <f>'Raw Data'!U20</f>
        <v>77.322999999999993</v>
      </c>
      <c r="E20" s="12">
        <f t="shared" si="0"/>
        <v>12</v>
      </c>
      <c r="F20" s="12">
        <f t="shared" si="1"/>
        <v>17</v>
      </c>
    </row>
    <row r="21" spans="1:6" ht="15" customHeight="1" x14ac:dyDescent="0.25">
      <c r="A21" s="18" t="str">
        <f>'Raw Data'!C21</f>
        <v>NDSR2</v>
      </c>
      <c r="B21" s="18" t="str">
        <f>'Raw Data'!A21</f>
        <v>Mid-stream</v>
      </c>
      <c r="C21" s="19">
        <v>6</v>
      </c>
      <c r="D21" s="16">
        <f>'Raw Data'!U21</f>
        <v>82.313000000000002</v>
      </c>
      <c r="E21" s="12">
        <f t="shared" si="0"/>
        <v>14</v>
      </c>
      <c r="F21" s="12">
        <f t="shared" si="1"/>
        <v>17</v>
      </c>
    </row>
    <row r="22" spans="1:6" ht="15" customHeight="1" x14ac:dyDescent="0.25">
      <c r="A22" s="18" t="str">
        <f>'Raw Data'!C22</f>
        <v>NDSR3</v>
      </c>
      <c r="B22" s="18" t="str">
        <f>'Raw Data'!A22</f>
        <v>Mid-stream</v>
      </c>
      <c r="C22" s="19">
        <v>6</v>
      </c>
      <c r="D22" s="16">
        <f>'Raw Data'!U22</f>
        <v>82.86399999999999</v>
      </c>
      <c r="E22" s="12">
        <f t="shared" si="0"/>
        <v>15</v>
      </c>
      <c r="F22" s="12">
        <f t="shared" si="1"/>
        <v>17</v>
      </c>
    </row>
    <row r="23" spans="1:6" ht="15" customHeight="1" x14ac:dyDescent="0.25">
      <c r="A23" s="18" t="str">
        <f>'Raw Data'!C23</f>
        <v>WSR1</v>
      </c>
      <c r="B23" s="18" t="str">
        <f>'Raw Data'!A23</f>
        <v>Down-stream</v>
      </c>
      <c r="C23" s="19">
        <v>7</v>
      </c>
      <c r="D23" s="16">
        <f>'Raw Data'!U23</f>
        <v>88.122000000000014</v>
      </c>
      <c r="E23" s="12">
        <f t="shared" si="0"/>
        <v>18</v>
      </c>
      <c r="F23" s="12">
        <f t="shared" si="1"/>
        <v>20</v>
      </c>
    </row>
    <row r="24" spans="1:6" ht="15" customHeight="1" x14ac:dyDescent="0.25">
      <c r="A24" s="18" t="str">
        <f>'Raw Data'!C24</f>
        <v>WSR2</v>
      </c>
      <c r="B24" s="18" t="str">
        <f>'Raw Data'!A24</f>
        <v>Down-stream</v>
      </c>
      <c r="C24" s="19">
        <v>7</v>
      </c>
      <c r="D24" s="16">
        <f>'Raw Data'!U24</f>
        <v>83.834999999999994</v>
      </c>
      <c r="E24" s="12">
        <f t="shared" si="0"/>
        <v>16</v>
      </c>
      <c r="F24" s="12">
        <f t="shared" si="1"/>
        <v>20</v>
      </c>
    </row>
    <row r="25" spans="1:6" ht="15" customHeight="1" x14ac:dyDescent="0.25">
      <c r="A25" s="18" t="str">
        <f>'Raw Data'!C25</f>
        <v>WSR3</v>
      </c>
      <c r="B25" s="18" t="str">
        <f>'Raw Data'!A25</f>
        <v>Down-stream</v>
      </c>
      <c r="C25" s="19">
        <v>7</v>
      </c>
      <c r="D25" s="16">
        <f>'Raw Data'!U25</f>
        <v>84.424000000000007</v>
      </c>
      <c r="E25" s="12">
        <f t="shared" si="0"/>
        <v>17</v>
      </c>
      <c r="F25" s="12">
        <f t="shared" si="1"/>
        <v>20</v>
      </c>
    </row>
    <row r="26" spans="1:6" ht="15" customHeight="1" x14ac:dyDescent="0.25">
      <c r="A26" s="18" t="str">
        <f>'Raw Data'!C26</f>
        <v>NSR1</v>
      </c>
      <c r="B26" s="18" t="str">
        <f>'Raw Data'!A26</f>
        <v>Down-stream</v>
      </c>
      <c r="C26" s="19">
        <v>8</v>
      </c>
      <c r="D26" s="16">
        <f>'Raw Data'!U26</f>
        <v>106.05799999999999</v>
      </c>
      <c r="E26" s="12">
        <f t="shared" si="0"/>
        <v>21</v>
      </c>
      <c r="F26" s="12">
        <f t="shared" si="1"/>
        <v>23</v>
      </c>
    </row>
    <row r="27" spans="1:6" ht="15" customHeight="1" x14ac:dyDescent="0.25">
      <c r="A27" s="18" t="str">
        <f>'Raw Data'!C27</f>
        <v>NSR2</v>
      </c>
      <c r="B27" s="18" t="str">
        <f>'Raw Data'!A27</f>
        <v>Down-stream</v>
      </c>
      <c r="C27" s="19">
        <v>8</v>
      </c>
      <c r="D27" s="16">
        <f>'Raw Data'!U27</f>
        <v>94.02800000000002</v>
      </c>
      <c r="E27" s="12">
        <f t="shared" si="0"/>
        <v>19</v>
      </c>
      <c r="F27" s="12">
        <f t="shared" si="1"/>
        <v>23</v>
      </c>
    </row>
    <row r="28" spans="1:6" ht="15" customHeight="1" x14ac:dyDescent="0.25">
      <c r="A28" s="18" t="str">
        <f>'Raw Data'!C28</f>
        <v>NSR3</v>
      </c>
      <c r="B28" s="18" t="str">
        <f>'Raw Data'!A28</f>
        <v>Down-stream</v>
      </c>
      <c r="C28" s="19">
        <v>8</v>
      </c>
      <c r="D28" s="16">
        <f>'Raw Data'!U28</f>
        <v>102.123</v>
      </c>
      <c r="E28" s="12">
        <f t="shared" si="0"/>
        <v>20</v>
      </c>
      <c r="F28" s="12">
        <f t="shared" si="1"/>
        <v>23</v>
      </c>
    </row>
    <row r="29" spans="1:6" ht="15" customHeight="1" x14ac:dyDescent="0.25">
      <c r="A29" s="18" t="str">
        <f>'Raw Data'!C29</f>
        <v>HSR1</v>
      </c>
      <c r="B29" s="18" t="str">
        <f>'Raw Data'!A29</f>
        <v>Down-stream</v>
      </c>
      <c r="C29" s="19">
        <v>9</v>
      </c>
      <c r="D29" s="16">
        <f>'Raw Data'!U29</f>
        <v>109.764</v>
      </c>
      <c r="E29" s="12">
        <f t="shared" si="0"/>
        <v>22</v>
      </c>
      <c r="F29" s="12">
        <f t="shared" si="1"/>
        <v>26</v>
      </c>
    </row>
    <row r="30" spans="1:6" ht="15" customHeight="1" x14ac:dyDescent="0.25">
      <c r="A30" s="18" t="str">
        <f>'Raw Data'!C30</f>
        <v>HSR2</v>
      </c>
      <c r="B30" s="18" t="str">
        <f>'Raw Data'!A30</f>
        <v>Down-stream</v>
      </c>
      <c r="C30" s="19">
        <v>9</v>
      </c>
      <c r="D30" s="16">
        <f>'Raw Data'!U30</f>
        <v>113.505</v>
      </c>
      <c r="E30" s="12">
        <f t="shared" si="0"/>
        <v>24</v>
      </c>
      <c r="F30" s="12">
        <f t="shared" si="1"/>
        <v>26</v>
      </c>
    </row>
    <row r="31" spans="1:6" ht="15" customHeight="1" x14ac:dyDescent="0.25">
      <c r="A31" s="18" t="str">
        <f>'Raw Data'!C31</f>
        <v>HSR3</v>
      </c>
      <c r="B31" s="18" t="str">
        <f>'Raw Data'!A31</f>
        <v>Down-stream</v>
      </c>
      <c r="C31" s="19">
        <v>9</v>
      </c>
      <c r="D31" s="16">
        <f>'Raw Data'!U31</f>
        <v>111.953</v>
      </c>
      <c r="E31" s="12">
        <f t="shared" si="0"/>
        <v>23</v>
      </c>
      <c r="F31" s="12">
        <f t="shared" si="1"/>
        <v>26</v>
      </c>
    </row>
    <row r="32" spans="1:6" ht="15" customHeight="1" x14ac:dyDescent="0.25">
      <c r="A32" s="18" t="str">
        <f>'Raw Data'!C32</f>
        <v>CSR1</v>
      </c>
      <c r="B32" s="18" t="str">
        <f>'Raw Data'!A32</f>
        <v>Down-stream</v>
      </c>
      <c r="C32" s="19">
        <v>10</v>
      </c>
      <c r="D32" s="16">
        <f>'Raw Data'!U32</f>
        <v>120.42999999999999</v>
      </c>
      <c r="E32" s="12">
        <f t="shared" si="0"/>
        <v>27</v>
      </c>
      <c r="F32" s="12">
        <f t="shared" si="1"/>
        <v>29</v>
      </c>
    </row>
    <row r="33" spans="1:6" ht="15" customHeight="1" x14ac:dyDescent="0.25">
      <c r="A33" s="18" t="str">
        <f>'Raw Data'!C33</f>
        <v>CSR2</v>
      </c>
      <c r="B33" s="18" t="str">
        <f>'Raw Data'!A33</f>
        <v>Down-stream</v>
      </c>
      <c r="C33" s="19">
        <v>10</v>
      </c>
      <c r="D33" s="16">
        <f>'Raw Data'!U33</f>
        <v>126.02499999999999</v>
      </c>
      <c r="E33" s="12">
        <f t="shared" si="0"/>
        <v>28</v>
      </c>
      <c r="F33" s="12">
        <f t="shared" si="1"/>
        <v>29</v>
      </c>
    </row>
    <row r="34" spans="1:6" ht="15" customHeight="1" x14ac:dyDescent="0.25">
      <c r="A34" s="18" t="str">
        <f>'Raw Data'!C34</f>
        <v>CSR3</v>
      </c>
      <c r="B34" s="18" t="str">
        <f>'Raw Data'!A34</f>
        <v>Down-stream</v>
      </c>
      <c r="C34" s="19">
        <v>10</v>
      </c>
      <c r="D34" s="16">
        <f>'Raw Data'!U34</f>
        <v>139.28799999999998</v>
      </c>
      <c r="E34" s="12">
        <f t="shared" si="0"/>
        <v>30</v>
      </c>
      <c r="F34" s="12">
        <f t="shared" si="1"/>
        <v>29</v>
      </c>
    </row>
    <row r="35" spans="1:6" ht="15" customHeight="1" x14ac:dyDescent="0.25">
      <c r="A35" s="18" t="str">
        <f>'Raw Data'!C35</f>
        <v>KSR1</v>
      </c>
      <c r="B35" s="18" t="str">
        <f>'Raw Data'!A35</f>
        <v>Down-stream</v>
      </c>
      <c r="C35" s="19">
        <v>11</v>
      </c>
      <c r="D35" s="16">
        <f>'Raw Data'!U35</f>
        <v>166.07900000000001</v>
      </c>
      <c r="E35" s="12">
        <f t="shared" si="0"/>
        <v>31</v>
      </c>
      <c r="F35" s="12">
        <f t="shared" si="1"/>
        <v>32</v>
      </c>
    </row>
    <row r="36" spans="1:6" ht="15" customHeight="1" x14ac:dyDescent="0.25">
      <c r="A36" s="18" t="str">
        <f>'Raw Data'!C36</f>
        <v>KSR2</v>
      </c>
      <c r="B36" s="18" t="str">
        <f>'Raw Data'!A36</f>
        <v>Down-stream</v>
      </c>
      <c r="C36" s="19">
        <v>11</v>
      </c>
      <c r="D36" s="16">
        <f>'Raw Data'!U36</f>
        <v>172.99</v>
      </c>
      <c r="E36" s="12">
        <f t="shared" si="0"/>
        <v>32</v>
      </c>
      <c r="F36" s="12">
        <f t="shared" si="1"/>
        <v>32</v>
      </c>
    </row>
    <row r="37" spans="1:6" ht="15" customHeight="1" x14ac:dyDescent="0.25">
      <c r="A37" s="18" t="str">
        <f>'Raw Data'!C37</f>
        <v>KSR3</v>
      </c>
      <c r="B37" s="18" t="str">
        <f>'Raw Data'!A37</f>
        <v>Down-stream</v>
      </c>
      <c r="C37" s="19">
        <v>11</v>
      </c>
      <c r="D37" s="16">
        <f>'Raw Data'!U37</f>
        <v>183.62199999999999</v>
      </c>
      <c r="E37" s="12">
        <f t="shared" si="0"/>
        <v>33</v>
      </c>
      <c r="F37" s="12">
        <f t="shared" si="1"/>
        <v>32</v>
      </c>
    </row>
    <row r="39" spans="1:6" ht="15" customHeight="1" x14ac:dyDescent="0.25">
      <c r="A39" s="17" t="s">
        <v>139</v>
      </c>
    </row>
    <row r="40" spans="1:6" ht="15" customHeight="1" x14ac:dyDescent="0.25">
      <c r="A40" s="6" t="s">
        <v>22</v>
      </c>
      <c r="B40" s="6" t="s">
        <v>140</v>
      </c>
      <c r="C40" s="6" t="s">
        <v>141</v>
      </c>
      <c r="D40" s="6" t="s">
        <v>142</v>
      </c>
      <c r="E40" s="6"/>
      <c r="F40" s="6"/>
    </row>
    <row r="41" spans="1:6" ht="15" customHeight="1" x14ac:dyDescent="0.25">
      <c r="A41" s="10" t="s">
        <v>44</v>
      </c>
      <c r="B41" s="15">
        <f>COUNTIF($B$5:$B$37,A41)</f>
        <v>9</v>
      </c>
      <c r="C41" s="12">
        <f>SUMIF($B$5:$B$37,A41,$E$5:$E$37)</f>
        <v>103</v>
      </c>
      <c r="D41" s="20">
        <f>C41^2/B41</f>
        <v>1178.7777777777778</v>
      </c>
    </row>
    <row r="42" spans="1:6" ht="15" customHeight="1" x14ac:dyDescent="0.25">
      <c r="A42" s="10" t="s">
        <v>57</v>
      </c>
      <c r="B42" s="15">
        <f>COUNTIF($B$5:$B$37,A42)</f>
        <v>9</v>
      </c>
      <c r="C42" s="12">
        <f>SUMIF($B$5:$B$37,A42,$E$5:$E$37)</f>
        <v>97</v>
      </c>
      <c r="D42" s="20">
        <f>C42^2/B42</f>
        <v>1045.4444444444443</v>
      </c>
    </row>
    <row r="43" spans="1:6" ht="15" customHeight="1" x14ac:dyDescent="0.25">
      <c r="A43" s="10" t="s">
        <v>70</v>
      </c>
      <c r="B43" s="15">
        <f>COUNTIF($B$5:$B$37,A43)</f>
        <v>15</v>
      </c>
      <c r="C43" s="12">
        <f>SUMIF($B$5:$B$37,A43,$E$5:$E$37)</f>
        <v>361</v>
      </c>
      <c r="D43" s="20">
        <f>C43^2/B43</f>
        <v>8688.0666666666675</v>
      </c>
    </row>
    <row r="44" spans="1:6" ht="15" customHeight="1" x14ac:dyDescent="0.25">
      <c r="A44" s="10" t="s">
        <v>143</v>
      </c>
      <c r="B44" s="15">
        <f>SUM(B41:B43)</f>
        <v>33</v>
      </c>
    </row>
    <row r="45" spans="1:6" ht="15" customHeight="1" x14ac:dyDescent="0.25">
      <c r="A45" s="10" t="s">
        <v>144</v>
      </c>
      <c r="B45" s="9">
        <f>12/(B44*(B44+1))*SUM(D41:D43)-3*(B44+1)</f>
        <v>14.70897207367797</v>
      </c>
    </row>
    <row r="46" spans="1:6" ht="15" customHeight="1" x14ac:dyDescent="0.25">
      <c r="A46" s="10" t="s">
        <v>145</v>
      </c>
      <c r="B46" s="21">
        <f>1-SUMPRODUCT((COUNTIF($D$5:$D$37,$D$5:$D$37)^2-1))/(B44^3-B44)</f>
        <v>1</v>
      </c>
    </row>
    <row r="47" spans="1:6" ht="15" customHeight="1" x14ac:dyDescent="0.25">
      <c r="A47" s="10" t="s">
        <v>146</v>
      </c>
      <c r="B47" s="9">
        <f>B45/B46</f>
        <v>14.70897207367797</v>
      </c>
    </row>
    <row r="48" spans="1:6" ht="15" customHeight="1" x14ac:dyDescent="0.25">
      <c r="A48" s="10" t="s">
        <v>147</v>
      </c>
      <c r="B48" s="15">
        <v>2</v>
      </c>
    </row>
    <row r="49" spans="1:6" ht="15" customHeight="1" x14ac:dyDescent="0.25">
      <c r="A49" s="10" t="s">
        <v>148</v>
      </c>
      <c r="B49" s="21">
        <f>_xlfn.CHISQ.DIST.RT(B47,B48)</f>
        <v>6.3971612363008005E-4</v>
      </c>
    </row>
    <row r="50" spans="1:6" ht="15" customHeight="1" x14ac:dyDescent="0.25">
      <c r="A50" s="10" t="s">
        <v>149</v>
      </c>
      <c r="B50" s="8">
        <v>13.6489601901367</v>
      </c>
      <c r="C50" s="10" t="s">
        <v>150</v>
      </c>
    </row>
    <row r="51" spans="1:6" ht="15" customHeight="1" x14ac:dyDescent="0.25">
      <c r="A51" s="10" t="s">
        <v>151</v>
      </c>
      <c r="B51" s="22">
        <v>1.0868408485192401E-3</v>
      </c>
    </row>
    <row r="53" spans="1:6" ht="15" customHeight="1" x14ac:dyDescent="0.25">
      <c r="A53" s="17" t="s">
        <v>152</v>
      </c>
    </row>
    <row r="54" spans="1:6" ht="15" customHeight="1" x14ac:dyDescent="0.25">
      <c r="A54" s="10" t="s">
        <v>153</v>
      </c>
      <c r="B54" s="9">
        <f>CORREL(E5:E37,F5:F37)</f>
        <v>0.77591940539933357</v>
      </c>
    </row>
    <row r="55" spans="1:6" ht="15" customHeight="1" x14ac:dyDescent="0.25">
      <c r="A55" s="10" t="s">
        <v>154</v>
      </c>
      <c r="B55" s="9">
        <f>B54*SQRT((COUNT(D5:D37)-2)/(1-B54^2))</f>
        <v>6.8483147111619491</v>
      </c>
    </row>
    <row r="56" spans="1:6" ht="15" customHeight="1" x14ac:dyDescent="0.25">
      <c r="A56" s="10" t="s">
        <v>155</v>
      </c>
      <c r="B56" s="23">
        <f>_xlfn.T.DIST.2T(ABS(B55),COUNT(D5:D37)-2)</f>
        <v>1.1270477335948254E-7</v>
      </c>
    </row>
    <row r="57" spans="1:6" ht="15" customHeight="1" x14ac:dyDescent="0.25">
      <c r="A57" s="10" t="s">
        <v>156</v>
      </c>
      <c r="B57" s="8">
        <v>0.82422567188333895</v>
      </c>
      <c r="C57" s="24">
        <v>3.7516452189501698E-9</v>
      </c>
    </row>
    <row r="59" spans="1:6" ht="15" customHeight="1" x14ac:dyDescent="0.25">
      <c r="A59" s="17" t="s">
        <v>157</v>
      </c>
    </row>
    <row r="60" spans="1:6" ht="23.25" customHeight="1" x14ac:dyDescent="0.25">
      <c r="A60" s="6" t="s">
        <v>158</v>
      </c>
      <c r="B60" s="6" t="s">
        <v>159</v>
      </c>
      <c r="C60" s="6" t="s">
        <v>160</v>
      </c>
      <c r="D60" s="6" t="s">
        <v>161</v>
      </c>
      <c r="E60" s="6" t="s">
        <v>162</v>
      </c>
      <c r="F60" s="6"/>
    </row>
    <row r="61" spans="1:6" ht="15" customHeight="1" x14ac:dyDescent="0.25">
      <c r="A61" s="10" t="s">
        <v>163</v>
      </c>
      <c r="B61" s="25">
        <v>27</v>
      </c>
      <c r="C61" s="22">
        <v>0.250998270442923</v>
      </c>
      <c r="D61" s="21">
        <f>MIN(1,C61*3)</f>
        <v>0.752994811328769</v>
      </c>
      <c r="E61" s="15" t="str">
        <f>IF(D61&lt;0.05,"Yes","No")</f>
        <v>No</v>
      </c>
    </row>
    <row r="62" spans="1:6" ht="15" customHeight="1" x14ac:dyDescent="0.25">
      <c r="A62" s="10" t="s">
        <v>164</v>
      </c>
      <c r="B62" s="25">
        <v>19</v>
      </c>
      <c r="C62" s="22">
        <v>4.2075512854917504E-3</v>
      </c>
      <c r="D62" s="21">
        <f>MIN(1,C62*3)</f>
        <v>1.2622653856475251E-2</v>
      </c>
      <c r="E62" s="15" t="str">
        <f>IF(D62&lt;0.05,"Yes","No")</f>
        <v>Yes</v>
      </c>
    </row>
    <row r="63" spans="1:6" ht="15" customHeight="1" x14ac:dyDescent="0.25">
      <c r="A63" s="10" t="s">
        <v>165</v>
      </c>
      <c r="B63" s="25">
        <v>15</v>
      </c>
      <c r="C63" s="22">
        <v>1.93076217671029E-3</v>
      </c>
      <c r="D63" s="21">
        <f>MIN(1,C63*3)</f>
        <v>5.7922865301308704E-3</v>
      </c>
      <c r="E63" s="15" t="str">
        <f>IF(D63&lt;0.05,"Yes","No")</f>
        <v>Yes</v>
      </c>
    </row>
    <row r="65" spans="1:6" ht="15" customHeight="1" x14ac:dyDescent="0.25">
      <c r="A65" s="17" t="s">
        <v>166</v>
      </c>
    </row>
    <row r="66" spans="1:6" ht="15" customHeight="1" x14ac:dyDescent="0.25">
      <c r="A66" s="6" t="s">
        <v>167</v>
      </c>
      <c r="B66" s="6" t="s">
        <v>168</v>
      </c>
      <c r="C66" s="6" t="s">
        <v>169</v>
      </c>
      <c r="D66" s="6"/>
      <c r="E66" s="6"/>
      <c r="F66" s="6"/>
    </row>
    <row r="67" spans="1:6" ht="15" customHeight="1" x14ac:dyDescent="0.25">
      <c r="A67" s="10" t="s">
        <v>170</v>
      </c>
      <c r="B67" s="8">
        <v>21.397979797979801</v>
      </c>
      <c r="C67" s="22">
        <v>2.2567722082990199E-5</v>
      </c>
    </row>
    <row r="68" spans="1:6" ht="15" customHeight="1" x14ac:dyDescent="0.25">
      <c r="A68" s="10" t="s">
        <v>171</v>
      </c>
      <c r="B68" s="8">
        <v>18.525965537730201</v>
      </c>
      <c r="C68" s="22">
        <v>9.4871921677186903E-5</v>
      </c>
    </row>
    <row r="69" spans="1:6" ht="15" customHeight="1" x14ac:dyDescent="0.25">
      <c r="A69" s="10" t="s">
        <v>172</v>
      </c>
      <c r="B69" s="8">
        <v>21.103109766347298</v>
      </c>
      <c r="C69" s="22">
        <v>2.6152784712175701E-5</v>
      </c>
    </row>
    <row r="70" spans="1:6" ht="15" customHeight="1" x14ac:dyDescent="0.25">
      <c r="A70" s="10" t="s">
        <v>173</v>
      </c>
      <c r="B70" s="8">
        <v>0.24707443599950801</v>
      </c>
      <c r="C70" s="22">
        <v>0.88378874778256999</v>
      </c>
    </row>
    <row r="71" spans="1:6" ht="15" customHeight="1" x14ac:dyDescent="0.25">
      <c r="A71" s="10" t="s">
        <v>174</v>
      </c>
      <c r="B71" s="8">
        <v>18.612581476428701</v>
      </c>
      <c r="C71" s="22">
        <v>9.0850910767435101E-5</v>
      </c>
    </row>
    <row r="72" spans="1:6" ht="15" customHeight="1" x14ac:dyDescent="0.25">
      <c r="A72" s="10" t="s">
        <v>175</v>
      </c>
      <c r="B72" s="8">
        <v>5.6571795577576003</v>
      </c>
      <c r="C72" s="22">
        <v>5.9096133549836102E-2</v>
      </c>
    </row>
    <row r="73" spans="1:6" ht="15" customHeight="1" x14ac:dyDescent="0.25">
      <c r="A73" s="10" t="s">
        <v>176</v>
      </c>
      <c r="B73" s="8">
        <v>9.9398230088495492</v>
      </c>
      <c r="C73" s="22">
        <v>6.9437624998136402E-3</v>
      </c>
    </row>
    <row r="74" spans="1:6" ht="15" customHeight="1" x14ac:dyDescent="0.25">
      <c r="A74" s="10" t="s">
        <v>177</v>
      </c>
      <c r="B74" s="8">
        <v>31.508021390374299</v>
      </c>
      <c r="C74" s="22">
        <v>4.8343778179637501E-4</v>
      </c>
    </row>
  </sheetData>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19"/>
  <sheetViews>
    <sheetView zoomScaleNormal="100" workbookViewId="0"/>
  </sheetViews>
  <sheetFormatPr defaultColWidth="8.7109375" defaultRowHeight="15" x14ac:dyDescent="0.25"/>
  <cols>
    <col min="1" max="1" width="26" style="1" customWidth="1"/>
    <col min="2" max="12" width="15" style="1" customWidth="1"/>
  </cols>
  <sheetData>
    <row r="1" spans="1:12" ht="15.75" customHeight="1" x14ac:dyDescent="0.25">
      <c r="A1" s="2" t="s">
        <v>178</v>
      </c>
    </row>
    <row r="2" spans="1:12" ht="15" customHeight="1" x14ac:dyDescent="0.25">
      <c r="A2" s="5" t="s">
        <v>179</v>
      </c>
    </row>
    <row r="4" spans="1:12" ht="23.25" customHeight="1" x14ac:dyDescent="0.25">
      <c r="A4" s="6" t="s">
        <v>130</v>
      </c>
      <c r="B4" s="6" t="s">
        <v>180</v>
      </c>
      <c r="C4" s="6" t="s">
        <v>181</v>
      </c>
      <c r="D4" s="6" t="s">
        <v>182</v>
      </c>
      <c r="E4" s="6" t="s">
        <v>183</v>
      </c>
      <c r="F4" s="6" t="s">
        <v>184</v>
      </c>
      <c r="G4" s="6" t="s">
        <v>185</v>
      </c>
      <c r="H4" s="6" t="s">
        <v>186</v>
      </c>
      <c r="I4" s="6" t="s">
        <v>187</v>
      </c>
      <c r="J4" s="6" t="s">
        <v>188</v>
      </c>
      <c r="K4" s="6" t="s">
        <v>189</v>
      </c>
      <c r="L4" s="6" t="s">
        <v>190</v>
      </c>
    </row>
    <row r="5" spans="1:12" ht="15" customHeight="1" x14ac:dyDescent="0.25">
      <c r="A5" s="10" t="s">
        <v>45</v>
      </c>
      <c r="B5" s="16">
        <f>'Group Means'!C5+'Group Means'!D5</f>
        <v>9.2060000000000013</v>
      </c>
      <c r="C5" s="16">
        <f>'Group Means'!E5+'Group Means'!F5</f>
        <v>7.5653333333333332</v>
      </c>
      <c r="D5" s="16">
        <f>'Group Means'!G5+'Group Means'!H5</f>
        <v>19.00633333333333</v>
      </c>
      <c r="E5" s="9">
        <f t="shared" ref="E5:E19" si="0">IF((C5+D5)&gt;0,B5/(C5+D5),"n.a.")</f>
        <v>0.34645926111773201</v>
      </c>
      <c r="F5" s="9">
        <f>IF('Group Means'!Q5&gt;0,(C5+D5)/'Group Means'!Q5,"n.a.")</f>
        <v>0.74268864189019212</v>
      </c>
      <c r="G5" s="9">
        <f t="shared" ref="G5:G19" si="1">IF((C5+D5)&gt;0,C5/(C5+D5),"n.a.")</f>
        <v>0.28471429467477893</v>
      </c>
      <c r="H5" s="9">
        <f>IF('Group Means'!D5&gt;0,'Group Means'!C5/'Group Means'!D5,"n.a.")</f>
        <v>0.43589476967869389</v>
      </c>
      <c r="I5" s="9">
        <f>IF('Group Means'!K5&gt;0,'Group Means'!I5/'Group Means'!K5,"n.a.")</f>
        <v>5.0613333333333337</v>
      </c>
      <c r="J5" s="9">
        <f>IF('Group Means'!J5&gt;0,'Group Means'!I5/'Group Means'!J5,"n.a.")</f>
        <v>0.5075884201377282</v>
      </c>
      <c r="K5" s="12">
        <f>IF('Group Means'!R5&gt;0,'Group Means'!J5/'Group Means'!R5*100,"n.a.")</f>
        <v>58.542408704841677</v>
      </c>
      <c r="L5" s="12">
        <f>IF('Group Means'!R5&gt;0,('Group Means'!I5+'Group Means'!K5)/'Group Means'!R5*100,"n.a.")</f>
        <v>35.586520020353049</v>
      </c>
    </row>
    <row r="6" spans="1:12" ht="15" customHeight="1" x14ac:dyDescent="0.25">
      <c r="A6" s="10" t="s">
        <v>49</v>
      </c>
      <c r="B6" s="16">
        <f>'Group Means'!C6+'Group Means'!D6</f>
        <v>5.1760000000000002</v>
      </c>
      <c r="C6" s="16">
        <f>'Group Means'!E6+'Group Means'!F6</f>
        <v>1</v>
      </c>
      <c r="D6" s="16">
        <f>'Group Means'!G6+'Group Means'!H6</f>
        <v>15.597</v>
      </c>
      <c r="E6" s="9">
        <f t="shared" si="0"/>
        <v>0.31186358980538648</v>
      </c>
      <c r="F6" s="9">
        <f>IF('Group Means'!Q6&gt;0,(C6+D6)/'Group Means'!Q6,"n.a.")</f>
        <v>0.76227437652137975</v>
      </c>
      <c r="G6" s="9">
        <f t="shared" si="1"/>
        <v>6.0251852744471888E-2</v>
      </c>
      <c r="H6" s="9">
        <f>IF('Group Means'!D6&gt;0,'Group Means'!C6/'Group Means'!D6,"n.a.")</f>
        <v>0.10692899914456801</v>
      </c>
      <c r="I6" s="9">
        <f>IF('Group Means'!K6&gt;0,'Group Means'!I6/'Group Means'!K6,"n.a.")</f>
        <v>1</v>
      </c>
      <c r="J6" s="9">
        <f>IF('Group Means'!J6&gt;0,'Group Means'!I6/'Group Means'!J6,"n.a.")</f>
        <v>0.50761421319796951</v>
      </c>
      <c r="K6" s="12">
        <f>IF('Group Means'!R6&gt;0,'Group Means'!J6/'Group Means'!R6*100,"n.a.")</f>
        <v>39.637826961770621</v>
      </c>
      <c r="L6" s="12">
        <f>IF('Group Means'!R6&gt;0,('Group Means'!I6+'Group Means'!K6)/'Group Means'!R6*100,"n.a.")</f>
        <v>40.241448692152922</v>
      </c>
    </row>
    <row r="7" spans="1:12" ht="15" customHeight="1" x14ac:dyDescent="0.25">
      <c r="A7" s="10" t="s">
        <v>53</v>
      </c>
      <c r="B7" s="16">
        <f>'Group Means'!C7+'Group Means'!D7</f>
        <v>19.146999999999998</v>
      </c>
      <c r="C7" s="16">
        <f>'Group Means'!E7+'Group Means'!F7</f>
        <v>15.628333333333334</v>
      </c>
      <c r="D7" s="16">
        <f>'Group Means'!G7+'Group Means'!H7</f>
        <v>27.934666666666669</v>
      </c>
      <c r="E7" s="9">
        <f t="shared" si="0"/>
        <v>0.43952436700869996</v>
      </c>
      <c r="F7" s="9">
        <f>IF('Group Means'!Q7&gt;0,(C7+D7)/'Group Means'!Q7,"n.a.")</f>
        <v>0.69467389571041305</v>
      </c>
      <c r="G7" s="9">
        <f t="shared" si="1"/>
        <v>0.35875245812577949</v>
      </c>
      <c r="H7" s="9">
        <f>IF('Group Means'!D7&gt;0,'Group Means'!C7/'Group Means'!D7,"n.a.")</f>
        <v>0.65269306019104611</v>
      </c>
      <c r="I7" s="9">
        <f>IF('Group Means'!K7&gt;0,'Group Means'!I7/'Group Means'!K7,"n.a.")</f>
        <v>2.0084906512510159</v>
      </c>
      <c r="J7" s="9">
        <f>IF('Group Means'!J7&gt;0,'Group Means'!I7/'Group Means'!J7,"n.a.")</f>
        <v>0.50760169839747982</v>
      </c>
      <c r="K7" s="12">
        <f>IF('Group Means'!R7&gt;0,'Group Means'!J7/'Group Means'!R7*100,"n.a.")</f>
        <v>48.700389105058363</v>
      </c>
      <c r="L7" s="12">
        <f>IF('Group Means'!R7&gt;0,('Group Means'!I7+'Group Means'!K7)/'Group Means'!R7*100,"n.a.")</f>
        <v>37.028349082823794</v>
      </c>
    </row>
    <row r="8" spans="1:12" ht="15" customHeight="1" x14ac:dyDescent="0.25">
      <c r="A8" s="10" t="s">
        <v>58</v>
      </c>
      <c r="B8" s="16">
        <f>'Group Means'!C8+'Group Means'!D8</f>
        <v>10.420999999999999</v>
      </c>
      <c r="C8" s="16">
        <f>'Group Means'!E8+'Group Means'!F8</f>
        <v>5.9633333333333338</v>
      </c>
      <c r="D8" s="16">
        <f>'Group Means'!G8+'Group Means'!H8</f>
        <v>19.547999999999998</v>
      </c>
      <c r="E8" s="9">
        <f t="shared" si="0"/>
        <v>0.40848511772545532</v>
      </c>
      <c r="F8" s="9">
        <f>IF('Group Means'!Q8&gt;0,(C8+D8)/'Group Means'!Q8,"n.a.")</f>
        <v>0.70998265257845772</v>
      </c>
      <c r="G8" s="9">
        <f t="shared" si="1"/>
        <v>0.23375231923066875</v>
      </c>
      <c r="H8" s="9">
        <f>IF('Group Means'!D8&gt;0,'Group Means'!C8/'Group Means'!D8,"n.a.")</f>
        <v>0.70194349175240878</v>
      </c>
      <c r="I8" s="9">
        <f>IF('Group Means'!K8&gt;0,'Group Means'!I8/'Group Means'!K8,"n.a.")</f>
        <v>6.1993333333333327</v>
      </c>
      <c r="J8" s="9">
        <f>IF('Group Means'!J8&gt;0,'Group Means'!I8/'Group Means'!J8,"n.a.")</f>
        <v>0.50767047005513999</v>
      </c>
      <c r="K8" s="12">
        <f>IF('Group Means'!R8&gt;0,'Group Means'!J8/'Group Means'!R8*100,"n.a.")</f>
        <v>59.828194408152605</v>
      </c>
      <c r="L8" s="12">
        <f>IF('Group Means'!R8&gt;0,('Group Means'!I8+'Group Means'!K8)/'Group Means'!R8*100,"n.a.")</f>
        <v>35.272406584792257</v>
      </c>
    </row>
    <row r="9" spans="1:12" ht="15" customHeight="1" x14ac:dyDescent="0.25">
      <c r="A9" s="10" t="s">
        <v>62</v>
      </c>
      <c r="B9" s="16">
        <f>'Group Means'!C9+'Group Means'!D9</f>
        <v>14.731000000000002</v>
      </c>
      <c r="C9" s="16">
        <f>'Group Means'!E9+'Group Means'!F9</f>
        <v>8.4116666666666653</v>
      </c>
      <c r="D9" s="16">
        <f>'Group Means'!G9+'Group Means'!H9</f>
        <v>26.277999999999999</v>
      </c>
      <c r="E9" s="9">
        <f t="shared" si="0"/>
        <v>0.42465095273328274</v>
      </c>
      <c r="F9" s="9">
        <f>IF('Group Means'!Q9&gt;0,(C9+D9)/'Group Means'!Q9,"n.a.")</f>
        <v>0.70192631962336938</v>
      </c>
      <c r="G9" s="9">
        <f t="shared" si="1"/>
        <v>0.24248335239120195</v>
      </c>
      <c r="H9" s="9">
        <f>IF('Group Means'!D9&gt;0,'Group Means'!C9/'Group Means'!D9,"n.a.")</f>
        <v>0.69783702793038527</v>
      </c>
      <c r="I9" s="9">
        <f>IF('Group Means'!K9&gt;0,'Group Means'!I9/'Group Means'!K9,"n.a.")</f>
        <v>8.0206666666666671</v>
      </c>
      <c r="J9" s="9">
        <f>IF('Group Means'!J9&gt;0,'Group Means'!I9/'Group Means'!J9,"n.a.")</f>
        <v>0.50761571241719761</v>
      </c>
      <c r="K9" s="12">
        <f>IF('Group Means'!R9&gt;0,'Group Means'!J9/'Group Means'!R9*100,"n.a.")</f>
        <v>51.353108140315904</v>
      </c>
      <c r="L9" s="12">
        <f>IF('Group Means'!R9&gt;0,('Group Means'!I9+'Group Means'!K9)/'Group Means'!R9*100,"n.a.")</f>
        <v>29.317704157909564</v>
      </c>
    </row>
    <row r="10" spans="1:12" ht="15" customHeight="1" x14ac:dyDescent="0.25">
      <c r="A10" s="10" t="s">
        <v>66</v>
      </c>
      <c r="B10" s="16">
        <f>'Group Means'!C10+'Group Means'!D10</f>
        <v>15.673333333333336</v>
      </c>
      <c r="C10" s="16">
        <f>'Group Means'!E10+'Group Means'!F10</f>
        <v>10.610999999999999</v>
      </c>
      <c r="D10" s="16">
        <f>'Group Means'!G10+'Group Means'!H10</f>
        <v>27.994</v>
      </c>
      <c r="E10" s="9">
        <f t="shared" si="0"/>
        <v>0.40599231533048408</v>
      </c>
      <c r="F10" s="9">
        <f>IF('Group Means'!Q10&gt;0,(C10+D10)/'Group Means'!Q10,"n.a.")</f>
        <v>0.71124144072220341</v>
      </c>
      <c r="G10" s="9">
        <f t="shared" si="1"/>
        <v>0.2748607693303976</v>
      </c>
      <c r="H10" s="9">
        <f>IF('Group Means'!D10&gt;0,'Group Means'!C10/'Group Means'!D10,"n.a.")</f>
        <v>0.72696220663312128</v>
      </c>
      <c r="I10" s="9">
        <f>IF('Group Means'!K10&gt;0,'Group Means'!I10/'Group Means'!K10,"n.a.")</f>
        <v>10.615333333333332</v>
      </c>
      <c r="J10" s="9">
        <f>IF('Group Means'!J10&gt;0,'Group Means'!I10/'Group Means'!J10,"n.a.")</f>
        <v>0.50440319310694359</v>
      </c>
      <c r="K10" s="12">
        <f>IF('Group Means'!R10&gt;0,'Group Means'!J10/'Group Means'!R10*100,"n.a.")</f>
        <v>53.463401415845283</v>
      </c>
      <c r="L10" s="12">
        <f>IF('Group Means'!R10&gt;0,('Group Means'!I10+'Group Means'!K10)/'Group Means'!R10*100,"n.a.")</f>
        <v>29.507502625071979</v>
      </c>
    </row>
    <row r="11" spans="1:12" ht="15" customHeight="1" x14ac:dyDescent="0.25">
      <c r="A11" s="10" t="s">
        <v>71</v>
      </c>
      <c r="B11" s="16">
        <f>'Group Means'!C11+'Group Means'!D11</f>
        <v>17.268333333333334</v>
      </c>
      <c r="C11" s="16">
        <f>'Group Means'!E11+'Group Means'!F11</f>
        <v>5.5226666666666668</v>
      </c>
      <c r="D11" s="16">
        <f>'Group Means'!G11+'Group Means'!H11</f>
        <v>27.479666666666667</v>
      </c>
      <c r="E11" s="9">
        <f t="shared" si="0"/>
        <v>0.52324583110285139</v>
      </c>
      <c r="F11" s="9">
        <f>IF('Group Means'!Q11&gt;0,(C11+D11)/'Group Means'!Q11,"n.a.")</f>
        <v>0.65649285202769003</v>
      </c>
      <c r="G11" s="9">
        <f t="shared" si="1"/>
        <v>0.16734170311190119</v>
      </c>
      <c r="H11" s="9">
        <f>IF('Group Means'!D11&gt;0,'Group Means'!C11/'Group Means'!D11,"n.a.")</f>
        <v>0.93598415486378439</v>
      </c>
      <c r="I11" s="9">
        <f>IF('Group Means'!K11&gt;0,'Group Means'!I11/'Group Means'!K11,"n.a.")</f>
        <v>2.4783402287661236</v>
      </c>
      <c r="J11" s="9">
        <f>IF('Group Means'!J11&gt;0,'Group Means'!I11/'Group Means'!J11,"n.a.")</f>
        <v>0.50761408668344843</v>
      </c>
      <c r="K11" s="12">
        <f>IF('Group Means'!R11&gt;0,'Group Means'!J11/'Group Means'!R11*100,"n.a.")</f>
        <v>51.250510933987336</v>
      </c>
      <c r="L11" s="12">
        <f>IF('Group Means'!R11&gt;0,('Group Means'!I11+'Group Means'!K11)/'Group Means'!R11*100,"n.a.")</f>
        <v>36.512620069487021</v>
      </c>
    </row>
    <row r="12" spans="1:12" ht="15" customHeight="1" x14ac:dyDescent="0.25">
      <c r="A12" s="10" t="s">
        <v>75</v>
      </c>
      <c r="B12" s="16">
        <f>'Group Means'!C12+'Group Means'!D12</f>
        <v>17.933999999999997</v>
      </c>
      <c r="C12" s="16">
        <f>'Group Means'!E12+'Group Means'!F12</f>
        <v>13.646999999999998</v>
      </c>
      <c r="D12" s="16">
        <f>'Group Means'!G12+'Group Means'!H12</f>
        <v>29.076666666666668</v>
      </c>
      <c r="E12" s="9">
        <f t="shared" si="0"/>
        <v>0.41976734206645805</v>
      </c>
      <c r="F12" s="9">
        <f>IF('Group Means'!Q12&gt;0,(C12+D12)/'Group Means'!Q12,"n.a.")</f>
        <v>0.70434075384809836</v>
      </c>
      <c r="G12" s="9">
        <f t="shared" si="1"/>
        <v>0.31942483088998286</v>
      </c>
      <c r="H12" s="9">
        <f>IF('Group Means'!D12&gt;0,'Group Means'!C12/'Group Means'!D12,"n.a.")</f>
        <v>1.0574378585086042</v>
      </c>
      <c r="I12" s="9">
        <f>IF('Group Means'!K12&gt;0,'Group Means'!I12/'Group Means'!K12,"n.a.")</f>
        <v>2.5062947067238914</v>
      </c>
      <c r="J12" s="9">
        <f>IF('Group Means'!J12&gt;0,'Group Means'!I12/'Group Means'!J12,"n.a.")</f>
        <v>0.5076352467329257</v>
      </c>
      <c r="K12" s="12">
        <f>IF('Group Means'!R12&gt;0,'Group Means'!J12/'Group Means'!R12*100,"n.a.")</f>
        <v>45.723862898631367</v>
      </c>
      <c r="L12" s="12">
        <f>IF('Group Means'!R12&gt;0,('Group Means'!I12+'Group Means'!K12)/'Group Means'!R12*100,"n.a.")</f>
        <v>32.472143831895814</v>
      </c>
    </row>
    <row r="13" spans="1:12" ht="15" customHeight="1" x14ac:dyDescent="0.25">
      <c r="A13" s="10" t="s">
        <v>79</v>
      </c>
      <c r="B13" s="16">
        <f>'Group Means'!C13+'Group Means'!D13</f>
        <v>19.490666666666669</v>
      </c>
      <c r="C13" s="16">
        <f>'Group Means'!E13+'Group Means'!F13</f>
        <v>15.047333333333334</v>
      </c>
      <c r="D13" s="16">
        <f>'Group Means'!G13+'Group Means'!H13</f>
        <v>30.490666666666669</v>
      </c>
      <c r="E13" s="9">
        <f t="shared" si="0"/>
        <v>0.42800884243196163</v>
      </c>
      <c r="F13" s="9">
        <f>IF('Group Means'!Q13&gt;0,(C13+D13)/'Group Means'!Q13,"n.a.")</f>
        <v>0.70027577581169331</v>
      </c>
      <c r="G13" s="9">
        <f t="shared" si="1"/>
        <v>0.33043465530619115</v>
      </c>
      <c r="H13" s="9">
        <f>IF('Group Means'!D13&gt;0,'Group Means'!C13/'Group Means'!D13,"n.a.")</f>
        <v>0.94233324475152824</v>
      </c>
      <c r="I13" s="9">
        <f>IF('Group Means'!K13&gt;0,'Group Means'!I13/'Group Means'!K13,"n.a.")</f>
        <v>3.298643867924528</v>
      </c>
      <c r="J13" s="9">
        <f>IF('Group Means'!J13&gt;0,'Group Means'!I13/'Group Means'!J13,"n.a.")</f>
        <v>0.50758727062399345</v>
      </c>
      <c r="K13" s="12">
        <f>IF('Group Means'!R13&gt;0,'Group Means'!J13/'Group Means'!R13*100,"n.a.")</f>
        <v>48.24209132589975</v>
      </c>
      <c r="L13" s="12">
        <f>IF('Group Means'!R13&gt;0,('Group Means'!I13+'Group Means'!K13)/'Group Means'!R13*100,"n.a.")</f>
        <v>31.910446781270856</v>
      </c>
    </row>
    <row r="14" spans="1:12" ht="15" customHeight="1" x14ac:dyDescent="0.25">
      <c r="A14" s="10" t="s">
        <v>83</v>
      </c>
      <c r="B14" s="16">
        <f>'Group Means'!C14+'Group Means'!D14</f>
        <v>23.167666666666669</v>
      </c>
      <c r="C14" s="16">
        <f>'Group Means'!E14+'Group Means'!F14</f>
        <v>15.693333333333335</v>
      </c>
      <c r="D14" s="16">
        <f>'Group Means'!G14+'Group Means'!H14</f>
        <v>33.099000000000004</v>
      </c>
      <c r="E14" s="9">
        <f t="shared" si="0"/>
        <v>0.47482186409066995</v>
      </c>
      <c r="F14" s="9">
        <f>IF('Group Means'!Q14&gt;0,(C14+D14)/'Group Means'!Q14,"n.a.")</f>
        <v>0.67804798962386525</v>
      </c>
      <c r="G14" s="9">
        <f t="shared" si="1"/>
        <v>0.32163522957841739</v>
      </c>
      <c r="H14" s="9">
        <f>IF('Group Means'!D14&gt;0,'Group Means'!C14/'Group Means'!D14,"n.a.")</f>
        <v>0.7573007003615585</v>
      </c>
      <c r="I14" s="9">
        <f>IF('Group Means'!K14&gt;0,'Group Means'!I14/'Group Means'!K14,"n.a.")</f>
        <v>1.8981681540629403</v>
      </c>
      <c r="J14" s="9">
        <f>IF('Group Means'!J14&gt;0,'Group Means'!I14/'Group Means'!J14,"n.a.")</f>
        <v>0.50506161421751194</v>
      </c>
      <c r="K14" s="12">
        <f>IF('Group Means'!R14&gt;0,'Group Means'!J14/'Group Means'!R14*100,"n.a.")</f>
        <v>41.844387034693391</v>
      </c>
      <c r="L14" s="12">
        <f>IF('Group Means'!R14&gt;0,('Group Means'!I14+'Group Means'!K14)/'Group Means'!R14*100,"n.a.")</f>
        <v>32.267882730705274</v>
      </c>
    </row>
    <row r="15" spans="1:12" ht="15" customHeight="1" x14ac:dyDescent="0.25">
      <c r="A15" s="10" t="s">
        <v>87</v>
      </c>
      <c r="B15" s="16">
        <f>'Group Means'!C15+'Group Means'!D15</f>
        <v>25.978666666666669</v>
      </c>
      <c r="C15" s="16">
        <f>'Group Means'!E15+'Group Means'!F15</f>
        <v>20.82566666666667</v>
      </c>
      <c r="D15" s="16">
        <f>'Group Means'!G15+'Group Means'!H15</f>
        <v>41.356000000000002</v>
      </c>
      <c r="E15" s="9">
        <f t="shared" si="0"/>
        <v>0.41778659304725402</v>
      </c>
      <c r="F15" s="9">
        <f>IF('Group Means'!Q15&gt;0,(C15+D15)/'Group Means'!Q15,"n.a.")</f>
        <v>0.70532476813079215</v>
      </c>
      <c r="G15" s="9">
        <f t="shared" si="1"/>
        <v>0.33491650808116008</v>
      </c>
      <c r="H15" s="9">
        <f>IF('Group Means'!D15&gt;0,'Group Means'!C15/'Group Means'!D15,"n.a.")</f>
        <v>0.87530980052455554</v>
      </c>
      <c r="I15" s="9">
        <f>IF('Group Means'!K15&gt;0,'Group Means'!I15/'Group Means'!K15,"n.a.")</f>
        <v>1.8835560200044787</v>
      </c>
      <c r="J15" s="9">
        <f>IF('Group Means'!J15&gt;0,'Group Means'!I15/'Group Means'!J15,"n.a.")</f>
        <v>0.50659492883098101</v>
      </c>
      <c r="K15" s="12">
        <f>IF('Group Means'!R15&gt;0,'Group Means'!J15/'Group Means'!R15*100,"n.a.")</f>
        <v>37.032548733885484</v>
      </c>
      <c r="L15" s="12">
        <f>IF('Group Means'!R15&gt;0,('Group Means'!I15+'Group Means'!K15)/'Group Means'!R15*100,"n.a.")</f>
        <v>28.720651866831222</v>
      </c>
    </row>
    <row r="16" spans="1:12" ht="15" customHeight="1" x14ac:dyDescent="0.25">
      <c r="A16" s="17" t="s">
        <v>44</v>
      </c>
      <c r="B16" s="16">
        <f>'Group Means'!C16+'Group Means'!D16</f>
        <v>11.176333333333334</v>
      </c>
      <c r="C16" s="16">
        <f>'Group Means'!E16+'Group Means'!F16</f>
        <v>8.0645555555555557</v>
      </c>
      <c r="D16" s="16">
        <f>'Group Means'!G16+'Group Means'!H16</f>
        <v>20.846</v>
      </c>
      <c r="E16" s="9">
        <f t="shared" si="0"/>
        <v>0.38658313956840068</v>
      </c>
      <c r="F16" s="9">
        <f>IF('Group Means'!Q16&gt;0,(C16+D16)/'Group Means'!Q16,"n.a.")</f>
        <v>0.7211972881130434</v>
      </c>
      <c r="G16" s="9">
        <f t="shared" si="1"/>
        <v>0.2789484809469821</v>
      </c>
      <c r="H16" s="9">
        <f>IF('Group Means'!D16&gt;0,'Group Means'!C16/'Group Means'!D16,"n.a.")</f>
        <v>0.4788291334646711</v>
      </c>
      <c r="I16" s="9">
        <f>IF('Group Means'!K16&gt;0,'Group Means'!I16/'Group Means'!K16,"n.a.")</f>
        <v>2.2264231397910597</v>
      </c>
      <c r="J16" s="9">
        <f>IF('Group Means'!J16&gt;0,'Group Means'!I16/'Group Means'!J16,"n.a.")</f>
        <v>0.50759907968501905</v>
      </c>
      <c r="K16" s="12">
        <f>IF('Group Means'!R16&gt;0,'Group Means'!J16/'Group Means'!R16*100,"n.a.")</f>
        <v>50.196008263252921</v>
      </c>
      <c r="L16" s="12">
        <f>IF('Group Means'!R16&gt;0,('Group Means'!I16+'Group Means'!K16)/'Group Means'!R16*100,"n.a.")</f>
        <v>36.923564910454324</v>
      </c>
    </row>
    <row r="17" spans="1:12" ht="15" customHeight="1" x14ac:dyDescent="0.25">
      <c r="A17" s="17" t="s">
        <v>57</v>
      </c>
      <c r="B17" s="16">
        <f>'Group Means'!C17+'Group Means'!D17</f>
        <v>13.608444444444444</v>
      </c>
      <c r="C17" s="16">
        <f>'Group Means'!E17+'Group Means'!F17</f>
        <v>8.3286666666666669</v>
      </c>
      <c r="D17" s="16">
        <f>'Group Means'!G17+'Group Means'!H17</f>
        <v>24.606666666666669</v>
      </c>
      <c r="E17" s="9">
        <f t="shared" si="0"/>
        <v>0.41318678352866561</v>
      </c>
      <c r="F17" s="9">
        <f>IF('Group Means'!Q17&gt;0,(C17+D17)/'Group Means'!Q17,"n.a.")</f>
        <v>0.70762054362201432</v>
      </c>
      <c r="G17" s="9">
        <f t="shared" si="1"/>
        <v>0.25287937979474934</v>
      </c>
      <c r="H17" s="9">
        <f>IF('Group Means'!D17&gt;0,'Group Means'!C17/'Group Means'!D17,"n.a.")</f>
        <v>0.70996160558464227</v>
      </c>
      <c r="I17" s="9">
        <f>IF('Group Means'!K17&gt;0,'Group Means'!I17/'Group Means'!K17,"n.a.")</f>
        <v>8.2784444444444443</v>
      </c>
      <c r="J17" s="9">
        <f>IF('Group Means'!J17&gt;0,'Group Means'!I17/'Group Means'!J17,"n.a.")</f>
        <v>0.50625118908488032</v>
      </c>
      <c r="K17" s="12">
        <f>IF('Group Means'!R17&gt;0,'Group Means'!J17/'Group Means'!R17*100,"n.a.")</f>
        <v>54.181055111732867</v>
      </c>
      <c r="L17" s="12">
        <f>IF('Group Means'!R17&gt;0,('Group Means'!I17+'Group Means'!K17)/'Group Means'!R17*100,"n.a.")</f>
        <v>30.742554209770645</v>
      </c>
    </row>
    <row r="18" spans="1:12" ht="15" customHeight="1" x14ac:dyDescent="0.25">
      <c r="A18" s="17" t="s">
        <v>70</v>
      </c>
      <c r="B18" s="16">
        <f>'Group Means'!C18+'Group Means'!D18</f>
        <v>20.767866666666666</v>
      </c>
      <c r="C18" s="16">
        <f>'Group Means'!E18+'Group Means'!F18</f>
        <v>14.147200000000002</v>
      </c>
      <c r="D18" s="16">
        <f>'Group Means'!G18+'Group Means'!H18</f>
        <v>32.300399999999996</v>
      </c>
      <c r="E18" s="9">
        <f t="shared" si="0"/>
        <v>0.44712464511980532</v>
      </c>
      <c r="F18" s="9">
        <f>IF('Group Means'!Q18&gt;0,(C18+D18)/'Group Means'!Q18,"n.a.")</f>
        <v>0.69102547826293947</v>
      </c>
      <c r="G18" s="9">
        <f t="shared" si="1"/>
        <v>0.30458409045892582</v>
      </c>
      <c r="H18" s="9">
        <f>IF('Group Means'!D18&gt;0,'Group Means'!C18/'Group Means'!D18,"n.a.")</f>
        <v>0.89807644266799913</v>
      </c>
      <c r="I18" s="9">
        <f>IF('Group Means'!K18&gt;0,'Group Means'!I18/'Group Means'!K18,"n.a.")</f>
        <v>2.296215840465742</v>
      </c>
      <c r="J18" s="9">
        <f>IF('Group Means'!J18&gt;0,'Group Means'!I18/'Group Means'!J18,"n.a.")</f>
        <v>0.50687880923951867</v>
      </c>
      <c r="K18" s="12">
        <f>IF('Group Means'!R18&gt;0,'Group Means'!J18/'Group Means'!R18*100,"n.a.")</f>
        <v>43.878283154521569</v>
      </c>
      <c r="L18" s="12">
        <f>IF('Group Means'!R18&gt;0,('Group Means'!I18+'Group Means'!K18)/'Group Means'!R18*100,"n.a.")</f>
        <v>31.926895829081335</v>
      </c>
    </row>
    <row r="19" spans="1:12" ht="15" customHeight="1" x14ac:dyDescent="0.25">
      <c r="A19" s="17" t="s">
        <v>127</v>
      </c>
      <c r="B19" s="16">
        <f>'Group Means'!C19+'Group Means'!D19</f>
        <v>16.199424242424247</v>
      </c>
      <c r="C19" s="16">
        <f>'Group Means'!E19+'Group Means'!F19</f>
        <v>10.901424242424241</v>
      </c>
      <c r="D19" s="16">
        <f>'Group Means'!G19+'Group Means'!H19</f>
        <v>27.078181818181818</v>
      </c>
      <c r="E19" s="9">
        <f t="shared" si="0"/>
        <v>0.42652954895250811</v>
      </c>
      <c r="F19" s="9">
        <f>IF('Group Means'!Q19&gt;0,(C19+D19)/'Group Means'!Q19,"n.a.")</f>
        <v>0.70100195312063041</v>
      </c>
      <c r="G19" s="9">
        <f t="shared" si="1"/>
        <v>0.28703363128696657</v>
      </c>
      <c r="H19" s="9">
        <f>IF('Group Means'!D19&gt;0,'Group Means'!C19/'Group Means'!D19,"n.a.")</f>
        <v>0.75984474891857545</v>
      </c>
      <c r="I19" s="9">
        <f>IF('Group Means'!K19&gt;0,'Group Means'!I19/'Group Means'!K19,"n.a.")</f>
        <v>2.6977014162990489</v>
      </c>
      <c r="J19" s="9">
        <f>IF('Group Means'!J19&gt;0,'Group Means'!I19/'Group Means'!J19,"n.a.")</f>
        <v>0.50687377669459621</v>
      </c>
      <c r="K19" s="12">
        <f>IF('Group Means'!R19&gt;0,'Group Means'!J19/'Group Means'!R19*100,"n.a.")</f>
        <v>46.842797900920402</v>
      </c>
      <c r="L19" s="12">
        <f>IF('Group Means'!R19&gt;0,('Group Means'!I19+'Group Means'!K19)/'Group Means'!R19*100,"n.a.")</f>
        <v>32.544725326823219</v>
      </c>
    </row>
  </sheetData>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29"/>
  <sheetViews>
    <sheetView zoomScaleNormal="100" workbookViewId="0"/>
  </sheetViews>
  <sheetFormatPr defaultColWidth="8.7109375" defaultRowHeight="15" x14ac:dyDescent="0.25"/>
  <cols>
    <col min="1" max="1" width="24" style="1" customWidth="1"/>
    <col min="2" max="2" width="22" style="1" customWidth="1"/>
    <col min="3" max="3" width="16" style="1" customWidth="1"/>
    <col min="4" max="4" width="22" style="1" customWidth="1"/>
    <col min="5" max="5" width="60" style="1" customWidth="1"/>
  </cols>
  <sheetData>
    <row r="1" spans="1:5" ht="15.75" customHeight="1" x14ac:dyDescent="0.25">
      <c r="A1" s="2" t="s">
        <v>191</v>
      </c>
    </row>
    <row r="2" spans="1:5" ht="15" customHeight="1" x14ac:dyDescent="0.25">
      <c r="A2" s="5" t="s">
        <v>192</v>
      </c>
    </row>
    <row r="4" spans="1:5" ht="23.25" customHeight="1" x14ac:dyDescent="0.25">
      <c r="A4" s="6" t="s">
        <v>93</v>
      </c>
      <c r="B4" s="6" t="s">
        <v>193</v>
      </c>
      <c r="C4" s="6" t="s">
        <v>194</v>
      </c>
      <c r="D4" s="6" t="s">
        <v>195</v>
      </c>
      <c r="E4" s="6" t="s">
        <v>196</v>
      </c>
    </row>
    <row r="5" spans="1:5" ht="15" customHeight="1" x14ac:dyDescent="0.25">
      <c r="A5" s="10" t="s">
        <v>25</v>
      </c>
      <c r="B5" s="26">
        <v>1.19</v>
      </c>
      <c r="C5" s="27">
        <v>1</v>
      </c>
      <c r="D5" s="26">
        <v>4.7699999999999996</v>
      </c>
      <c r="E5" s="10" t="s">
        <v>197</v>
      </c>
    </row>
    <row r="6" spans="1:5" ht="15" customHeight="1" x14ac:dyDescent="0.25">
      <c r="A6" s="10" t="s">
        <v>26</v>
      </c>
      <c r="B6" s="26">
        <v>1.19</v>
      </c>
      <c r="C6" s="27">
        <v>0</v>
      </c>
      <c r="D6" s="26">
        <v>4.7699999999999996</v>
      </c>
      <c r="E6" s="10" t="s">
        <v>198</v>
      </c>
    </row>
    <row r="7" spans="1:5" ht="15" customHeight="1" x14ac:dyDescent="0.25">
      <c r="A7" s="10" t="s">
        <v>27</v>
      </c>
      <c r="B7" s="26">
        <v>3.54</v>
      </c>
      <c r="C7" s="27">
        <v>1</v>
      </c>
      <c r="D7" s="26">
        <v>8.51</v>
      </c>
      <c r="E7" s="10" t="s">
        <v>199</v>
      </c>
    </row>
    <row r="8" spans="1:5" ht="15" customHeight="1" x14ac:dyDescent="0.25">
      <c r="A8" s="10" t="s">
        <v>28</v>
      </c>
      <c r="B8" s="26">
        <v>3.54</v>
      </c>
      <c r="C8" s="27">
        <v>0</v>
      </c>
      <c r="D8" s="26">
        <v>8.51</v>
      </c>
      <c r="E8" s="10" t="s">
        <v>200</v>
      </c>
    </row>
    <row r="9" spans="1:5" ht="15" customHeight="1" x14ac:dyDescent="0.25">
      <c r="A9" s="10" t="s">
        <v>29</v>
      </c>
      <c r="B9" s="26">
        <v>1.42</v>
      </c>
      <c r="C9" s="27">
        <v>1</v>
      </c>
      <c r="D9" s="26">
        <v>6.75</v>
      </c>
      <c r="E9" s="10" t="s">
        <v>201</v>
      </c>
    </row>
    <row r="10" spans="1:5" ht="15" customHeight="1" x14ac:dyDescent="0.25">
      <c r="A10" s="10" t="s">
        <v>30</v>
      </c>
      <c r="B10" s="26">
        <v>1.42</v>
      </c>
      <c r="C10" s="27">
        <v>0</v>
      </c>
      <c r="D10" s="26">
        <v>6.75</v>
      </c>
      <c r="E10" s="10" t="s">
        <v>202</v>
      </c>
    </row>
    <row r="11" spans="1:5" ht="15" customHeight="1" x14ac:dyDescent="0.25">
      <c r="A11" s="10" t="s">
        <v>31</v>
      </c>
      <c r="B11" s="26">
        <v>6</v>
      </c>
      <c r="C11" s="27">
        <v>0</v>
      </c>
      <c r="D11" s="26">
        <v>100</v>
      </c>
      <c r="E11" s="10" t="s">
        <v>203</v>
      </c>
    </row>
    <row r="12" spans="1:5" ht="15" customHeight="1" x14ac:dyDescent="0.25">
      <c r="A12" s="10" t="s">
        <v>32</v>
      </c>
      <c r="B12" s="26">
        <v>5</v>
      </c>
      <c r="C12" s="27">
        <v>0</v>
      </c>
      <c r="D12" s="26">
        <v>210</v>
      </c>
      <c r="E12" s="10" t="s">
        <v>203</v>
      </c>
    </row>
    <row r="13" spans="1:5" ht="15" customHeight="1" x14ac:dyDescent="0.25">
      <c r="A13" s="10" t="s">
        <v>33</v>
      </c>
      <c r="B13" s="26">
        <v>0.94</v>
      </c>
      <c r="C13" s="27">
        <v>0</v>
      </c>
      <c r="D13" s="26">
        <v>1.38</v>
      </c>
      <c r="E13" s="10" t="s">
        <v>204</v>
      </c>
    </row>
    <row r="14" spans="1:5" ht="15" customHeight="1" x14ac:dyDescent="0.25">
      <c r="A14" s="10" t="s">
        <v>34</v>
      </c>
      <c r="B14" s="26">
        <v>3</v>
      </c>
      <c r="C14" s="27">
        <v>1</v>
      </c>
      <c r="D14" s="26">
        <v>120</v>
      </c>
      <c r="E14" s="10" t="s">
        <v>205</v>
      </c>
    </row>
    <row r="15" spans="1:5" ht="15" customHeight="1" x14ac:dyDescent="0.25">
      <c r="A15" s="10" t="s">
        <v>35</v>
      </c>
      <c r="B15" s="26">
        <v>2</v>
      </c>
      <c r="C15" s="27">
        <v>0</v>
      </c>
      <c r="D15" s="26">
        <v>80</v>
      </c>
      <c r="E15" s="10" t="s">
        <v>203</v>
      </c>
    </row>
    <row r="16" spans="1:5" ht="15" customHeight="1" x14ac:dyDescent="0.25">
      <c r="A16" s="10" t="s">
        <v>36</v>
      </c>
      <c r="B16" s="26">
        <v>2.85</v>
      </c>
      <c r="C16" s="27">
        <v>0</v>
      </c>
      <c r="D16" s="26">
        <v>6.67</v>
      </c>
      <c r="E16" s="10" t="s">
        <v>206</v>
      </c>
    </row>
    <row r="17" spans="1:5" ht="15" customHeight="1" x14ac:dyDescent="0.25">
      <c r="A17" s="10" t="s">
        <v>37</v>
      </c>
      <c r="B17" s="26">
        <v>0.6</v>
      </c>
      <c r="C17" s="27">
        <v>1</v>
      </c>
      <c r="D17" s="26">
        <v>2.74</v>
      </c>
      <c r="E17" s="10" t="s">
        <v>207</v>
      </c>
    </row>
    <row r="18" spans="1:5" ht="15" customHeight="1" x14ac:dyDescent="0.25">
      <c r="A18" s="10" t="s">
        <v>38</v>
      </c>
      <c r="B18" s="26">
        <v>0.6</v>
      </c>
      <c r="C18" s="27">
        <v>0</v>
      </c>
      <c r="D18" s="26">
        <v>2.74</v>
      </c>
      <c r="E18" s="10" t="s">
        <v>206</v>
      </c>
    </row>
    <row r="20" spans="1:5" ht="15" customHeight="1" x14ac:dyDescent="0.25">
      <c r="A20" s="6" t="s">
        <v>208</v>
      </c>
      <c r="B20" s="6" t="s">
        <v>209</v>
      </c>
      <c r="C20" s="6"/>
      <c r="D20" s="6" t="s">
        <v>210</v>
      </c>
      <c r="E20" s="6" t="s">
        <v>196</v>
      </c>
    </row>
    <row r="21" spans="1:5" ht="15" customHeight="1" x14ac:dyDescent="0.25">
      <c r="A21" s="10" t="s">
        <v>39</v>
      </c>
      <c r="B21" s="26">
        <v>5.28</v>
      </c>
      <c r="D21" s="26">
        <v>572</v>
      </c>
      <c r="E21" s="10" t="s">
        <v>211</v>
      </c>
    </row>
    <row r="22" spans="1:5" ht="15" customHeight="1" x14ac:dyDescent="0.25">
      <c r="A22" s="10" t="s">
        <v>40</v>
      </c>
      <c r="B22" s="26">
        <v>3</v>
      </c>
      <c r="D22" s="26">
        <v>120</v>
      </c>
      <c r="E22" s="10" t="s">
        <v>212</v>
      </c>
    </row>
    <row r="25" spans="1:5" ht="15" customHeight="1" x14ac:dyDescent="0.25">
      <c r="A25" s="5" t="s">
        <v>213</v>
      </c>
    </row>
    <row r="26" spans="1:5" ht="15" customHeight="1" x14ac:dyDescent="0.25">
      <c r="A26" s="10" t="s">
        <v>214</v>
      </c>
      <c r="B26" s="26">
        <v>0.1</v>
      </c>
    </row>
    <row r="27" spans="1:5" ht="15" customHeight="1" x14ac:dyDescent="0.25">
      <c r="A27" s="10" t="s">
        <v>215</v>
      </c>
      <c r="B27" s="26">
        <v>1</v>
      </c>
    </row>
    <row r="29" spans="1:5" ht="15" customHeight="1" x14ac:dyDescent="0.25">
      <c r="A29" s="5" t="s">
        <v>216</v>
      </c>
    </row>
  </sheetData>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T143"/>
  <sheetViews>
    <sheetView zoomScaleNormal="100" workbookViewId="0">
      <pane xSplit="1" ySplit="3" topLeftCell="B28" activePane="bottomRight" state="frozen"/>
      <selection pane="topRight" activeCell="B1" sqref="B1"/>
      <selection pane="bottomLeft" activeCell="A4" sqref="A4"/>
      <selection pane="bottomRight"/>
    </sheetView>
  </sheetViews>
  <sheetFormatPr defaultColWidth="8.7109375" defaultRowHeight="15" x14ac:dyDescent="0.25"/>
  <cols>
    <col min="1" max="1" width="26" style="1" customWidth="1"/>
    <col min="2" max="20" width="12" style="1" customWidth="1"/>
  </cols>
  <sheetData>
    <row r="1" spans="1:15" ht="15.75" customHeight="1" x14ac:dyDescent="0.25">
      <c r="A1" s="2" t="s">
        <v>217</v>
      </c>
    </row>
    <row r="2" spans="1:15" ht="15" customHeight="1" x14ac:dyDescent="0.25">
      <c r="A2" s="5" t="s">
        <v>218</v>
      </c>
    </row>
    <row r="4" spans="1:15" ht="15" customHeight="1" x14ac:dyDescent="0.25">
      <c r="A4" s="17" t="s">
        <v>219</v>
      </c>
    </row>
    <row r="5" spans="1:15" ht="23.25" customHeight="1" x14ac:dyDescent="0.25">
      <c r="A5" s="6" t="s">
        <v>130</v>
      </c>
      <c r="B5" s="6" t="s">
        <v>25</v>
      </c>
      <c r="C5" s="6" t="s">
        <v>26</v>
      </c>
      <c r="D5" s="6" t="s">
        <v>27</v>
      </c>
      <c r="E5" s="6" t="s">
        <v>28</v>
      </c>
      <c r="F5" s="6" t="s">
        <v>29</v>
      </c>
      <c r="G5" s="6" t="s">
        <v>30</v>
      </c>
      <c r="H5" s="6" t="s">
        <v>31</v>
      </c>
      <c r="I5" s="6" t="s">
        <v>32</v>
      </c>
      <c r="J5" s="6" t="s">
        <v>33</v>
      </c>
      <c r="K5" s="6" t="s">
        <v>34</v>
      </c>
      <c r="L5" s="6" t="s">
        <v>35</v>
      </c>
      <c r="M5" s="6" t="s">
        <v>36</v>
      </c>
      <c r="N5" s="6" t="s">
        <v>37</v>
      </c>
      <c r="O5" s="6" t="s">
        <v>38</v>
      </c>
    </row>
    <row r="6" spans="1:15" ht="15" customHeight="1" x14ac:dyDescent="0.25">
      <c r="A6" s="10" t="s">
        <v>45</v>
      </c>
      <c r="B6" s="9">
        <f>'Group Means'!C5</f>
        <v>2.7946666666666666</v>
      </c>
      <c r="C6" s="9">
        <f>'Group Means'!D5</f>
        <v>6.4113333333333342</v>
      </c>
      <c r="D6" s="9">
        <f>'Group Means'!E5</f>
        <v>3.7826666666666662</v>
      </c>
      <c r="E6" s="9">
        <f>'Group Means'!F5</f>
        <v>3.7826666666666671</v>
      </c>
      <c r="F6" s="9">
        <f>'Group Means'!G5</f>
        <v>8.1226666666666656</v>
      </c>
      <c r="G6" s="9">
        <f>'Group Means'!H5</f>
        <v>10.883666666666665</v>
      </c>
      <c r="H6" s="9">
        <f>'Group Means'!I5</f>
        <v>2.5306666666666668</v>
      </c>
      <c r="I6" s="9">
        <f>'Group Means'!J5</f>
        <v>4.9856666666666669</v>
      </c>
      <c r="J6" s="9">
        <f>'Group Means'!K5</f>
        <v>0.5</v>
      </c>
      <c r="K6" s="9">
        <f>'Group Means'!L5</f>
        <v>0.5</v>
      </c>
      <c r="L6" s="9">
        <f>'Group Means'!M5</f>
        <v>0.5</v>
      </c>
      <c r="M6" s="9">
        <f>'Group Means'!N5</f>
        <v>1.0449999999999999</v>
      </c>
      <c r="N6" s="9">
        <f>'Group Means'!O5</f>
        <v>0.5</v>
      </c>
      <c r="O6" s="9">
        <f>'Group Means'!P5</f>
        <v>2.2070000000000003</v>
      </c>
    </row>
    <row r="7" spans="1:15" ht="15" customHeight="1" x14ac:dyDescent="0.25">
      <c r="A7" s="10" t="s">
        <v>49</v>
      </c>
      <c r="B7" s="9">
        <f>'Group Means'!C6</f>
        <v>0.5</v>
      </c>
      <c r="C7" s="9">
        <f>'Group Means'!D6</f>
        <v>4.6760000000000002</v>
      </c>
      <c r="D7" s="9">
        <f>'Group Means'!E6</f>
        <v>0.5</v>
      </c>
      <c r="E7" s="9">
        <f>'Group Means'!F6</f>
        <v>0.5</v>
      </c>
      <c r="F7" s="9">
        <f>'Group Means'!G6</f>
        <v>7.261333333333333</v>
      </c>
      <c r="G7" s="9">
        <f>'Group Means'!H6</f>
        <v>8.3356666666666666</v>
      </c>
      <c r="H7" s="9">
        <f>'Group Means'!I6</f>
        <v>0.5</v>
      </c>
      <c r="I7" s="9">
        <f>'Group Means'!J6</f>
        <v>0.98499999999999999</v>
      </c>
      <c r="J7" s="9">
        <f>'Group Means'!K6</f>
        <v>0.5</v>
      </c>
      <c r="K7" s="9">
        <f>'Group Means'!L6</f>
        <v>0.5</v>
      </c>
      <c r="L7" s="9">
        <f>'Group Means'!M6</f>
        <v>0.5</v>
      </c>
      <c r="M7" s="9">
        <f>'Group Means'!N6</f>
        <v>0.5</v>
      </c>
      <c r="N7" s="9">
        <f>'Group Means'!O6</f>
        <v>0.5</v>
      </c>
      <c r="O7" s="9">
        <f>'Group Means'!P6</f>
        <v>0.5</v>
      </c>
    </row>
    <row r="8" spans="1:15" ht="15" customHeight="1" x14ac:dyDescent="0.25">
      <c r="A8" s="10" t="s">
        <v>53</v>
      </c>
      <c r="B8" s="9">
        <f>'Group Means'!C7</f>
        <v>7.5616666666666665</v>
      </c>
      <c r="C8" s="9">
        <f>'Group Means'!D7</f>
        <v>11.585333333333333</v>
      </c>
      <c r="D8" s="9">
        <f>'Group Means'!E7</f>
        <v>7.0156666666666672</v>
      </c>
      <c r="E8" s="9">
        <f>'Group Means'!F7</f>
        <v>8.6126666666666676</v>
      </c>
      <c r="F8" s="9">
        <f>'Group Means'!G7</f>
        <v>9.2243333333333339</v>
      </c>
      <c r="G8" s="9">
        <f>'Group Means'!H7</f>
        <v>18.710333333333335</v>
      </c>
      <c r="H8" s="9">
        <f>'Group Means'!I7</f>
        <v>7.4119999999999999</v>
      </c>
      <c r="I8" s="9">
        <f>'Group Means'!J7</f>
        <v>14.601999999999999</v>
      </c>
      <c r="J8" s="9">
        <f>'Group Means'!K7</f>
        <v>3.6903333333333337</v>
      </c>
      <c r="K8" s="9">
        <f>'Group Means'!L7</f>
        <v>4.2789999999999999</v>
      </c>
      <c r="L8" s="9">
        <f>'Group Means'!M7</f>
        <v>4.3643333333333336</v>
      </c>
      <c r="M8" s="9">
        <f>'Group Means'!N7</f>
        <v>7.1326666666666663</v>
      </c>
      <c r="N8" s="9">
        <f>'Group Means'!O7</f>
        <v>6.7296666666666667</v>
      </c>
      <c r="O8" s="9">
        <f>'Group Means'!P7</f>
        <v>9.5573333333333341</v>
      </c>
    </row>
    <row r="9" spans="1:15" ht="15" customHeight="1" x14ac:dyDescent="0.25">
      <c r="A9" s="10" t="s">
        <v>58</v>
      </c>
      <c r="B9" s="9">
        <f>'Group Means'!C8</f>
        <v>4.2979999999999992</v>
      </c>
      <c r="C9" s="9">
        <f>'Group Means'!D8</f>
        <v>6.1230000000000002</v>
      </c>
      <c r="D9" s="9">
        <f>'Group Means'!E8</f>
        <v>0.5</v>
      </c>
      <c r="E9" s="9">
        <f>'Group Means'!F8</f>
        <v>5.4633333333333338</v>
      </c>
      <c r="F9" s="9">
        <f>'Group Means'!G8</f>
        <v>6.5479999999999992</v>
      </c>
      <c r="G9" s="9">
        <f>'Group Means'!H8</f>
        <v>13</v>
      </c>
      <c r="H9" s="9">
        <f>'Group Means'!I8</f>
        <v>3.0996666666666663</v>
      </c>
      <c r="I9" s="9">
        <f>'Group Means'!J8</f>
        <v>6.105666666666667</v>
      </c>
      <c r="J9" s="9">
        <f>'Group Means'!K8</f>
        <v>0.5</v>
      </c>
      <c r="K9" s="9">
        <f>'Group Means'!L8</f>
        <v>0.5</v>
      </c>
      <c r="L9" s="9">
        <f>'Group Means'!M8</f>
        <v>1.1813333333333333</v>
      </c>
      <c r="M9" s="9">
        <f>'Group Means'!N8</f>
        <v>3.3569999999999998</v>
      </c>
      <c r="N9" s="9">
        <f>'Group Means'!O8</f>
        <v>0.5</v>
      </c>
      <c r="O9" s="9">
        <f>'Group Means'!P8</f>
        <v>0.5</v>
      </c>
    </row>
    <row r="10" spans="1:15" ht="15" customHeight="1" x14ac:dyDescent="0.25">
      <c r="A10" s="10" t="s">
        <v>62</v>
      </c>
      <c r="B10" s="9">
        <f>'Group Means'!C9</f>
        <v>6.0546666666666669</v>
      </c>
      <c r="C10" s="9">
        <f>'Group Means'!D9</f>
        <v>8.6763333333333339</v>
      </c>
      <c r="D10" s="9">
        <f>'Group Means'!E9</f>
        <v>5.0189999999999992</v>
      </c>
      <c r="E10" s="9">
        <f>'Group Means'!F9</f>
        <v>3.3926666666666669</v>
      </c>
      <c r="F10" s="9">
        <f>'Group Means'!G9</f>
        <v>7.387999999999999</v>
      </c>
      <c r="G10" s="9">
        <f>'Group Means'!H9</f>
        <v>18.89</v>
      </c>
      <c r="H10" s="9">
        <f>'Group Means'!I9</f>
        <v>4.0103333333333335</v>
      </c>
      <c r="I10" s="9">
        <f>'Group Means'!J9</f>
        <v>7.9003333333333332</v>
      </c>
      <c r="J10" s="9">
        <f>'Group Means'!K9</f>
        <v>0.5</v>
      </c>
      <c r="K10" s="9">
        <f>'Group Means'!L9</f>
        <v>2.9736666666666665</v>
      </c>
      <c r="L10" s="9">
        <f>'Group Means'!M9</f>
        <v>0.5</v>
      </c>
      <c r="M10" s="9">
        <f>'Group Means'!N9</f>
        <v>2.5180000000000002</v>
      </c>
      <c r="N10" s="9">
        <f>'Group Means'!O9</f>
        <v>1.1856666666666669</v>
      </c>
      <c r="O10" s="9">
        <f>'Group Means'!P9</f>
        <v>3.7963333333333331</v>
      </c>
    </row>
    <row r="11" spans="1:15" ht="15" customHeight="1" x14ac:dyDescent="0.25">
      <c r="A11" s="10" t="s">
        <v>66</v>
      </c>
      <c r="B11" s="9">
        <f>'Group Means'!C10</f>
        <v>6.5976666666666661</v>
      </c>
      <c r="C11" s="9">
        <f>'Group Means'!D10</f>
        <v>9.0756666666666685</v>
      </c>
      <c r="D11" s="9">
        <f>'Group Means'!E10</f>
        <v>5.8589999999999991</v>
      </c>
      <c r="E11" s="9">
        <f>'Group Means'!F10</f>
        <v>4.7519999999999998</v>
      </c>
      <c r="F11" s="9">
        <f>'Group Means'!G10</f>
        <v>7.6419999999999995</v>
      </c>
      <c r="G11" s="9">
        <f>'Group Means'!H10</f>
        <v>20.352</v>
      </c>
      <c r="H11" s="9">
        <f>'Group Means'!I10</f>
        <v>5.3076666666666661</v>
      </c>
      <c r="I11" s="9">
        <f>'Group Means'!J10</f>
        <v>10.522666666666668</v>
      </c>
      <c r="J11" s="9">
        <f>'Group Means'!K10</f>
        <v>0.5</v>
      </c>
      <c r="K11" s="9">
        <f>'Group Means'!L10</f>
        <v>3.3516666666666666</v>
      </c>
      <c r="L11" s="9">
        <f>'Group Means'!M10</f>
        <v>1.5026666666666666</v>
      </c>
      <c r="M11" s="9">
        <f>'Group Means'!N10</f>
        <v>0.5</v>
      </c>
      <c r="N11" s="9">
        <f>'Group Means'!O10</f>
        <v>1.3339999999999999</v>
      </c>
      <c r="O11" s="9">
        <f>'Group Means'!P10</f>
        <v>3.5363333333333333</v>
      </c>
    </row>
    <row r="12" spans="1:15" ht="15" customHeight="1" x14ac:dyDescent="0.25">
      <c r="A12" s="10" t="s">
        <v>71</v>
      </c>
      <c r="B12" s="9">
        <f>'Group Means'!C11</f>
        <v>8.3486666666666682</v>
      </c>
      <c r="C12" s="9">
        <f>'Group Means'!D11</f>
        <v>8.9196666666666662</v>
      </c>
      <c r="D12" s="9">
        <f>'Group Means'!E11</f>
        <v>0.5</v>
      </c>
      <c r="E12" s="9">
        <f>'Group Means'!F11</f>
        <v>5.0226666666666668</v>
      </c>
      <c r="F12" s="9">
        <f>'Group Means'!G11</f>
        <v>7.5989999999999993</v>
      </c>
      <c r="G12" s="9">
        <f>'Group Means'!H11</f>
        <v>19.880666666666666</v>
      </c>
      <c r="H12" s="9">
        <f>'Group Means'!I11</f>
        <v>6.7890000000000006</v>
      </c>
      <c r="I12" s="9">
        <f>'Group Means'!J11</f>
        <v>13.374333333333334</v>
      </c>
      <c r="J12" s="9">
        <f>'Group Means'!K11</f>
        <v>2.7393333333333332</v>
      </c>
      <c r="K12" s="9">
        <f>'Group Means'!L11</f>
        <v>3.1933333333333334</v>
      </c>
      <c r="L12" s="9">
        <f>'Group Means'!M11</f>
        <v>1.7313333333333334</v>
      </c>
      <c r="M12" s="9">
        <f>'Group Means'!N11</f>
        <v>3.690666666666667</v>
      </c>
      <c r="N12" s="9">
        <f>'Group Means'!O11</f>
        <v>0.5</v>
      </c>
      <c r="O12" s="9">
        <f>'Group Means'!P11</f>
        <v>3.1716666666666669</v>
      </c>
    </row>
    <row r="13" spans="1:15" ht="15" customHeight="1" x14ac:dyDescent="0.25">
      <c r="A13" s="10" t="s">
        <v>75</v>
      </c>
      <c r="B13" s="9">
        <f>'Group Means'!C12</f>
        <v>9.2173333333333325</v>
      </c>
      <c r="C13" s="9">
        <f>'Group Means'!D12</f>
        <v>8.7166666666666668</v>
      </c>
      <c r="D13" s="9">
        <f>'Group Means'!E12</f>
        <v>8.5176666666666652</v>
      </c>
      <c r="E13" s="9">
        <f>'Group Means'!F12</f>
        <v>5.1293333333333333</v>
      </c>
      <c r="F13" s="9">
        <f>'Group Means'!G12</f>
        <v>8.1310000000000002</v>
      </c>
      <c r="G13" s="9">
        <f>'Group Means'!H12</f>
        <v>20.945666666666668</v>
      </c>
      <c r="H13" s="9">
        <f>'Group Means'!I12</f>
        <v>5.839666666666667</v>
      </c>
      <c r="I13" s="9">
        <f>'Group Means'!J12</f>
        <v>11.503666666666668</v>
      </c>
      <c r="J13" s="9">
        <f>'Group Means'!K12</f>
        <v>2.33</v>
      </c>
      <c r="K13" s="9">
        <f>'Group Means'!L12</f>
        <v>5.4856666666666669</v>
      </c>
      <c r="L13" s="9">
        <f>'Group Means'!M12</f>
        <v>2.0963333333333334</v>
      </c>
      <c r="M13" s="9">
        <f>'Group Means'!N12</f>
        <v>3.7639999999999998</v>
      </c>
      <c r="N13" s="9">
        <f>'Group Means'!O12</f>
        <v>3.3260000000000001</v>
      </c>
      <c r="O13" s="9">
        <f>'Group Means'!P12</f>
        <v>5.7333333333333334</v>
      </c>
    </row>
    <row r="14" spans="1:15" ht="15" customHeight="1" x14ac:dyDescent="0.25">
      <c r="A14" s="10" t="s">
        <v>79</v>
      </c>
      <c r="B14" s="9">
        <f>'Group Means'!C13</f>
        <v>9.4560000000000013</v>
      </c>
      <c r="C14" s="9">
        <f>'Group Means'!D13</f>
        <v>10.034666666666666</v>
      </c>
      <c r="D14" s="9">
        <f>'Group Means'!E13</f>
        <v>6.3860000000000001</v>
      </c>
      <c r="E14" s="9">
        <f>'Group Means'!F13</f>
        <v>8.6613333333333333</v>
      </c>
      <c r="F14" s="9">
        <f>'Group Means'!G13</f>
        <v>9.2606666666666673</v>
      </c>
      <c r="G14" s="9">
        <f>'Group Means'!H13</f>
        <v>21.23</v>
      </c>
      <c r="H14" s="9">
        <f>'Group Means'!I13</f>
        <v>7.4593333333333334</v>
      </c>
      <c r="I14" s="9">
        <f>'Group Means'!J13</f>
        <v>14.695666666666668</v>
      </c>
      <c r="J14" s="9">
        <f>'Group Means'!K13</f>
        <v>2.2613333333333334</v>
      </c>
      <c r="K14" s="9">
        <f>'Group Means'!L13</f>
        <v>6.0459999999999994</v>
      </c>
      <c r="L14" s="9">
        <f>'Group Means'!M13</f>
        <v>3.3306666666666671</v>
      </c>
      <c r="M14" s="9">
        <f>'Group Means'!N13</f>
        <v>4.6463333333333336</v>
      </c>
      <c r="N14" s="9">
        <f>'Group Means'!O13</f>
        <v>2.8656666666666673</v>
      </c>
      <c r="O14" s="9">
        <f>'Group Means'!P13</f>
        <v>5.407</v>
      </c>
    </row>
    <row r="15" spans="1:15" ht="15" customHeight="1" x14ac:dyDescent="0.25">
      <c r="A15" s="10" t="s">
        <v>83</v>
      </c>
      <c r="B15" s="9">
        <f>'Group Means'!C14</f>
        <v>9.984</v>
      </c>
      <c r="C15" s="9">
        <f>'Group Means'!D14</f>
        <v>13.183666666666667</v>
      </c>
      <c r="D15" s="9">
        <f>'Group Means'!E14</f>
        <v>9.1683333333333348</v>
      </c>
      <c r="E15" s="9">
        <f>'Group Means'!F14</f>
        <v>6.5249999999999995</v>
      </c>
      <c r="F15" s="9">
        <f>'Group Means'!G14</f>
        <v>9.1703333333333337</v>
      </c>
      <c r="G15" s="9">
        <f>'Group Means'!H14</f>
        <v>23.928666666666668</v>
      </c>
      <c r="H15" s="9">
        <f>'Group Means'!I14</f>
        <v>6.7353333333333332</v>
      </c>
      <c r="I15" s="9">
        <f>'Group Means'!J14</f>
        <v>13.335666666666667</v>
      </c>
      <c r="J15" s="9">
        <f>'Group Means'!K14</f>
        <v>3.5483333333333333</v>
      </c>
      <c r="K15" s="9">
        <f>'Group Means'!L14</f>
        <v>8.250333333333332</v>
      </c>
      <c r="L15" s="9">
        <f>'Group Means'!M14</f>
        <v>4.323666666666667</v>
      </c>
      <c r="M15" s="9">
        <f>'Group Means'!N14</f>
        <v>7.2303333333333333</v>
      </c>
      <c r="N15" s="9">
        <f>'Group Means'!O14</f>
        <v>4.9573333333333336</v>
      </c>
      <c r="O15" s="9">
        <f>'Group Means'!P14</f>
        <v>8.24</v>
      </c>
    </row>
    <row r="16" spans="1:15" ht="15" customHeight="1" x14ac:dyDescent="0.25">
      <c r="A16" s="10" t="s">
        <v>87</v>
      </c>
      <c r="B16" s="9">
        <f>'Group Means'!C15</f>
        <v>12.125666666666667</v>
      </c>
      <c r="C16" s="9">
        <f>'Group Means'!D15</f>
        <v>13.853</v>
      </c>
      <c r="D16" s="9">
        <f>'Group Means'!E15</f>
        <v>11.514000000000001</v>
      </c>
      <c r="E16" s="9">
        <f>'Group Means'!F15</f>
        <v>9.3116666666666674</v>
      </c>
      <c r="F16" s="9">
        <f>'Group Means'!G15</f>
        <v>11.402666666666667</v>
      </c>
      <c r="G16" s="9">
        <f>'Group Means'!H15</f>
        <v>29.953333333333333</v>
      </c>
      <c r="H16" s="9">
        <f>'Group Means'!I15</f>
        <v>8.4113333333333333</v>
      </c>
      <c r="I16" s="9">
        <f>'Group Means'!J15</f>
        <v>16.603666666666669</v>
      </c>
      <c r="J16" s="9">
        <f>'Group Means'!K15</f>
        <v>4.4656666666666665</v>
      </c>
      <c r="K16" s="9">
        <f>'Group Means'!L15</f>
        <v>15.354666666666667</v>
      </c>
      <c r="L16" s="9">
        <f>'Group Means'!M15</f>
        <v>7.7853333333333339</v>
      </c>
      <c r="M16" s="9">
        <f>'Group Means'!N15</f>
        <v>10.729999999999999</v>
      </c>
      <c r="N16" s="9">
        <f>'Group Means'!O15</f>
        <v>9.1616666666666671</v>
      </c>
      <c r="O16" s="9">
        <f>'Group Means'!P15</f>
        <v>13.557666666666668</v>
      </c>
    </row>
    <row r="17" spans="1:17" ht="15" customHeight="1" x14ac:dyDescent="0.25">
      <c r="A17" s="17" t="s">
        <v>44</v>
      </c>
      <c r="B17" s="9">
        <f>'Group Means'!C16</f>
        <v>3.6187777777777779</v>
      </c>
      <c r="C17" s="9">
        <f>'Group Means'!D16</f>
        <v>7.557555555555556</v>
      </c>
      <c r="D17" s="9">
        <f>'Group Means'!E16</f>
        <v>3.7661111111111105</v>
      </c>
      <c r="E17" s="9">
        <f>'Group Means'!F16</f>
        <v>4.2984444444444447</v>
      </c>
      <c r="F17" s="9">
        <f>'Group Means'!G16</f>
        <v>8.2027777777777775</v>
      </c>
      <c r="G17" s="9">
        <f>'Group Means'!H16</f>
        <v>12.643222222222223</v>
      </c>
      <c r="H17" s="9">
        <f>'Group Means'!I16</f>
        <v>3.4808888888888894</v>
      </c>
      <c r="I17" s="9">
        <f>'Group Means'!J16</f>
        <v>6.857555555555555</v>
      </c>
      <c r="J17" s="9">
        <f>'Group Means'!K16</f>
        <v>1.5634444444444446</v>
      </c>
      <c r="K17" s="9">
        <f>'Group Means'!L16</f>
        <v>1.7596666666666667</v>
      </c>
      <c r="L17" s="9">
        <f>'Group Means'!M16</f>
        <v>1.7881111111111112</v>
      </c>
      <c r="M17" s="9">
        <f>'Group Means'!N16</f>
        <v>2.8925555555555555</v>
      </c>
      <c r="N17" s="9">
        <f>'Group Means'!O16</f>
        <v>2.5765555555555557</v>
      </c>
      <c r="O17" s="9">
        <f>'Group Means'!P16</f>
        <v>4.088111111111111</v>
      </c>
    </row>
    <row r="18" spans="1:17" ht="15" customHeight="1" x14ac:dyDescent="0.25">
      <c r="A18" s="17" t="s">
        <v>57</v>
      </c>
      <c r="B18" s="9">
        <f>'Group Means'!C17</f>
        <v>5.6501111111111113</v>
      </c>
      <c r="C18" s="9">
        <f>'Group Means'!D17</f>
        <v>7.958333333333333</v>
      </c>
      <c r="D18" s="9">
        <f>'Group Means'!E17</f>
        <v>3.7926666666666669</v>
      </c>
      <c r="E18" s="9">
        <f>'Group Means'!F17</f>
        <v>4.5360000000000005</v>
      </c>
      <c r="F18" s="9">
        <f>'Group Means'!G17</f>
        <v>7.1926666666666677</v>
      </c>
      <c r="G18" s="9">
        <f>'Group Means'!H17</f>
        <v>17.414000000000001</v>
      </c>
      <c r="H18" s="9">
        <f>'Group Means'!I17</f>
        <v>4.1392222222222221</v>
      </c>
      <c r="I18" s="9">
        <f>'Group Means'!J17</f>
        <v>8.1762222222222221</v>
      </c>
      <c r="J18" s="9">
        <f>'Group Means'!K17</f>
        <v>0.5</v>
      </c>
      <c r="K18" s="9">
        <f>'Group Means'!L17</f>
        <v>2.2751111111111109</v>
      </c>
      <c r="L18" s="9">
        <f>'Group Means'!M17</f>
        <v>1.0613333333333332</v>
      </c>
      <c r="M18" s="9">
        <f>'Group Means'!N17</f>
        <v>2.125</v>
      </c>
      <c r="N18" s="9">
        <f>'Group Means'!O17</f>
        <v>1.0065555555555556</v>
      </c>
      <c r="O18" s="9">
        <f>'Group Means'!P17</f>
        <v>2.6108888888888888</v>
      </c>
    </row>
    <row r="19" spans="1:17" ht="15" customHeight="1" x14ac:dyDescent="0.25">
      <c r="A19" s="17" t="s">
        <v>70</v>
      </c>
      <c r="B19" s="9">
        <f>'Group Means'!C18</f>
        <v>9.8263333333333343</v>
      </c>
      <c r="C19" s="9">
        <f>'Group Means'!D18</f>
        <v>10.941533333333332</v>
      </c>
      <c r="D19" s="9">
        <f>'Group Means'!E18</f>
        <v>7.2172000000000009</v>
      </c>
      <c r="E19" s="9">
        <f>'Group Means'!F18</f>
        <v>6.9300000000000015</v>
      </c>
      <c r="F19" s="9">
        <f>'Group Means'!G18</f>
        <v>9.1127333333333329</v>
      </c>
      <c r="G19" s="9">
        <f>'Group Means'!H18</f>
        <v>23.187666666666665</v>
      </c>
      <c r="H19" s="9">
        <f>'Group Means'!I18</f>
        <v>7.0469333333333326</v>
      </c>
      <c r="I19" s="9">
        <f>'Group Means'!J18</f>
        <v>13.9026</v>
      </c>
      <c r="J19" s="9">
        <f>'Group Means'!K18</f>
        <v>3.0689333333333337</v>
      </c>
      <c r="K19" s="9">
        <f>'Group Means'!L18</f>
        <v>7.6659999999999995</v>
      </c>
      <c r="L19" s="9">
        <f>'Group Means'!M18</f>
        <v>3.8534666666666664</v>
      </c>
      <c r="M19" s="9">
        <f>'Group Means'!N18</f>
        <v>6.0122666666666653</v>
      </c>
      <c r="N19" s="9">
        <f>'Group Means'!O18</f>
        <v>4.1621333333333332</v>
      </c>
      <c r="O19" s="9">
        <f>'Group Means'!P18</f>
        <v>7.2219333333333315</v>
      </c>
    </row>
    <row r="20" spans="1:17" ht="15" customHeight="1" x14ac:dyDescent="0.25">
      <c r="A20" s="17" t="s">
        <v>127</v>
      </c>
      <c r="B20" s="9">
        <f>'Group Means'!C19</f>
        <v>6.9943939393939409</v>
      </c>
      <c r="C20" s="9">
        <f>'Group Means'!D19</f>
        <v>9.2050303030303056</v>
      </c>
      <c r="D20" s="9">
        <f>'Group Means'!E19</f>
        <v>5.3420303030303025</v>
      </c>
      <c r="E20" s="9">
        <f>'Group Means'!F19</f>
        <v>5.5593939393939387</v>
      </c>
      <c r="F20" s="9">
        <f>'Group Means'!G19</f>
        <v>8.3409090909090917</v>
      </c>
      <c r="G20" s="9">
        <f>'Group Means'!H19</f>
        <v>18.737272727272725</v>
      </c>
      <c r="H20" s="9">
        <f>'Group Means'!I19</f>
        <v>5.281363636363638</v>
      </c>
      <c r="I20" s="9">
        <f>'Group Means'!J19</f>
        <v>10.419484848484849</v>
      </c>
      <c r="J20" s="9">
        <f>'Group Means'!K19</f>
        <v>1.9577272727272728</v>
      </c>
      <c r="K20" s="9">
        <f>'Group Means'!L19</f>
        <v>4.5849393939393934</v>
      </c>
      <c r="L20" s="9">
        <f>'Group Means'!M19</f>
        <v>2.5286969696969699</v>
      </c>
      <c r="M20" s="9">
        <f>'Group Means'!N19</f>
        <v>4.1012727272727272</v>
      </c>
      <c r="N20" s="9">
        <f>'Group Means'!O19</f>
        <v>2.8690909090909082</v>
      </c>
      <c r="O20" s="9">
        <f>'Group Means'!P19</f>
        <v>5.1096969696969694</v>
      </c>
    </row>
    <row r="23" spans="1:17" ht="15" customHeight="1" x14ac:dyDescent="0.25">
      <c r="A23" s="17" t="s">
        <v>220</v>
      </c>
    </row>
    <row r="24" spans="1:17" ht="34.5" customHeight="1" x14ac:dyDescent="0.25">
      <c r="A24" s="6" t="s">
        <v>130</v>
      </c>
      <c r="B24" s="6" t="s">
        <v>25</v>
      </c>
      <c r="C24" s="6" t="s">
        <v>26</v>
      </c>
      <c r="D24" s="6" t="s">
        <v>27</v>
      </c>
      <c r="E24" s="6" t="s">
        <v>28</v>
      </c>
      <c r="F24" s="6" t="s">
        <v>29</v>
      </c>
      <c r="G24" s="6" t="s">
        <v>30</v>
      </c>
      <c r="H24" s="6" t="s">
        <v>31</v>
      </c>
      <c r="I24" s="6" t="s">
        <v>32</v>
      </c>
      <c r="J24" s="6" t="s">
        <v>33</v>
      </c>
      <c r="K24" s="6" t="s">
        <v>34</v>
      </c>
      <c r="L24" s="6" t="s">
        <v>35</v>
      </c>
      <c r="M24" s="6" t="s">
        <v>36</v>
      </c>
      <c r="N24" s="6" t="s">
        <v>37</v>
      </c>
      <c r="O24" s="6" t="s">
        <v>38</v>
      </c>
      <c r="P24" s="6" t="s">
        <v>221</v>
      </c>
      <c r="Q24" s="6" t="s">
        <v>222</v>
      </c>
    </row>
    <row r="25" spans="1:17" ht="15" customHeight="1" x14ac:dyDescent="0.25">
      <c r="A25" s="10" t="s">
        <v>45</v>
      </c>
      <c r="B25" s="9">
        <f>B6/SQG!$B$5</f>
        <v>2.3484593837535015</v>
      </c>
      <c r="C25" s="9">
        <f>C6/SQG!$B$6</f>
        <v>5.3876750700280125</v>
      </c>
      <c r="D25" s="9">
        <f>D6/SQG!$B$7</f>
        <v>1.0685499058380412</v>
      </c>
      <c r="E25" s="9">
        <f>E6/SQG!$B$8</f>
        <v>1.0685499058380414</v>
      </c>
      <c r="F25" s="9">
        <f>F6/SQG!$B$9</f>
        <v>5.7201877934272298</v>
      </c>
      <c r="G25" s="9">
        <f>G6/SQG!$B$10</f>
        <v>7.6645539906103277</v>
      </c>
      <c r="H25" s="9">
        <f>H6/SQG!$B$11</f>
        <v>0.42177777777777781</v>
      </c>
      <c r="I25" s="9">
        <f>I6/SQG!$B$12</f>
        <v>0.99713333333333343</v>
      </c>
      <c r="J25" s="9">
        <f>J6/SQG!$B$13</f>
        <v>0.53191489361702127</v>
      </c>
      <c r="K25" s="9">
        <f>K6/SQG!$B$14</f>
        <v>0.16666666666666666</v>
      </c>
      <c r="L25" s="9">
        <f>L6/SQG!$B$15</f>
        <v>0.25</v>
      </c>
      <c r="M25" s="9">
        <f>M6/SQG!$B$16</f>
        <v>0.36666666666666664</v>
      </c>
      <c r="N25" s="9">
        <f>N6/SQG!$B$17</f>
        <v>0.83333333333333337</v>
      </c>
      <c r="O25" s="9">
        <f>O6/SQG!$B$18</f>
        <v>3.6783333333333341</v>
      </c>
      <c r="P25" s="20">
        <f t="shared" ref="P25:P39" si="0">SUM(B25:O25)</f>
        <v>30.503802054223289</v>
      </c>
      <c r="Q25" s="11">
        <f>COUNTIF(B25:O25,"&gt;="&amp;SQG!$B$27)</f>
        <v>7</v>
      </c>
    </row>
    <row r="26" spans="1:17" ht="15" customHeight="1" x14ac:dyDescent="0.25">
      <c r="A26" s="10" t="s">
        <v>49</v>
      </c>
      <c r="B26" s="9">
        <f>B7/SQG!$B$5</f>
        <v>0.42016806722689076</v>
      </c>
      <c r="C26" s="9">
        <f>C7/SQG!$B$6</f>
        <v>3.9294117647058826</v>
      </c>
      <c r="D26" s="9">
        <f>D7/SQG!$B$7</f>
        <v>0.14124293785310735</v>
      </c>
      <c r="E26" s="9">
        <f>E7/SQG!$B$8</f>
        <v>0.14124293785310735</v>
      </c>
      <c r="F26" s="9">
        <f>F7/SQG!$B$9</f>
        <v>5.1136150234741784</v>
      </c>
      <c r="G26" s="9">
        <f>G7/SQG!$B$10</f>
        <v>5.8701877934272302</v>
      </c>
      <c r="H26" s="9">
        <f>H7/SQG!$B$11</f>
        <v>8.3333333333333329E-2</v>
      </c>
      <c r="I26" s="9">
        <f>I7/SQG!$B$12</f>
        <v>0.19700000000000001</v>
      </c>
      <c r="J26" s="9">
        <f>J7/SQG!$B$13</f>
        <v>0.53191489361702127</v>
      </c>
      <c r="K26" s="9">
        <f>K7/SQG!$B$14</f>
        <v>0.16666666666666666</v>
      </c>
      <c r="L26" s="9">
        <f>L7/SQG!$B$15</f>
        <v>0.25</v>
      </c>
      <c r="M26" s="9">
        <f>M7/SQG!$B$16</f>
        <v>0.17543859649122806</v>
      </c>
      <c r="N26" s="9">
        <f>N7/SQG!$B$17</f>
        <v>0.83333333333333337</v>
      </c>
      <c r="O26" s="9">
        <f>O7/SQG!$B$18</f>
        <v>0.83333333333333337</v>
      </c>
      <c r="P26" s="20">
        <f t="shared" si="0"/>
        <v>18.686888681315313</v>
      </c>
      <c r="Q26" s="11">
        <f>COUNTIF(B26:O26,"&gt;="&amp;SQG!$B$27)</f>
        <v>3</v>
      </c>
    </row>
    <row r="27" spans="1:17" ht="15" customHeight="1" x14ac:dyDescent="0.25">
      <c r="A27" s="10" t="s">
        <v>53</v>
      </c>
      <c r="B27" s="9">
        <f>B8/SQG!$B$5</f>
        <v>6.3543417366946784</v>
      </c>
      <c r="C27" s="9">
        <f>C8/SQG!$B$6</f>
        <v>9.7355742296918759</v>
      </c>
      <c r="D27" s="9">
        <f>D8/SQG!$B$7</f>
        <v>1.9818267419962337</v>
      </c>
      <c r="E27" s="9">
        <f>E8/SQG!$B$8</f>
        <v>2.4329566854990587</v>
      </c>
      <c r="F27" s="9">
        <f>F8/SQG!$B$9</f>
        <v>6.4960093896713627</v>
      </c>
      <c r="G27" s="9">
        <f>G8/SQG!$B$10</f>
        <v>13.176291079812207</v>
      </c>
      <c r="H27" s="9">
        <f>H8/SQG!$B$11</f>
        <v>1.2353333333333334</v>
      </c>
      <c r="I27" s="9">
        <f>I8/SQG!$B$12</f>
        <v>2.9203999999999999</v>
      </c>
      <c r="J27" s="9">
        <f>J8/SQG!$B$13</f>
        <v>3.9258865248226957</v>
      </c>
      <c r="K27" s="9">
        <f>K8/SQG!$B$14</f>
        <v>1.4263333333333332</v>
      </c>
      <c r="L27" s="9">
        <f>L8/SQG!$B$15</f>
        <v>2.1821666666666668</v>
      </c>
      <c r="M27" s="9">
        <f>M8/SQG!$B$16</f>
        <v>2.5026900584795317</v>
      </c>
      <c r="N27" s="9">
        <f>N8/SQG!$B$17</f>
        <v>11.216111111111111</v>
      </c>
      <c r="O27" s="9">
        <f>O8/SQG!$B$18</f>
        <v>15.92888888888889</v>
      </c>
      <c r="P27" s="20">
        <f t="shared" si="0"/>
        <v>81.514809780000988</v>
      </c>
      <c r="Q27" s="11">
        <f>COUNTIF(B27:O27,"&gt;="&amp;SQG!$B$27)</f>
        <v>14</v>
      </c>
    </row>
    <row r="28" spans="1:17" ht="15" customHeight="1" x14ac:dyDescent="0.25">
      <c r="A28" s="10" t="s">
        <v>58</v>
      </c>
      <c r="B28" s="9">
        <f>B9/SQG!$B$5</f>
        <v>3.6117647058823525</v>
      </c>
      <c r="C28" s="9">
        <f>C9/SQG!$B$6</f>
        <v>5.1453781512605046</v>
      </c>
      <c r="D28" s="9">
        <f>D9/SQG!$B$7</f>
        <v>0.14124293785310735</v>
      </c>
      <c r="E28" s="9">
        <f>E9/SQG!$B$8</f>
        <v>1.5433145009416198</v>
      </c>
      <c r="F28" s="9">
        <f>F9/SQG!$B$9</f>
        <v>4.6112676056338024</v>
      </c>
      <c r="G28" s="9">
        <f>G9/SQG!$B$10</f>
        <v>9.1549295774647899</v>
      </c>
      <c r="H28" s="9">
        <f>H9/SQG!$B$11</f>
        <v>0.51661111111111102</v>
      </c>
      <c r="I28" s="9">
        <f>I9/SQG!$B$12</f>
        <v>1.2211333333333334</v>
      </c>
      <c r="J28" s="9">
        <f>J9/SQG!$B$13</f>
        <v>0.53191489361702127</v>
      </c>
      <c r="K28" s="9">
        <f>K9/SQG!$B$14</f>
        <v>0.16666666666666666</v>
      </c>
      <c r="L28" s="9">
        <f>L9/SQG!$B$15</f>
        <v>0.59066666666666667</v>
      </c>
      <c r="M28" s="9">
        <f>M9/SQG!$B$16</f>
        <v>1.1778947368421051</v>
      </c>
      <c r="N28" s="9">
        <f>N9/SQG!$B$17</f>
        <v>0.83333333333333337</v>
      </c>
      <c r="O28" s="9">
        <f>O9/SQG!$B$18</f>
        <v>0.83333333333333337</v>
      </c>
      <c r="P28" s="20">
        <f t="shared" si="0"/>
        <v>30.079451553939748</v>
      </c>
      <c r="Q28" s="11">
        <f>COUNTIF(B28:O28,"&gt;="&amp;SQG!$B$27)</f>
        <v>7</v>
      </c>
    </row>
    <row r="29" spans="1:17" ht="15" customHeight="1" x14ac:dyDescent="0.25">
      <c r="A29" s="10" t="s">
        <v>62</v>
      </c>
      <c r="B29" s="9">
        <f>B10/SQG!$B$5</f>
        <v>5.0879551820728297</v>
      </c>
      <c r="C29" s="9">
        <f>C10/SQG!$B$6</f>
        <v>7.2910364145658271</v>
      </c>
      <c r="D29" s="9">
        <f>D10/SQG!$B$7</f>
        <v>1.4177966101694912</v>
      </c>
      <c r="E29" s="9">
        <f>E10/SQG!$B$8</f>
        <v>0.95838041431261778</v>
      </c>
      <c r="F29" s="9">
        <f>F10/SQG!$B$9</f>
        <v>5.2028169014084504</v>
      </c>
      <c r="G29" s="9">
        <f>G10/SQG!$B$10</f>
        <v>13.302816901408452</v>
      </c>
      <c r="H29" s="9">
        <f>H10/SQG!$B$11</f>
        <v>0.66838888888888892</v>
      </c>
      <c r="I29" s="9">
        <f>I10/SQG!$B$12</f>
        <v>1.5800666666666667</v>
      </c>
      <c r="J29" s="9">
        <f>J10/SQG!$B$13</f>
        <v>0.53191489361702127</v>
      </c>
      <c r="K29" s="9">
        <f>K10/SQG!$B$14</f>
        <v>0.99122222222222212</v>
      </c>
      <c r="L29" s="9">
        <f>L10/SQG!$B$15</f>
        <v>0.25</v>
      </c>
      <c r="M29" s="9">
        <f>M10/SQG!$B$16</f>
        <v>0.88350877192982458</v>
      </c>
      <c r="N29" s="9">
        <f>N10/SQG!$B$17</f>
        <v>1.9761111111111116</v>
      </c>
      <c r="O29" s="9">
        <f>O10/SQG!$B$18</f>
        <v>6.3272222222222219</v>
      </c>
      <c r="P29" s="20">
        <f t="shared" si="0"/>
        <v>46.469237200595614</v>
      </c>
      <c r="Q29" s="11">
        <f>COUNTIF(B29:O29,"&gt;="&amp;SQG!$B$27)</f>
        <v>8</v>
      </c>
    </row>
    <row r="30" spans="1:17" ht="15" customHeight="1" x14ac:dyDescent="0.25">
      <c r="A30" s="10" t="s">
        <v>66</v>
      </c>
      <c r="B30" s="9">
        <f>B11/SQG!$B$5</f>
        <v>5.5442577030812323</v>
      </c>
      <c r="C30" s="9">
        <f>C11/SQG!$B$6</f>
        <v>7.6266106442577053</v>
      </c>
      <c r="D30" s="9">
        <f>D11/SQG!$B$7</f>
        <v>1.6550847457627116</v>
      </c>
      <c r="E30" s="9">
        <f>E11/SQG!$B$8</f>
        <v>1.3423728813559321</v>
      </c>
      <c r="F30" s="9">
        <f>F11/SQG!$B$9</f>
        <v>5.3816901408450706</v>
      </c>
      <c r="G30" s="9">
        <f>G11/SQG!$B$10</f>
        <v>14.332394366197184</v>
      </c>
      <c r="H30" s="9">
        <f>H11/SQG!$B$11</f>
        <v>0.88461111111111101</v>
      </c>
      <c r="I30" s="9">
        <f>I11/SQG!$B$12</f>
        <v>2.1045333333333334</v>
      </c>
      <c r="J30" s="9">
        <f>J11/SQG!$B$13</f>
        <v>0.53191489361702127</v>
      </c>
      <c r="K30" s="9">
        <f>K11/SQG!$B$14</f>
        <v>1.1172222222222221</v>
      </c>
      <c r="L30" s="9">
        <f>L11/SQG!$B$15</f>
        <v>0.7513333333333333</v>
      </c>
      <c r="M30" s="9">
        <f>M11/SQG!$B$16</f>
        <v>0.17543859649122806</v>
      </c>
      <c r="N30" s="9">
        <f>N11/SQG!$B$17</f>
        <v>2.2233333333333332</v>
      </c>
      <c r="O30" s="9">
        <f>O11/SQG!$B$18</f>
        <v>5.8938888888888892</v>
      </c>
      <c r="P30" s="20">
        <f t="shared" si="0"/>
        <v>49.564686193830312</v>
      </c>
      <c r="Q30" s="11">
        <f>COUNTIF(B30:O30,"&gt;="&amp;SQG!$B$27)</f>
        <v>10</v>
      </c>
    </row>
    <row r="31" spans="1:17" ht="15" customHeight="1" x14ac:dyDescent="0.25">
      <c r="A31" s="10" t="s">
        <v>71</v>
      </c>
      <c r="B31" s="9">
        <f>B12/SQG!$B$5</f>
        <v>7.0156862745098056</v>
      </c>
      <c r="C31" s="9">
        <f>C12/SQG!$B$6</f>
        <v>7.4955182072829132</v>
      </c>
      <c r="D31" s="9">
        <f>D12/SQG!$B$7</f>
        <v>0.14124293785310735</v>
      </c>
      <c r="E31" s="9">
        <f>E12/SQG!$B$8</f>
        <v>1.4188323917137478</v>
      </c>
      <c r="F31" s="9">
        <f>F12/SQG!$B$9</f>
        <v>5.3514084507042252</v>
      </c>
      <c r="G31" s="9">
        <f>G12/SQG!$B$10</f>
        <v>14.000469483568075</v>
      </c>
      <c r="H31" s="9">
        <f>H12/SQG!$B$11</f>
        <v>1.1315000000000002</v>
      </c>
      <c r="I31" s="9">
        <f>I12/SQG!$B$12</f>
        <v>2.6748666666666669</v>
      </c>
      <c r="J31" s="9">
        <f>J12/SQG!$B$13</f>
        <v>2.9141843971631207</v>
      </c>
      <c r="K31" s="9">
        <f>K12/SQG!$B$14</f>
        <v>1.0644444444444445</v>
      </c>
      <c r="L31" s="9">
        <f>L12/SQG!$B$15</f>
        <v>0.8656666666666667</v>
      </c>
      <c r="M31" s="9">
        <f>M12/SQG!$B$16</f>
        <v>1.2949707602339182</v>
      </c>
      <c r="N31" s="9">
        <f>N12/SQG!$B$17</f>
        <v>0.83333333333333337</v>
      </c>
      <c r="O31" s="9">
        <f>O12/SQG!$B$18</f>
        <v>5.2861111111111114</v>
      </c>
      <c r="P31" s="20">
        <f t="shared" si="0"/>
        <v>51.488235125251144</v>
      </c>
      <c r="Q31" s="11">
        <f>COUNTIF(B31:O31,"&gt;="&amp;SQG!$B$27)</f>
        <v>11</v>
      </c>
    </row>
    <row r="32" spans="1:17" ht="15" customHeight="1" x14ac:dyDescent="0.25">
      <c r="A32" s="10" t="s">
        <v>75</v>
      </c>
      <c r="B32" s="9">
        <f>B13/SQG!$B$5</f>
        <v>7.7456582633053221</v>
      </c>
      <c r="C32" s="9">
        <f>C13/SQG!$B$6</f>
        <v>7.3249299719887961</v>
      </c>
      <c r="D32" s="9">
        <f>D13/SQG!$B$7</f>
        <v>2.4061205273069675</v>
      </c>
      <c r="E32" s="9">
        <f>E13/SQG!$B$8</f>
        <v>1.4489642184557439</v>
      </c>
      <c r="F32" s="9">
        <f>F13/SQG!$B$9</f>
        <v>5.7260563380281697</v>
      </c>
      <c r="G32" s="9">
        <f>G13/SQG!$B$10</f>
        <v>14.750469483568077</v>
      </c>
      <c r="H32" s="9">
        <f>H13/SQG!$B$11</f>
        <v>0.9732777777777778</v>
      </c>
      <c r="I32" s="9">
        <f>I13/SQG!$B$12</f>
        <v>2.3007333333333335</v>
      </c>
      <c r="J32" s="9">
        <f>J13/SQG!$B$13</f>
        <v>2.4787234042553195</v>
      </c>
      <c r="K32" s="9">
        <f>K13/SQG!$B$14</f>
        <v>1.8285555555555557</v>
      </c>
      <c r="L32" s="9">
        <f>L13/SQG!$B$15</f>
        <v>1.0481666666666667</v>
      </c>
      <c r="M32" s="9">
        <f>M13/SQG!$B$16</f>
        <v>1.3207017543859647</v>
      </c>
      <c r="N32" s="9">
        <f>N13/SQG!$B$17</f>
        <v>5.5433333333333339</v>
      </c>
      <c r="O32" s="9">
        <f>O13/SQG!$B$18</f>
        <v>9.5555555555555554</v>
      </c>
      <c r="P32" s="20">
        <f t="shared" si="0"/>
        <v>64.451246183516588</v>
      </c>
      <c r="Q32" s="11">
        <f>COUNTIF(B32:O32,"&gt;="&amp;SQG!$B$27)</f>
        <v>13</v>
      </c>
    </row>
    <row r="33" spans="1:19" ht="15" customHeight="1" x14ac:dyDescent="0.25">
      <c r="A33" s="10" t="s">
        <v>79</v>
      </c>
      <c r="B33" s="9">
        <f>B14/SQG!$B$5</f>
        <v>7.9462184873949591</v>
      </c>
      <c r="C33" s="9">
        <f>C14/SQG!$B$6</f>
        <v>8.4324929971988798</v>
      </c>
      <c r="D33" s="9">
        <f>D14/SQG!$B$7</f>
        <v>1.803954802259887</v>
      </c>
      <c r="E33" s="9">
        <f>E14/SQG!$B$8</f>
        <v>2.446704331450094</v>
      </c>
      <c r="F33" s="9">
        <f>F14/SQG!$B$9</f>
        <v>6.5215962441314561</v>
      </c>
      <c r="G33" s="9">
        <f>G14/SQG!$B$10</f>
        <v>14.950704225352114</v>
      </c>
      <c r="H33" s="9">
        <f>H14/SQG!$B$11</f>
        <v>1.2432222222222222</v>
      </c>
      <c r="I33" s="9">
        <f>I14/SQG!$B$12</f>
        <v>2.9391333333333334</v>
      </c>
      <c r="J33" s="9">
        <f>J14/SQG!$B$13</f>
        <v>2.4056737588652486</v>
      </c>
      <c r="K33" s="9">
        <f>K14/SQG!$B$14</f>
        <v>2.015333333333333</v>
      </c>
      <c r="L33" s="9">
        <f>L14/SQG!$B$15</f>
        <v>1.6653333333333336</v>
      </c>
      <c r="M33" s="9">
        <f>M14/SQG!$B$16</f>
        <v>1.6302923976608188</v>
      </c>
      <c r="N33" s="9">
        <f>N14/SQG!$B$17</f>
        <v>4.7761111111111125</v>
      </c>
      <c r="O33" s="9">
        <f>O14/SQG!$B$18</f>
        <v>9.0116666666666667</v>
      </c>
      <c r="P33" s="20">
        <f t="shared" si="0"/>
        <v>67.788437244313457</v>
      </c>
      <c r="Q33" s="11">
        <f>COUNTIF(B33:O33,"&gt;="&amp;SQG!$B$27)</f>
        <v>14</v>
      </c>
    </row>
    <row r="34" spans="1:19" ht="15" customHeight="1" x14ac:dyDescent="0.25">
      <c r="A34" s="10" t="s">
        <v>83</v>
      </c>
      <c r="B34" s="9">
        <f>B15/SQG!$B$5</f>
        <v>8.389915966386555</v>
      </c>
      <c r="C34" s="9">
        <f>C15/SQG!$B$6</f>
        <v>11.078711484593839</v>
      </c>
      <c r="D34" s="9">
        <f>D15/SQG!$B$7</f>
        <v>2.5899246704331453</v>
      </c>
      <c r="E34" s="9">
        <f>E15/SQG!$B$8</f>
        <v>1.8432203389830506</v>
      </c>
      <c r="F34" s="9">
        <f>F15/SQG!$B$9</f>
        <v>6.4579812206572775</v>
      </c>
      <c r="G34" s="9">
        <f>G15/SQG!$B$10</f>
        <v>16.851173708920189</v>
      </c>
      <c r="H34" s="9">
        <f>H15/SQG!$B$11</f>
        <v>1.1225555555555555</v>
      </c>
      <c r="I34" s="9">
        <f>I15/SQG!$B$12</f>
        <v>2.6671333333333331</v>
      </c>
      <c r="J34" s="9">
        <f>J15/SQG!$B$13</f>
        <v>3.7748226950354611</v>
      </c>
      <c r="K34" s="9">
        <f>K15/SQG!$B$14</f>
        <v>2.7501111111111105</v>
      </c>
      <c r="L34" s="9">
        <f>L15/SQG!$B$15</f>
        <v>2.1618333333333335</v>
      </c>
      <c r="M34" s="9">
        <f>M15/SQG!$B$16</f>
        <v>2.5369590643274851</v>
      </c>
      <c r="N34" s="9">
        <f>N15/SQG!$B$17</f>
        <v>8.2622222222222224</v>
      </c>
      <c r="O34" s="9">
        <f>O15/SQG!$B$18</f>
        <v>13.733333333333334</v>
      </c>
      <c r="P34" s="20">
        <f t="shared" si="0"/>
        <v>84.219898038225892</v>
      </c>
      <c r="Q34" s="11">
        <f>COUNTIF(B34:O34,"&gt;="&amp;SQG!$B$27)</f>
        <v>14</v>
      </c>
    </row>
    <row r="35" spans="1:19" ht="15" customHeight="1" x14ac:dyDescent="0.25">
      <c r="A35" s="10" t="s">
        <v>87</v>
      </c>
      <c r="B35" s="9">
        <f>B16/SQG!$B$5</f>
        <v>10.189635854341738</v>
      </c>
      <c r="C35" s="9">
        <f>C16/SQG!$B$6</f>
        <v>11.641176470588235</v>
      </c>
      <c r="D35" s="9">
        <f>D16/SQG!$B$7</f>
        <v>3.2525423728813561</v>
      </c>
      <c r="E35" s="9">
        <f>E16/SQG!$B$8</f>
        <v>2.6304143126177024</v>
      </c>
      <c r="F35" s="9">
        <f>F16/SQG!$B$9</f>
        <v>8.0300469483568087</v>
      </c>
      <c r="G35" s="9">
        <f>G16/SQG!$B$10</f>
        <v>21.093896713615024</v>
      </c>
      <c r="H35" s="9">
        <f>H16/SQG!$B$11</f>
        <v>1.401888888888889</v>
      </c>
      <c r="I35" s="9">
        <f>I16/SQG!$B$12</f>
        <v>3.320733333333334</v>
      </c>
      <c r="J35" s="9">
        <f>J16/SQG!$B$13</f>
        <v>4.7507092198581562</v>
      </c>
      <c r="K35" s="9">
        <f>K16/SQG!$B$14</f>
        <v>5.1182222222222222</v>
      </c>
      <c r="L35" s="9">
        <f>L16/SQG!$B$15</f>
        <v>3.8926666666666669</v>
      </c>
      <c r="M35" s="9">
        <f>M16/SQG!$B$16</f>
        <v>3.7649122807017537</v>
      </c>
      <c r="N35" s="9">
        <f>N16/SQG!$B$17</f>
        <v>15.269444444444446</v>
      </c>
      <c r="O35" s="9">
        <f>O16/SQG!$B$18</f>
        <v>22.596111111111114</v>
      </c>
      <c r="P35" s="20">
        <f t="shared" si="0"/>
        <v>116.95240083962746</v>
      </c>
      <c r="Q35" s="11">
        <f>COUNTIF(B35:O35,"&gt;="&amp;SQG!$B$27)</f>
        <v>14</v>
      </c>
    </row>
    <row r="36" spans="1:19" ht="15" customHeight="1" x14ac:dyDescent="0.25">
      <c r="A36" s="17" t="s">
        <v>44</v>
      </c>
      <c r="B36" s="9">
        <f>B17/SQG!$B$5</f>
        <v>3.0409897292250236</v>
      </c>
      <c r="C36" s="9">
        <f>C17/SQG!$B$6</f>
        <v>6.3508870214752573</v>
      </c>
      <c r="D36" s="9">
        <f>D17/SQG!$B$7</f>
        <v>1.0638731952291272</v>
      </c>
      <c r="E36" s="9">
        <f>E17/SQG!$B$8</f>
        <v>1.2142498430634026</v>
      </c>
      <c r="F36" s="9">
        <f>F17/SQG!$B$9</f>
        <v>5.7766040688575897</v>
      </c>
      <c r="G36" s="9">
        <f>G17/SQG!$B$10</f>
        <v>8.903677621283256</v>
      </c>
      <c r="H36" s="9">
        <f>H17/SQG!$B$11</f>
        <v>0.58014814814814819</v>
      </c>
      <c r="I36" s="9">
        <f>I17/SQG!$B$12</f>
        <v>1.3715111111111109</v>
      </c>
      <c r="J36" s="9">
        <f>J17/SQG!$B$13</f>
        <v>1.6632387706855796</v>
      </c>
      <c r="K36" s="9">
        <f>K17/SQG!$B$14</f>
        <v>0.58655555555555561</v>
      </c>
      <c r="L36" s="9">
        <f>L17/SQG!$B$15</f>
        <v>0.8940555555555556</v>
      </c>
      <c r="M36" s="9">
        <f>M17/SQG!$B$16</f>
        <v>1.0149317738791424</v>
      </c>
      <c r="N36" s="9">
        <f>N17/SQG!$B$17</f>
        <v>4.2942592592592597</v>
      </c>
      <c r="O36" s="9">
        <f>O17/SQG!$B$18</f>
        <v>6.813518518518519</v>
      </c>
      <c r="P36" s="20">
        <f t="shared" si="0"/>
        <v>43.568500171846537</v>
      </c>
      <c r="Q36" s="11">
        <f>COUNTIF(B36:O36,"&gt;="&amp;SQG!$B$27)</f>
        <v>11</v>
      </c>
    </row>
    <row r="37" spans="1:19" ht="15" customHeight="1" x14ac:dyDescent="0.25">
      <c r="A37" s="17" t="s">
        <v>57</v>
      </c>
      <c r="B37" s="9">
        <f>B18/SQG!$B$5</f>
        <v>4.7479925303454715</v>
      </c>
      <c r="C37" s="9">
        <f>C18/SQG!$B$6</f>
        <v>6.6876750700280114</v>
      </c>
      <c r="D37" s="9">
        <f>D18/SQG!$B$7</f>
        <v>1.0713747645951037</v>
      </c>
      <c r="E37" s="9">
        <f>E18/SQG!$B$8</f>
        <v>1.2813559322033901</v>
      </c>
      <c r="F37" s="9">
        <f>F18/SQG!$B$9</f>
        <v>5.0652582159624426</v>
      </c>
      <c r="G37" s="9">
        <f>G18/SQG!$B$10</f>
        <v>12.263380281690143</v>
      </c>
      <c r="H37" s="9">
        <f>H18/SQG!$B$11</f>
        <v>0.68987037037037036</v>
      </c>
      <c r="I37" s="9">
        <f>I18/SQG!$B$12</f>
        <v>1.6352444444444445</v>
      </c>
      <c r="J37" s="9">
        <f>J18/SQG!$B$13</f>
        <v>0.53191489361702127</v>
      </c>
      <c r="K37" s="9">
        <f>K18/SQG!$B$14</f>
        <v>0.75837037037037025</v>
      </c>
      <c r="L37" s="9">
        <f>L18/SQG!$B$15</f>
        <v>0.53066666666666662</v>
      </c>
      <c r="M37" s="9">
        <f>M18/SQG!$B$16</f>
        <v>0.74561403508771928</v>
      </c>
      <c r="N37" s="9">
        <f>N18/SQG!$B$17</f>
        <v>1.6775925925925927</v>
      </c>
      <c r="O37" s="9">
        <f>O18/SQG!$B$18</f>
        <v>4.3514814814814819</v>
      </c>
      <c r="P37" s="20">
        <f t="shared" si="0"/>
        <v>42.03779164945523</v>
      </c>
      <c r="Q37" s="11">
        <f>COUNTIF(B37:O37,"&gt;="&amp;SQG!$B$27)</f>
        <v>9</v>
      </c>
    </row>
    <row r="38" spans="1:19" ht="15" customHeight="1" x14ac:dyDescent="0.25">
      <c r="A38" s="17" t="s">
        <v>70</v>
      </c>
      <c r="B38" s="9">
        <f>B19/SQG!$B$5</f>
        <v>8.2574229691876759</v>
      </c>
      <c r="C38" s="9">
        <f>C19/SQG!$B$6</f>
        <v>9.1945658263305319</v>
      </c>
      <c r="D38" s="9">
        <f>D19/SQG!$B$7</f>
        <v>2.0387570621468929</v>
      </c>
      <c r="E38" s="9">
        <f>E19/SQG!$B$8</f>
        <v>1.9576271186440681</v>
      </c>
      <c r="F38" s="9">
        <f>F19/SQG!$B$9</f>
        <v>6.4174178403755873</v>
      </c>
      <c r="G38" s="9">
        <f>G19/SQG!$B$10</f>
        <v>16.329342723004693</v>
      </c>
      <c r="H38" s="9">
        <f>H19/SQG!$B$11</f>
        <v>1.1744888888888887</v>
      </c>
      <c r="I38" s="9">
        <f>I19/SQG!$B$12</f>
        <v>2.7805200000000001</v>
      </c>
      <c r="J38" s="9">
        <f>J19/SQG!$B$13</f>
        <v>3.2648226950354617</v>
      </c>
      <c r="K38" s="9">
        <f>K19/SQG!$B$14</f>
        <v>2.555333333333333</v>
      </c>
      <c r="L38" s="9">
        <f>L19/SQG!$B$15</f>
        <v>1.9267333333333332</v>
      </c>
      <c r="M38" s="9">
        <f>M19/SQG!$B$16</f>
        <v>2.1095672514619879</v>
      </c>
      <c r="N38" s="9">
        <f>N19/SQG!$B$17</f>
        <v>6.9368888888888893</v>
      </c>
      <c r="O38" s="9">
        <f>O19/SQG!$B$18</f>
        <v>12.036555555555553</v>
      </c>
      <c r="P38" s="20">
        <f t="shared" si="0"/>
        <v>76.980043486186901</v>
      </c>
      <c r="Q38" s="11">
        <f>COUNTIF(B38:O38,"&gt;="&amp;SQG!$B$27)</f>
        <v>14</v>
      </c>
    </row>
    <row r="39" spans="1:19" ht="15" customHeight="1" x14ac:dyDescent="0.25">
      <c r="A39" s="17" t="s">
        <v>127</v>
      </c>
      <c r="B39" s="9">
        <f>B20/SQG!$B$5</f>
        <v>5.8776419658772614</v>
      </c>
      <c r="C39" s="9">
        <f>C20/SQG!$B$6</f>
        <v>7.7353195823784082</v>
      </c>
      <c r="D39" s="9">
        <f>D20/SQG!$B$7</f>
        <v>1.5090481082006504</v>
      </c>
      <c r="E39" s="9">
        <f>E20/SQG!$B$8</f>
        <v>1.5704502653655195</v>
      </c>
      <c r="F39" s="9">
        <f>F20/SQG!$B$9</f>
        <v>5.8738796414852761</v>
      </c>
      <c r="G39" s="9">
        <f>G20/SQG!$B$10</f>
        <v>13.195262483994878</v>
      </c>
      <c r="H39" s="9">
        <f>H20/SQG!$B$11</f>
        <v>0.88022727272727297</v>
      </c>
      <c r="I39" s="9">
        <f>I20/SQG!$B$12</f>
        <v>2.08389696969697</v>
      </c>
      <c r="J39" s="9">
        <f>J20/SQG!$B$13</f>
        <v>2.0826885880077373</v>
      </c>
      <c r="K39" s="9">
        <f>K20/SQG!$B$14</f>
        <v>1.5283131313131311</v>
      </c>
      <c r="L39" s="9">
        <f>L20/SQG!$B$15</f>
        <v>1.2643484848484849</v>
      </c>
      <c r="M39" s="9">
        <f>M20/SQG!$B$16</f>
        <v>1.4390430622009569</v>
      </c>
      <c r="N39" s="9">
        <f>N20/SQG!$B$17</f>
        <v>4.7818181818181804</v>
      </c>
      <c r="O39" s="9">
        <f>O20/SQG!$B$18</f>
        <v>8.5161616161616163</v>
      </c>
      <c r="P39" s="20">
        <f t="shared" si="0"/>
        <v>58.338099354076348</v>
      </c>
      <c r="Q39" s="11">
        <f>COUNTIF(B39:O39,"&gt;="&amp;SQG!$B$27)</f>
        <v>13</v>
      </c>
    </row>
    <row r="42" spans="1:19" ht="15" customHeight="1" x14ac:dyDescent="0.25">
      <c r="A42" s="17" t="s">
        <v>223</v>
      </c>
    </row>
    <row r="43" spans="1:19" ht="34.5" customHeight="1" x14ac:dyDescent="0.25">
      <c r="A43" s="6" t="s">
        <v>130</v>
      </c>
      <c r="B43" s="6" t="s">
        <v>25</v>
      </c>
      <c r="C43" s="6" t="s">
        <v>26</v>
      </c>
      <c r="D43" s="6" t="s">
        <v>27</v>
      </c>
      <c r="E43" s="6" t="s">
        <v>28</v>
      </c>
      <c r="F43" s="6" t="s">
        <v>29</v>
      </c>
      <c r="G43" s="6" t="s">
        <v>30</v>
      </c>
      <c r="H43" s="6" t="s">
        <v>31</v>
      </c>
      <c r="I43" s="6" t="s">
        <v>32</v>
      </c>
      <c r="J43" s="6" t="s">
        <v>33</v>
      </c>
      <c r="K43" s="6" t="s">
        <v>34</v>
      </c>
      <c r="L43" s="6" t="s">
        <v>35</v>
      </c>
      <c r="M43" s="6" t="s">
        <v>36</v>
      </c>
      <c r="N43" s="6" t="s">
        <v>37</v>
      </c>
      <c r="O43" s="6" t="s">
        <v>38</v>
      </c>
      <c r="P43" s="6" t="s">
        <v>224</v>
      </c>
      <c r="Q43" s="6" t="s">
        <v>225</v>
      </c>
      <c r="R43" s="6" t="s">
        <v>226</v>
      </c>
      <c r="S43" s="6" t="s">
        <v>227</v>
      </c>
    </row>
    <row r="44" spans="1:19" ht="15" customHeight="1" x14ac:dyDescent="0.25">
      <c r="A44" s="10" t="s">
        <v>45</v>
      </c>
      <c r="B44" s="9">
        <f>B6/SQG!$D$5</f>
        <v>0.58588399720475193</v>
      </c>
      <c r="C44" s="9">
        <f>C6/SQG!$D$6</f>
        <v>1.3440950384346613</v>
      </c>
      <c r="D44" s="9">
        <f>D6/SQG!$D$7</f>
        <v>0.44449667058362707</v>
      </c>
      <c r="E44" s="9">
        <f>E6/SQG!$D$8</f>
        <v>0.44449667058362718</v>
      </c>
      <c r="F44" s="9">
        <f>F6/SQG!$D$9</f>
        <v>1.2033580246913578</v>
      </c>
      <c r="G44" s="9">
        <f>G6/SQG!$D$10</f>
        <v>1.6123950617283949</v>
      </c>
      <c r="H44" s="9">
        <f>H6/SQG!$D$11</f>
        <v>2.5306666666666668E-2</v>
      </c>
      <c r="I44" s="9">
        <f>I6/SQG!$D$12</f>
        <v>2.3741269841269841E-2</v>
      </c>
      <c r="J44" s="9">
        <f>J6/SQG!$D$13</f>
        <v>0.3623188405797102</v>
      </c>
      <c r="K44" s="9">
        <f>K6/SQG!$D$14</f>
        <v>4.1666666666666666E-3</v>
      </c>
      <c r="L44" s="9">
        <f>L6/SQG!$D$15</f>
        <v>6.2500000000000003E-3</v>
      </c>
      <c r="M44" s="9">
        <f>M6/SQG!$D$16</f>
        <v>0.15667166416791603</v>
      </c>
      <c r="N44" s="9">
        <f>N6/SQG!$D$17</f>
        <v>0.18248175182481752</v>
      </c>
      <c r="O44" s="9">
        <f>O6/SQG!$D$18</f>
        <v>0.80547445255474459</v>
      </c>
      <c r="P44" s="9">
        <f t="shared" ref="P44:P58" si="1">AVERAGE(B44:O44)</f>
        <v>0.51436691253772937</v>
      </c>
      <c r="Q44" s="9">
        <f>(B44*(1-SQG!$C$5)+C44*(1-SQG!$C$6)+D44*(1-SQG!$C$7)+E44*(1-SQG!$C$8)+F44*(1-SQG!$C$9)+G44*(1-SQG!$C$10)+H44*(1-SQG!$C$11)+I44*(1-SQG!$C$12)+J44*(1-SQG!$C$13)+K44*(1-SQG!$C$14)+L44*(1-SQG!$C$15)+M44*(1-SQG!$C$16)+N44*(1-SQG!$C$17)+O44*(1-SQG!$C$18))/(COUNT(SQG!$C$5:$C$18)-SUM(SQG!$C$5:$C$18))</f>
        <v>0.53119440717299904</v>
      </c>
      <c r="R44" s="11">
        <f t="shared" ref="R44:R58" si="2">COUNTIF(B44:O44,"&gt;=1")</f>
        <v>3</v>
      </c>
      <c r="S44" s="15" t="str">
        <f t="shared" ref="S44:S58" si="3">IF(P44&lt;=0.1,"≤0.1 (~8%)",IF(P44&lt;=1.5,"0.11–1.5 (~21%)",IF(P44&lt;=2.3,"1.51–2.3 (~49%)","&gt;2.3 (~73%)")))</f>
        <v>0.11–1.5 (~21%)</v>
      </c>
    </row>
    <row r="45" spans="1:19" ht="15" customHeight="1" x14ac:dyDescent="0.25">
      <c r="A45" s="10" t="s">
        <v>49</v>
      </c>
      <c r="B45" s="9">
        <f>B7/SQG!$D$5</f>
        <v>0.10482180293501049</v>
      </c>
      <c r="C45" s="9">
        <f>C7/SQG!$D$6</f>
        <v>0.98029350104821811</v>
      </c>
      <c r="D45" s="9">
        <f>D7/SQG!$D$7</f>
        <v>5.8754406580493537E-2</v>
      </c>
      <c r="E45" s="9">
        <f>E7/SQG!$D$8</f>
        <v>5.8754406580493537E-2</v>
      </c>
      <c r="F45" s="9">
        <f>F7/SQG!$D$9</f>
        <v>1.0757530864197531</v>
      </c>
      <c r="G45" s="9">
        <f>G7/SQG!$D$10</f>
        <v>1.2349135802469136</v>
      </c>
      <c r="H45" s="9">
        <f>H7/SQG!$D$11</f>
        <v>5.0000000000000001E-3</v>
      </c>
      <c r="I45" s="9">
        <f>I7/SQG!$D$12</f>
        <v>4.6904761904761902E-3</v>
      </c>
      <c r="J45" s="9">
        <f>J7/SQG!$D$13</f>
        <v>0.3623188405797102</v>
      </c>
      <c r="K45" s="9">
        <f>K7/SQG!$D$14</f>
        <v>4.1666666666666666E-3</v>
      </c>
      <c r="L45" s="9">
        <f>L7/SQG!$D$15</f>
        <v>6.2500000000000003E-3</v>
      </c>
      <c r="M45" s="9">
        <f>M7/SQG!$D$16</f>
        <v>7.4962518740629688E-2</v>
      </c>
      <c r="N45" s="9">
        <f>N7/SQG!$D$17</f>
        <v>0.18248175182481752</v>
      </c>
      <c r="O45" s="9">
        <f>O7/SQG!$D$18</f>
        <v>0.18248175182481752</v>
      </c>
      <c r="P45" s="9">
        <f t="shared" si="1"/>
        <v>0.30968877068842859</v>
      </c>
      <c r="Q45" s="9">
        <f>(B45*(1-SQG!$C$5)+C45*(1-SQG!$C$6)+D45*(1-SQG!$C$7)+E45*(1-SQG!$C$8)+F45*(1-SQG!$C$9)+G45*(1-SQG!$C$10)+H45*(1-SQG!$C$11)+I45*(1-SQG!$C$12)+J45*(1-SQG!$C$13)+K45*(1-SQG!$C$14)+L45*(1-SQG!$C$15)+M45*(1-SQG!$C$16)+N45*(1-SQG!$C$17)+O45*(1-SQG!$C$18))/(COUNT(SQG!$C$5:$C$18)-SUM(SQG!$C$5:$C$18))</f>
        <v>0.32329611946791764</v>
      </c>
      <c r="R45" s="11">
        <f t="shared" si="2"/>
        <v>2</v>
      </c>
      <c r="S45" s="15" t="str">
        <f t="shared" si="3"/>
        <v>0.11–1.5 (~21%)</v>
      </c>
    </row>
    <row r="46" spans="1:19" ht="15" customHeight="1" x14ac:dyDescent="0.25">
      <c r="A46" s="10" t="s">
        <v>53</v>
      </c>
      <c r="B46" s="9">
        <f>B8/SQG!$D$5</f>
        <v>1.5852550663871419</v>
      </c>
      <c r="C46" s="9">
        <f>C8/SQG!$D$6</f>
        <v>2.4287910552061498</v>
      </c>
      <c r="D46" s="9">
        <f>D8/SQG!$D$7</f>
        <v>0.82440266353309843</v>
      </c>
      <c r="E46" s="9">
        <f>E8/SQG!$D$8</f>
        <v>1.0120642381511948</v>
      </c>
      <c r="F46" s="9">
        <f>F8/SQG!$D$9</f>
        <v>1.3665679012345679</v>
      </c>
      <c r="G46" s="9">
        <f>G8/SQG!$D$10</f>
        <v>2.7719012345679013</v>
      </c>
      <c r="H46" s="9">
        <f>H8/SQG!$D$11</f>
        <v>7.4120000000000005E-2</v>
      </c>
      <c r="I46" s="9">
        <f>I8/SQG!$D$12</f>
        <v>6.9533333333333322E-2</v>
      </c>
      <c r="J46" s="9">
        <f>J8/SQG!$D$13</f>
        <v>2.6741545893719811</v>
      </c>
      <c r="K46" s="9">
        <f>K8/SQG!$D$14</f>
        <v>3.5658333333333334E-2</v>
      </c>
      <c r="L46" s="9">
        <f>L8/SQG!$D$15</f>
        <v>5.4554166666666667E-2</v>
      </c>
      <c r="M46" s="9">
        <f>M8/SQG!$D$16</f>
        <v>1.0693653173413293</v>
      </c>
      <c r="N46" s="9">
        <f>N8/SQG!$D$17</f>
        <v>2.4560827250608273</v>
      </c>
      <c r="O46" s="9">
        <f>O8/SQG!$D$18</f>
        <v>3.4880778588807786</v>
      </c>
      <c r="P46" s="9">
        <f t="shared" si="1"/>
        <v>1.4221806059334503</v>
      </c>
      <c r="Q46" s="9">
        <f>(B46*(1-SQG!$C$5)+C46*(1-SQG!$C$6)+D46*(1-SQG!$C$7)+E46*(1-SQG!$C$8)+F46*(1-SQG!$C$9)+G46*(1-SQG!$C$10)+H46*(1-SQG!$C$11)+I46*(1-SQG!$C$12)+J46*(1-SQG!$C$13)+K46*(1-SQG!$C$14)+L46*(1-SQG!$C$15)+M46*(1-SQG!$C$16)+N46*(1-SQG!$C$17)+O46*(1-SQG!$C$18))/(COUNT(SQG!$C$5:$C$18)-SUM(SQG!$C$5:$C$18))</f>
        <v>1.515840199279926</v>
      </c>
      <c r="R46" s="11">
        <f t="shared" si="2"/>
        <v>9</v>
      </c>
      <c r="S46" s="15" t="str">
        <f t="shared" si="3"/>
        <v>0.11–1.5 (~21%)</v>
      </c>
    </row>
    <row r="47" spans="1:19" ht="15" customHeight="1" x14ac:dyDescent="0.25">
      <c r="A47" s="10" t="s">
        <v>58</v>
      </c>
      <c r="B47" s="9">
        <f>B9/SQG!$D$5</f>
        <v>0.90104821802934998</v>
      </c>
      <c r="C47" s="9">
        <f>C9/SQG!$D$6</f>
        <v>1.2836477987421386</v>
      </c>
      <c r="D47" s="9">
        <f>D9/SQG!$D$7</f>
        <v>5.8754406580493537E-2</v>
      </c>
      <c r="E47" s="9">
        <f>E9/SQG!$D$8</f>
        <v>0.64198981590285942</v>
      </c>
      <c r="F47" s="9">
        <f>F9/SQG!$D$9</f>
        <v>0.97007407407407398</v>
      </c>
      <c r="G47" s="9">
        <f>G9/SQG!$D$10</f>
        <v>1.9259259259259258</v>
      </c>
      <c r="H47" s="9">
        <f>H9/SQG!$D$11</f>
        <v>3.0996666666666662E-2</v>
      </c>
      <c r="I47" s="9">
        <f>I9/SQG!$D$12</f>
        <v>2.9074603174603177E-2</v>
      </c>
      <c r="J47" s="9">
        <f>J9/SQG!$D$13</f>
        <v>0.3623188405797102</v>
      </c>
      <c r="K47" s="9">
        <f>K9/SQG!$D$14</f>
        <v>4.1666666666666666E-3</v>
      </c>
      <c r="L47" s="9">
        <f>L9/SQG!$D$15</f>
        <v>1.4766666666666668E-2</v>
      </c>
      <c r="M47" s="9">
        <f>M9/SQG!$D$16</f>
        <v>0.50329835082458763</v>
      </c>
      <c r="N47" s="9">
        <f>N9/SQG!$D$17</f>
        <v>0.18248175182481752</v>
      </c>
      <c r="O47" s="9">
        <f>O9/SQG!$D$18</f>
        <v>0.18248175182481752</v>
      </c>
      <c r="P47" s="9">
        <f t="shared" si="1"/>
        <v>0.50650182410595546</v>
      </c>
      <c r="Q47" s="9">
        <f>(B47*(1-SQG!$C$5)+C47*(1-SQG!$C$6)+D47*(1-SQG!$C$7)+E47*(1-SQG!$C$8)+F47*(1-SQG!$C$9)+G47*(1-SQG!$C$10)+H47*(1-SQG!$C$11)+I47*(1-SQG!$C$12)+J47*(1-SQG!$C$13)+K47*(1-SQG!$C$14)+L47*(1-SQG!$C$15)+M47*(1-SQG!$C$16)+N47*(1-SQG!$C$17)+O47*(1-SQG!$C$18))/(COUNT(SQG!$C$5:$C$18)-SUM(SQG!$C$5:$C$18))</f>
        <v>0.55272226892310838</v>
      </c>
      <c r="R47" s="11">
        <f t="shared" si="2"/>
        <v>2</v>
      </c>
      <c r="S47" s="15" t="str">
        <f t="shared" si="3"/>
        <v>0.11–1.5 (~21%)</v>
      </c>
    </row>
    <row r="48" spans="1:19" ht="15" customHeight="1" x14ac:dyDescent="0.25">
      <c r="A48" s="10" t="s">
        <v>62</v>
      </c>
      <c r="B48" s="9">
        <f>B10/SQG!$D$5</f>
        <v>1.2693221523410205</v>
      </c>
      <c r="C48" s="9">
        <f>C10/SQG!$D$6</f>
        <v>1.8189378057302588</v>
      </c>
      <c r="D48" s="9">
        <f>D10/SQG!$D$7</f>
        <v>0.58977673325499402</v>
      </c>
      <c r="E48" s="9">
        <f>E10/SQG!$D$8</f>
        <v>0.39866823345084218</v>
      </c>
      <c r="F48" s="9">
        <f>F10/SQG!$D$9</f>
        <v>1.0945185185185184</v>
      </c>
      <c r="G48" s="9">
        <f>G10/SQG!$D$10</f>
        <v>2.7985185185185184</v>
      </c>
      <c r="H48" s="9">
        <f>H10/SQG!$D$11</f>
        <v>4.0103333333333338E-2</v>
      </c>
      <c r="I48" s="9">
        <f>I10/SQG!$D$12</f>
        <v>3.7620634920634922E-2</v>
      </c>
      <c r="J48" s="9">
        <f>J10/SQG!$D$13</f>
        <v>0.3623188405797102</v>
      </c>
      <c r="K48" s="9">
        <f>K10/SQG!$D$14</f>
        <v>2.4780555555555552E-2</v>
      </c>
      <c r="L48" s="9">
        <f>L10/SQG!$D$15</f>
        <v>6.2500000000000003E-3</v>
      </c>
      <c r="M48" s="9">
        <f>M10/SQG!$D$16</f>
        <v>0.37751124437781114</v>
      </c>
      <c r="N48" s="9">
        <f>N10/SQG!$D$17</f>
        <v>0.43272506082725065</v>
      </c>
      <c r="O48" s="9">
        <f>O10/SQG!$D$18</f>
        <v>1.3855231143552309</v>
      </c>
      <c r="P48" s="9">
        <f t="shared" si="1"/>
        <v>0.75975533898311987</v>
      </c>
      <c r="Q48" s="9">
        <f>(B48*(1-SQG!$C$5)+C48*(1-SQG!$C$6)+D48*(1-SQG!$C$7)+E48*(1-SQG!$C$8)+F48*(1-SQG!$C$9)+G48*(1-SQG!$C$10)+H48*(1-SQG!$C$11)+I48*(1-SQG!$C$12)+J48*(1-SQG!$C$13)+K48*(1-SQG!$C$14)+L48*(1-SQG!$C$15)+M48*(1-SQG!$C$16)+N48*(1-SQG!$C$17)+O48*(1-SQG!$C$18))/(COUNT(SQG!$C$5:$C$18)-SUM(SQG!$C$5:$C$18))</f>
        <v>0.80282796947403778</v>
      </c>
      <c r="R48" s="11">
        <f t="shared" si="2"/>
        <v>5</v>
      </c>
      <c r="S48" s="15" t="str">
        <f t="shared" si="3"/>
        <v>0.11–1.5 (~21%)</v>
      </c>
    </row>
    <row r="49" spans="1:19" ht="15" customHeight="1" x14ac:dyDescent="0.25">
      <c r="A49" s="10" t="s">
        <v>66</v>
      </c>
      <c r="B49" s="9">
        <f>B11/SQG!$D$5</f>
        <v>1.3831586303284416</v>
      </c>
      <c r="C49" s="9">
        <f>C11/SQG!$D$6</f>
        <v>1.9026554856743541</v>
      </c>
      <c r="D49" s="9">
        <f>D11/SQG!$D$7</f>
        <v>0.6884841363102232</v>
      </c>
      <c r="E49" s="9">
        <f>E11/SQG!$D$8</f>
        <v>0.55840188014101055</v>
      </c>
      <c r="F49" s="9">
        <f>F11/SQG!$D$9</f>
        <v>1.1321481481481481</v>
      </c>
      <c r="G49" s="9">
        <f>G11/SQG!$D$10</f>
        <v>3.0151111111111111</v>
      </c>
      <c r="H49" s="9">
        <f>H11/SQG!$D$11</f>
        <v>5.3076666666666661E-2</v>
      </c>
      <c r="I49" s="9">
        <f>I11/SQG!$D$12</f>
        <v>5.0107936507936511E-2</v>
      </c>
      <c r="J49" s="9">
        <f>J11/SQG!$D$13</f>
        <v>0.3623188405797102</v>
      </c>
      <c r="K49" s="9">
        <f>K11/SQG!$D$14</f>
        <v>2.7930555555555556E-2</v>
      </c>
      <c r="L49" s="9">
        <f>L11/SQG!$D$15</f>
        <v>1.8783333333333332E-2</v>
      </c>
      <c r="M49" s="9">
        <f>M11/SQG!$D$16</f>
        <v>7.4962518740629688E-2</v>
      </c>
      <c r="N49" s="9">
        <f>N11/SQG!$D$17</f>
        <v>0.48686131386861303</v>
      </c>
      <c r="O49" s="9">
        <f>O11/SQG!$D$18</f>
        <v>1.290632603406326</v>
      </c>
      <c r="P49" s="9">
        <f t="shared" si="1"/>
        <v>0.78890236859800422</v>
      </c>
      <c r="Q49" s="9">
        <f>(B49*(1-SQG!$C$5)+C49*(1-SQG!$C$6)+D49*(1-SQG!$C$7)+E49*(1-SQG!$C$8)+F49*(1-SQG!$C$9)+G49*(1-SQG!$C$10)+H49*(1-SQG!$C$11)+I49*(1-SQG!$C$12)+J49*(1-SQG!$C$13)+K49*(1-SQG!$C$14)+L49*(1-SQG!$C$15)+M49*(1-SQG!$C$16)+N49*(1-SQG!$C$17)+O49*(1-SQG!$C$18))/(COUNT(SQG!$C$5:$C$18)-SUM(SQG!$C$5:$C$18))</f>
        <v>0.8140055973512309</v>
      </c>
      <c r="R49" s="11">
        <f t="shared" si="2"/>
        <v>5</v>
      </c>
      <c r="S49" s="15" t="str">
        <f t="shared" si="3"/>
        <v>0.11–1.5 (~21%)</v>
      </c>
    </row>
    <row r="50" spans="1:19" ht="15" customHeight="1" x14ac:dyDescent="0.25">
      <c r="A50" s="10" t="s">
        <v>71</v>
      </c>
      <c r="B50" s="9">
        <f>B12/SQG!$D$5</f>
        <v>1.7502445842068488</v>
      </c>
      <c r="C50" s="9">
        <f>C12/SQG!$D$6</f>
        <v>1.8699510831586303</v>
      </c>
      <c r="D50" s="9">
        <f>D12/SQG!$D$7</f>
        <v>5.8754406580493537E-2</v>
      </c>
      <c r="E50" s="9">
        <f>E12/SQG!$D$8</f>
        <v>0.59020759890325114</v>
      </c>
      <c r="F50" s="9">
        <f>F12/SQG!$D$9</f>
        <v>1.1257777777777778</v>
      </c>
      <c r="G50" s="9">
        <f>G12/SQG!$D$10</f>
        <v>2.9452839506172839</v>
      </c>
      <c r="H50" s="9">
        <f>H12/SQG!$D$11</f>
        <v>6.7890000000000006E-2</v>
      </c>
      <c r="I50" s="9">
        <f>I12/SQG!$D$12</f>
        <v>6.3687301587301598E-2</v>
      </c>
      <c r="J50" s="9">
        <f>J12/SQG!$D$13</f>
        <v>1.9850241545893721</v>
      </c>
      <c r="K50" s="9">
        <f>K12/SQG!$D$14</f>
        <v>2.661111111111111E-2</v>
      </c>
      <c r="L50" s="9">
        <f>L12/SQG!$D$15</f>
        <v>2.1641666666666667E-2</v>
      </c>
      <c r="M50" s="9">
        <f>M12/SQG!$D$16</f>
        <v>0.55332333833083469</v>
      </c>
      <c r="N50" s="9">
        <f>N12/SQG!$D$17</f>
        <v>0.18248175182481752</v>
      </c>
      <c r="O50" s="9">
        <f>O12/SQG!$D$18</f>
        <v>1.1575425790754257</v>
      </c>
      <c r="P50" s="9">
        <f t="shared" si="1"/>
        <v>0.88560152174498652</v>
      </c>
      <c r="Q50" s="9">
        <f>(B50*(1-SQG!$C$5)+C50*(1-SQG!$C$6)+D50*(1-SQG!$C$7)+E50*(1-SQG!$C$8)+F50*(1-SQG!$C$9)+G50*(1-SQG!$C$10)+H50*(1-SQG!$C$11)+I50*(1-SQG!$C$12)+J50*(1-SQG!$C$13)+K50*(1-SQG!$C$14)+L50*(1-SQG!$C$15)+M50*(1-SQG!$C$16)+N50*(1-SQG!$C$17)+O50*(1-SQG!$C$18))/(COUNT(SQG!$C$5:$C$18)-SUM(SQG!$C$5:$C$18))</f>
        <v>1.0282835192143074</v>
      </c>
      <c r="R50" s="11">
        <f t="shared" si="2"/>
        <v>6</v>
      </c>
      <c r="S50" s="15" t="str">
        <f t="shared" si="3"/>
        <v>0.11–1.5 (~21%)</v>
      </c>
    </row>
    <row r="51" spans="1:19" ht="15" customHeight="1" x14ac:dyDescent="0.25">
      <c r="A51" s="10" t="s">
        <v>75</v>
      </c>
      <c r="B51" s="9">
        <f>B13/SQG!$D$5</f>
        <v>1.9323549965059399</v>
      </c>
      <c r="C51" s="9">
        <f>C13/SQG!$D$6</f>
        <v>1.8273934311670164</v>
      </c>
      <c r="D51" s="9">
        <f>D13/SQG!$D$7</f>
        <v>1.0009009009009007</v>
      </c>
      <c r="E51" s="9">
        <f>E13/SQG!$D$8</f>
        <v>0.60274187230708975</v>
      </c>
      <c r="F51" s="9">
        <f>F13/SQG!$D$9</f>
        <v>1.2045925925925927</v>
      </c>
      <c r="G51" s="9">
        <f>G13/SQG!$D$10</f>
        <v>3.1030617283950619</v>
      </c>
      <c r="H51" s="9">
        <f>H13/SQG!$D$11</f>
        <v>5.8396666666666673E-2</v>
      </c>
      <c r="I51" s="9">
        <f>I13/SQG!$D$12</f>
        <v>5.477936507936508E-2</v>
      </c>
      <c r="J51" s="9">
        <f>J13/SQG!$D$13</f>
        <v>1.6884057971014494</v>
      </c>
      <c r="K51" s="9">
        <f>K13/SQG!$D$14</f>
        <v>4.5713888888888894E-2</v>
      </c>
      <c r="L51" s="9">
        <f>L13/SQG!$D$15</f>
        <v>2.6204166666666667E-2</v>
      </c>
      <c r="M51" s="9">
        <f>M13/SQG!$D$16</f>
        <v>0.56431784107946026</v>
      </c>
      <c r="N51" s="9">
        <f>N13/SQG!$D$17</f>
        <v>1.213868613138686</v>
      </c>
      <c r="O51" s="9">
        <f>O13/SQG!$D$18</f>
        <v>2.0924574209245739</v>
      </c>
      <c r="P51" s="9">
        <f t="shared" si="1"/>
        <v>1.1010849486724543</v>
      </c>
      <c r="Q51" s="9">
        <f>(B51*(1-SQG!$C$5)+C51*(1-SQG!$C$6)+D51*(1-SQG!$C$7)+E51*(1-SQG!$C$8)+F51*(1-SQG!$C$9)+G51*(1-SQG!$C$10)+H51*(1-SQG!$C$11)+I51*(1-SQG!$C$12)+J51*(1-SQG!$C$13)+K51*(1-SQG!$C$14)+L51*(1-SQG!$C$15)+M51*(1-SQG!$C$16)+N51*(1-SQG!$C$17)+O51*(1-SQG!$C$18))/(COUNT(SQG!$C$5:$C$18)-SUM(SQG!$C$5:$C$18))</f>
        <v>1.1130842543763722</v>
      </c>
      <c r="R51" s="11">
        <f t="shared" si="2"/>
        <v>8</v>
      </c>
      <c r="S51" s="15" t="str">
        <f t="shared" si="3"/>
        <v>0.11–1.5 (~21%)</v>
      </c>
    </row>
    <row r="52" spans="1:19" ht="15" customHeight="1" x14ac:dyDescent="0.25">
      <c r="A52" s="10" t="s">
        <v>79</v>
      </c>
      <c r="B52" s="9">
        <f>B14/SQG!$D$5</f>
        <v>1.9823899371069187</v>
      </c>
      <c r="C52" s="9">
        <f>C14/SQG!$D$6</f>
        <v>2.1037037037037036</v>
      </c>
      <c r="D52" s="9">
        <f>D14/SQG!$D$7</f>
        <v>0.75041128084606346</v>
      </c>
      <c r="E52" s="9">
        <f>E14/SQG!$D$8</f>
        <v>1.0177830003916961</v>
      </c>
      <c r="F52" s="9">
        <f>F14/SQG!$D$9</f>
        <v>1.3719506172839506</v>
      </c>
      <c r="G52" s="9">
        <f>G14/SQG!$D$10</f>
        <v>3.1451851851851851</v>
      </c>
      <c r="H52" s="9">
        <f>H14/SQG!$D$11</f>
        <v>7.4593333333333331E-2</v>
      </c>
      <c r="I52" s="9">
        <f>I14/SQG!$D$12</f>
        <v>6.9979365079365086E-2</v>
      </c>
      <c r="J52" s="9">
        <f>J14/SQG!$D$13</f>
        <v>1.6386473429951693</v>
      </c>
      <c r="K52" s="9">
        <f>K14/SQG!$D$14</f>
        <v>5.0383333333333329E-2</v>
      </c>
      <c r="L52" s="9">
        <f>L14/SQG!$D$15</f>
        <v>4.1633333333333342E-2</v>
      </c>
      <c r="M52" s="9">
        <f>M14/SQG!$D$16</f>
        <v>0.6966016991504248</v>
      </c>
      <c r="N52" s="9">
        <f>N14/SQG!$D$17</f>
        <v>1.0458637469586376</v>
      </c>
      <c r="O52" s="9">
        <f>O14/SQG!$D$18</f>
        <v>1.9733576642335764</v>
      </c>
      <c r="P52" s="9">
        <f t="shared" si="1"/>
        <v>1.1401773959239063</v>
      </c>
      <c r="Q52" s="9">
        <f>(B52*(1-SQG!$C$5)+C52*(1-SQG!$C$6)+D52*(1-SQG!$C$7)+E52*(1-SQG!$C$8)+F52*(1-SQG!$C$9)+G52*(1-SQG!$C$10)+H52*(1-SQG!$C$11)+I52*(1-SQG!$C$12)+J52*(1-SQG!$C$13)+K52*(1-SQG!$C$14)+L52*(1-SQG!$C$15)+M52*(1-SQG!$C$16)+N52*(1-SQG!$C$17)+O52*(1-SQG!$C$18))/(COUNT(SQG!$C$5:$C$18)-SUM(SQG!$C$5:$C$18))</f>
        <v>1.1957205141561986</v>
      </c>
      <c r="R52" s="11">
        <f t="shared" si="2"/>
        <v>8</v>
      </c>
      <c r="S52" s="15" t="str">
        <f t="shared" si="3"/>
        <v>0.11–1.5 (~21%)</v>
      </c>
    </row>
    <row r="53" spans="1:19" ht="15" customHeight="1" x14ac:dyDescent="0.25">
      <c r="A53" s="10" t="s">
        <v>83</v>
      </c>
      <c r="B53" s="9">
        <f>B15/SQG!$D$5</f>
        <v>2.0930817610062893</v>
      </c>
      <c r="C53" s="9">
        <f>C15/SQG!$D$6</f>
        <v>2.7638714185883999</v>
      </c>
      <c r="D53" s="9">
        <f>D15/SQG!$D$7</f>
        <v>1.0773599686643167</v>
      </c>
      <c r="E53" s="9">
        <f>E15/SQG!$D$8</f>
        <v>0.76674500587544059</v>
      </c>
      <c r="F53" s="9">
        <f>F15/SQG!$D$9</f>
        <v>1.3585679012345679</v>
      </c>
      <c r="G53" s="9">
        <f>G15/SQG!$D$10</f>
        <v>3.5449876543209879</v>
      </c>
      <c r="H53" s="9">
        <f>H15/SQG!$D$11</f>
        <v>6.7353333333333334E-2</v>
      </c>
      <c r="I53" s="9">
        <f>I15/SQG!$D$12</f>
        <v>6.3503174603174603E-2</v>
      </c>
      <c r="J53" s="9">
        <f>J15/SQG!$D$13</f>
        <v>2.5712560386473431</v>
      </c>
      <c r="K53" s="9">
        <f>K15/SQG!$D$14</f>
        <v>6.875277777777776E-2</v>
      </c>
      <c r="L53" s="9">
        <f>L15/SQG!$D$15</f>
        <v>5.4045833333333335E-2</v>
      </c>
      <c r="M53" s="9">
        <f>M15/SQG!$D$16</f>
        <v>1.084007996001999</v>
      </c>
      <c r="N53" s="9">
        <f>N15/SQG!$D$17</f>
        <v>1.8092457420924575</v>
      </c>
      <c r="O53" s="9">
        <f>O15/SQG!$D$18</f>
        <v>3.0072992700729926</v>
      </c>
      <c r="P53" s="9">
        <f t="shared" si="1"/>
        <v>1.4521484196823151</v>
      </c>
      <c r="Q53" s="9">
        <f>(B53*(1-SQG!$C$5)+C53*(1-SQG!$C$6)+D53*(1-SQG!$C$7)+E53*(1-SQG!$C$8)+F53*(1-SQG!$C$9)+G53*(1-SQG!$C$10)+H53*(1-SQG!$C$11)+I53*(1-SQG!$C$12)+J53*(1-SQG!$C$13)+K53*(1-SQG!$C$14)+L53*(1-SQG!$C$15)+M53*(1-SQG!$C$16)+N53*(1-SQG!$C$17)+O53*(1-SQG!$C$18))/(COUNT(SQG!$C$5:$C$18)-SUM(SQG!$C$5:$C$18))</f>
        <v>1.547007747197445</v>
      </c>
      <c r="R53" s="11">
        <f t="shared" si="2"/>
        <v>9</v>
      </c>
      <c r="S53" s="15" t="str">
        <f t="shared" si="3"/>
        <v>0.11–1.5 (~21%)</v>
      </c>
    </row>
    <row r="54" spans="1:19" ht="15" customHeight="1" x14ac:dyDescent="0.25">
      <c r="A54" s="10" t="s">
        <v>87</v>
      </c>
      <c r="B54" s="9">
        <f>B16/SQG!$D$5</f>
        <v>2.5420684835779181</v>
      </c>
      <c r="C54" s="9">
        <f>C16/SQG!$D$6</f>
        <v>2.9041928721174006</v>
      </c>
      <c r="D54" s="9">
        <f>D16/SQG!$D$7</f>
        <v>1.3529964747356054</v>
      </c>
      <c r="E54" s="9">
        <f>E16/SQG!$D$8</f>
        <v>1.0942028985507248</v>
      </c>
      <c r="F54" s="9">
        <f>F16/SQG!$D$9</f>
        <v>1.6892839506172839</v>
      </c>
      <c r="G54" s="9">
        <f>G16/SQG!$D$10</f>
        <v>4.4375308641975311</v>
      </c>
      <c r="H54" s="9">
        <f>H16/SQG!$D$11</f>
        <v>8.4113333333333332E-2</v>
      </c>
      <c r="I54" s="9">
        <f>I16/SQG!$D$12</f>
        <v>7.906507936507938E-2</v>
      </c>
      <c r="J54" s="9">
        <f>J16/SQG!$D$13</f>
        <v>3.2359903381642514</v>
      </c>
      <c r="K54" s="9">
        <f>K16/SQG!$D$14</f>
        <v>0.12795555555555554</v>
      </c>
      <c r="L54" s="9">
        <f>L16/SQG!$D$15</f>
        <v>9.7316666666666676E-2</v>
      </c>
      <c r="M54" s="9">
        <f>M16/SQG!$D$16</f>
        <v>1.6086956521739129</v>
      </c>
      <c r="N54" s="9">
        <f>N16/SQG!$D$17</f>
        <v>3.3436739659367394</v>
      </c>
      <c r="O54" s="9">
        <f>O16/SQG!$D$18</f>
        <v>4.9480535279805355</v>
      </c>
      <c r="P54" s="9">
        <f t="shared" si="1"/>
        <v>1.9675099759266099</v>
      </c>
      <c r="Q54" s="9">
        <f>(B54*(1-SQG!$C$5)+C54*(1-SQG!$C$6)+D54*(1-SQG!$C$7)+E54*(1-SQG!$C$8)+F54*(1-SQG!$C$9)+G54*(1-SQG!$C$10)+H54*(1-SQG!$C$11)+I54*(1-SQG!$C$12)+J54*(1-SQG!$C$13)+K54*(1-SQG!$C$14)+L54*(1-SQG!$C$15)+M54*(1-SQG!$C$16)+N54*(1-SQG!$C$17)+O54*(1-SQG!$C$18))/(COUNT(SQG!$C$5:$C$18)-SUM(SQG!$C$5:$C$18))</f>
        <v>2.0543512480610482</v>
      </c>
      <c r="R54" s="11">
        <f t="shared" si="2"/>
        <v>10</v>
      </c>
      <c r="S54" s="15" t="str">
        <f t="shared" si="3"/>
        <v>1.51–2.3 (~49%)</v>
      </c>
    </row>
    <row r="55" spans="1:19" ht="15" customHeight="1" x14ac:dyDescent="0.25">
      <c r="A55" s="17" t="s">
        <v>44</v>
      </c>
      <c r="B55" s="9">
        <f>B17/SQG!$D$5</f>
        <v>0.75865362217563481</v>
      </c>
      <c r="C55" s="9">
        <f>C17/SQG!$D$6</f>
        <v>1.5843931982296764</v>
      </c>
      <c r="D55" s="9">
        <f>D17/SQG!$D$7</f>
        <v>0.44255124689907294</v>
      </c>
      <c r="E55" s="9">
        <f>E17/SQG!$D$8</f>
        <v>0.5051051051051052</v>
      </c>
      <c r="F55" s="9">
        <f>F17/SQG!$D$9</f>
        <v>1.2152263374485597</v>
      </c>
      <c r="G55" s="9">
        <f>G17/SQG!$D$10</f>
        <v>1.8730699588477366</v>
      </c>
      <c r="H55" s="9">
        <f>H17/SQG!$D$11</f>
        <v>3.4808888888888896E-2</v>
      </c>
      <c r="I55" s="9">
        <f>I17/SQG!$D$12</f>
        <v>3.2655026455026451E-2</v>
      </c>
      <c r="J55" s="9">
        <f>J17/SQG!$D$13</f>
        <v>1.1329307568438005</v>
      </c>
      <c r="K55" s="9">
        <f>K17/SQG!$D$14</f>
        <v>1.466388888888889E-2</v>
      </c>
      <c r="L55" s="9">
        <f>L17/SQG!$D$15</f>
        <v>2.2351388888888889E-2</v>
      </c>
      <c r="M55" s="9">
        <f>M17/SQG!$D$16</f>
        <v>0.43366650008329172</v>
      </c>
      <c r="N55" s="9">
        <f>N17/SQG!$D$17</f>
        <v>0.94034874290348747</v>
      </c>
      <c r="O55" s="9">
        <f>O17/SQG!$D$18</f>
        <v>1.4920113544201135</v>
      </c>
      <c r="P55" s="9">
        <f t="shared" si="1"/>
        <v>0.74874542971986935</v>
      </c>
      <c r="Q55" s="9">
        <f>(B55*(1-SQG!$C$5)+C55*(1-SQG!$C$6)+D55*(1-SQG!$C$7)+E55*(1-SQG!$C$8)+F55*(1-SQG!$C$9)+G55*(1-SQG!$C$10)+H55*(1-SQG!$C$11)+I55*(1-SQG!$C$12)+J55*(1-SQG!$C$13)+K55*(1-SQG!$C$14)+L55*(1-SQG!$C$15)+M55*(1-SQG!$C$16)+N55*(1-SQG!$C$17)+O55*(1-SQG!$C$18))/(COUNT(SQG!$C$5:$C$18)-SUM(SQG!$C$5:$C$18))</f>
        <v>0.79011024197361435</v>
      </c>
      <c r="R55" s="11">
        <f t="shared" si="2"/>
        <v>5</v>
      </c>
      <c r="S55" s="15" t="str">
        <f t="shared" si="3"/>
        <v>0.11–1.5 (~21%)</v>
      </c>
    </row>
    <row r="56" spans="1:19" ht="15" customHeight="1" x14ac:dyDescent="0.25">
      <c r="A56" s="17" t="s">
        <v>57</v>
      </c>
      <c r="B56" s="9">
        <f>B18/SQG!$D$5</f>
        <v>1.1845096668996042</v>
      </c>
      <c r="C56" s="9">
        <f>C18/SQG!$D$6</f>
        <v>1.6684136967155836</v>
      </c>
      <c r="D56" s="9">
        <f>D18/SQG!$D$7</f>
        <v>0.44567175871523701</v>
      </c>
      <c r="E56" s="9">
        <f>E18/SQG!$D$8</f>
        <v>0.5330199764982374</v>
      </c>
      <c r="F56" s="9">
        <f>F18/SQG!$D$9</f>
        <v>1.0655802469135804</v>
      </c>
      <c r="G56" s="9">
        <f>G18/SQG!$D$10</f>
        <v>2.5798518518518523</v>
      </c>
      <c r="H56" s="9">
        <f>H18/SQG!$D$11</f>
        <v>4.1392222222222219E-2</v>
      </c>
      <c r="I56" s="9">
        <f>I18/SQG!$D$12</f>
        <v>3.8934391534391537E-2</v>
      </c>
      <c r="J56" s="9">
        <f>J18/SQG!$D$13</f>
        <v>0.3623188405797102</v>
      </c>
      <c r="K56" s="9">
        <f>K18/SQG!$D$14</f>
        <v>1.8959259259259256E-2</v>
      </c>
      <c r="L56" s="9">
        <f>L18/SQG!$D$15</f>
        <v>1.3266666666666666E-2</v>
      </c>
      <c r="M56" s="9">
        <f>M18/SQG!$D$16</f>
        <v>0.31859070464767619</v>
      </c>
      <c r="N56" s="9">
        <f>N18/SQG!$D$17</f>
        <v>0.36735604217356044</v>
      </c>
      <c r="O56" s="9">
        <f>O18/SQG!$D$18</f>
        <v>0.95287915652879152</v>
      </c>
      <c r="P56" s="9">
        <f t="shared" si="1"/>
        <v>0.68505317722902659</v>
      </c>
      <c r="Q56" s="9">
        <f>(B56*(1-SQG!$C$5)+C56*(1-SQG!$C$6)+D56*(1-SQG!$C$7)+E56*(1-SQG!$C$8)+F56*(1-SQG!$C$9)+G56*(1-SQG!$C$10)+H56*(1-SQG!$C$11)+I56*(1-SQG!$C$12)+J56*(1-SQG!$C$13)+K56*(1-SQG!$C$14)+L56*(1-SQG!$C$15)+M56*(1-SQG!$C$16)+N56*(1-SQG!$C$17)+O56*(1-SQG!$C$18))/(COUNT(SQG!$C$5:$C$18)-SUM(SQG!$C$5:$C$18))</f>
        <v>0.72318527858279247</v>
      </c>
      <c r="R56" s="11">
        <f t="shared" si="2"/>
        <v>4</v>
      </c>
      <c r="S56" s="15" t="str">
        <f t="shared" si="3"/>
        <v>0.11–1.5 (~21%)</v>
      </c>
    </row>
    <row r="57" spans="1:19" ht="15" customHeight="1" x14ac:dyDescent="0.25">
      <c r="A57" s="17" t="s">
        <v>70</v>
      </c>
      <c r="B57" s="9">
        <f>B19/SQG!$D$5</f>
        <v>2.060027952480783</v>
      </c>
      <c r="C57" s="9">
        <f>C19/SQG!$D$6</f>
        <v>2.2938225017470302</v>
      </c>
      <c r="D57" s="9">
        <f>D19/SQG!$D$7</f>
        <v>0.848084606345476</v>
      </c>
      <c r="E57" s="9">
        <f>E19/SQG!$D$8</f>
        <v>0.81433607520564066</v>
      </c>
      <c r="F57" s="9">
        <f>F19/SQG!$D$9</f>
        <v>1.3500345679012344</v>
      </c>
      <c r="G57" s="9">
        <f>G19/SQG!$D$10</f>
        <v>3.4352098765432095</v>
      </c>
      <c r="H57" s="9">
        <f>H19/SQG!$D$11</f>
        <v>7.0469333333333328E-2</v>
      </c>
      <c r="I57" s="9">
        <f>I19/SQG!$D$12</f>
        <v>6.6202857142857147E-2</v>
      </c>
      <c r="J57" s="9">
        <f>J19/SQG!$D$13</f>
        <v>2.2238647342995175</v>
      </c>
      <c r="K57" s="9">
        <f>K19/SQG!$D$14</f>
        <v>6.3883333333333334E-2</v>
      </c>
      <c r="L57" s="9">
        <f>L19/SQG!$D$15</f>
        <v>4.8168333333333327E-2</v>
      </c>
      <c r="M57" s="9">
        <f>M19/SQG!$D$16</f>
        <v>0.9013893053473262</v>
      </c>
      <c r="N57" s="9">
        <f>N19/SQG!$D$17</f>
        <v>1.5190267639902675</v>
      </c>
      <c r="O57" s="9">
        <f>O19/SQG!$D$18</f>
        <v>2.63574209245742</v>
      </c>
      <c r="P57" s="9">
        <f t="shared" si="1"/>
        <v>1.3093044523900541</v>
      </c>
      <c r="Q57" s="9">
        <f>(B57*(1-SQG!$C$5)+C57*(1-SQG!$C$6)+D57*(1-SQG!$C$7)+E57*(1-SQG!$C$8)+F57*(1-SQG!$C$9)+G57*(1-SQG!$C$10)+H57*(1-SQG!$C$11)+I57*(1-SQG!$C$12)+J57*(1-SQG!$C$13)+K57*(1-SQG!$C$14)+L57*(1-SQG!$C$15)+M57*(1-SQG!$C$16)+N57*(1-SQG!$C$17)+O57*(1-SQG!$C$18))/(COUNT(SQG!$C$5:$C$18)-SUM(SQG!$C$5:$C$18))</f>
        <v>1.3876894566010742</v>
      </c>
      <c r="R57" s="11">
        <f t="shared" si="2"/>
        <v>7</v>
      </c>
      <c r="S57" s="15" t="str">
        <f t="shared" si="3"/>
        <v>0.11–1.5 (~21%)</v>
      </c>
    </row>
    <row r="58" spans="1:19" ht="15" customHeight="1" x14ac:dyDescent="0.25">
      <c r="A58" s="17" t="s">
        <v>127</v>
      </c>
      <c r="B58" s="9">
        <f>B20/SQG!$D$5</f>
        <v>1.4663299663299667</v>
      </c>
      <c r="C58" s="9">
        <f>C20/SQG!$D$6</f>
        <v>1.9297757448700852</v>
      </c>
      <c r="D58" s="9">
        <f>D20/SQG!$D$7</f>
        <v>0.62773564077911903</v>
      </c>
      <c r="E58" s="9">
        <f>E20/SQG!$D$8</f>
        <v>0.65327778371256628</v>
      </c>
      <c r="F58" s="9">
        <f>F20/SQG!$D$9</f>
        <v>1.2356902356902357</v>
      </c>
      <c r="G58" s="9">
        <f>G20/SQG!$D$10</f>
        <v>2.7758922558922556</v>
      </c>
      <c r="H58" s="9">
        <f>H20/SQG!$D$11</f>
        <v>5.2813636363636382E-2</v>
      </c>
      <c r="I58" s="9">
        <f>I20/SQG!$D$12</f>
        <v>4.9616594516594517E-2</v>
      </c>
      <c r="J58" s="9">
        <f>J20/SQG!$D$13</f>
        <v>1.418642951251647</v>
      </c>
      <c r="K58" s="9">
        <f>K20/SQG!$D$14</f>
        <v>3.8207828282828281E-2</v>
      </c>
      <c r="L58" s="9">
        <f>L20/SQG!$D$15</f>
        <v>3.1608712121212121E-2</v>
      </c>
      <c r="M58" s="9">
        <f>M20/SQG!$D$16</f>
        <v>0.61488346735723043</v>
      </c>
      <c r="N58" s="9">
        <f>N20/SQG!$D$17</f>
        <v>1.0471134704711342</v>
      </c>
      <c r="O58" s="9">
        <f>O20/SQG!$D$18</f>
        <v>1.8648529086485288</v>
      </c>
      <c r="P58" s="9">
        <f t="shared" si="1"/>
        <v>0.98617437116335993</v>
      </c>
      <c r="Q58" s="9">
        <f>(B58*(1-SQG!$C$5)+C58*(1-SQG!$C$6)+D58*(1-SQG!$C$7)+E58*(1-SQG!$C$8)+F58*(1-SQG!$C$9)+G58*(1-SQG!$C$10)+H58*(1-SQG!$C$11)+I58*(1-SQG!$C$12)+J58*(1-SQG!$C$13)+K58*(1-SQG!$C$14)+L58*(1-SQG!$C$15)+M58*(1-SQG!$C$16)+N58*(1-SQG!$C$17)+O58*(1-SQG!$C$18))/(COUNT(SQG!$C$5:$C$18)-SUM(SQG!$C$5:$C$18))</f>
        <v>1.0434848949704172</v>
      </c>
      <c r="R58" s="11">
        <f t="shared" si="2"/>
        <v>7</v>
      </c>
      <c r="S58" s="15" t="str">
        <f t="shared" si="3"/>
        <v>0.11–1.5 (~21%)</v>
      </c>
    </row>
    <row r="61" spans="1:19" ht="15" customHeight="1" x14ac:dyDescent="0.25">
      <c r="A61" s="17" t="s">
        <v>228</v>
      </c>
    </row>
    <row r="62" spans="1:19" ht="23.25" customHeight="1" x14ac:dyDescent="0.25">
      <c r="A62" s="6" t="s">
        <v>130</v>
      </c>
      <c r="B62" s="6" t="s">
        <v>25</v>
      </c>
      <c r="C62" s="6" t="s">
        <v>26</v>
      </c>
      <c r="D62" s="6" t="s">
        <v>27</v>
      </c>
      <c r="E62" s="6" t="s">
        <v>28</v>
      </c>
      <c r="F62" s="6" t="s">
        <v>29</v>
      </c>
      <c r="G62" s="6" t="s">
        <v>30</v>
      </c>
      <c r="H62" s="6" t="s">
        <v>31</v>
      </c>
      <c r="I62" s="6" t="s">
        <v>32</v>
      </c>
      <c r="J62" s="6" t="s">
        <v>33</v>
      </c>
      <c r="K62" s="6" t="s">
        <v>34</v>
      </c>
      <c r="L62" s="6" t="s">
        <v>35</v>
      </c>
      <c r="M62" s="6" t="s">
        <v>36</v>
      </c>
      <c r="N62" s="6" t="s">
        <v>37</v>
      </c>
      <c r="O62" s="6" t="s">
        <v>38</v>
      </c>
    </row>
    <row r="63" spans="1:19" ht="15" customHeight="1" x14ac:dyDescent="0.25">
      <c r="A63" s="10" t="s">
        <v>45</v>
      </c>
      <c r="B63" s="28" t="str">
        <f>IF(B25&lt;SQG!$B$26,"Low",IF(B25&lt;SQG!$B$27,"Medium","High"))</f>
        <v>High</v>
      </c>
      <c r="C63" s="28" t="str">
        <f>IF(C25&lt;SQG!$B$26,"Low",IF(C25&lt;SQG!$B$27,"Medium","High"))</f>
        <v>High</v>
      </c>
      <c r="D63" s="28" t="str">
        <f>IF(D25&lt;SQG!$B$26,"Low",IF(D25&lt;SQG!$B$27,"Medium","High"))</f>
        <v>High</v>
      </c>
      <c r="E63" s="28" t="str">
        <f>IF(E25&lt;SQG!$B$26,"Low",IF(E25&lt;SQG!$B$27,"Medium","High"))</f>
        <v>High</v>
      </c>
      <c r="F63" s="28" t="str">
        <f>IF(F25&lt;SQG!$B$26,"Low",IF(F25&lt;SQG!$B$27,"Medium","High"))</f>
        <v>High</v>
      </c>
      <c r="G63" s="28" t="str">
        <f>IF(G25&lt;SQG!$B$26,"Low",IF(G25&lt;SQG!$B$27,"Medium","High"))</f>
        <v>High</v>
      </c>
      <c r="H63" s="28" t="str">
        <f>IF(H25&lt;SQG!$B$26,"Low",IF(H25&lt;SQG!$B$27,"Medium","High"))</f>
        <v>Medium</v>
      </c>
      <c r="I63" s="28" t="str">
        <f>IF(I25&lt;SQG!$B$26,"Low",IF(I25&lt;SQG!$B$27,"Medium","High"))</f>
        <v>Medium</v>
      </c>
      <c r="J63" s="28" t="str">
        <f>IF(J25&lt;SQG!$B$26,"Low",IF(J25&lt;SQG!$B$27,"Medium","High"))</f>
        <v>Medium</v>
      </c>
      <c r="K63" s="28" t="str">
        <f>IF(K25&lt;SQG!$B$26,"Low",IF(K25&lt;SQG!$B$27,"Medium","High"))</f>
        <v>Medium</v>
      </c>
      <c r="L63" s="28" t="str">
        <f>IF(L25&lt;SQG!$B$26,"Low",IF(L25&lt;SQG!$B$27,"Medium","High"))</f>
        <v>Medium</v>
      </c>
      <c r="M63" s="28" t="str">
        <f>IF(M25&lt;SQG!$B$26,"Low",IF(M25&lt;SQG!$B$27,"Medium","High"))</f>
        <v>Medium</v>
      </c>
      <c r="N63" s="28" t="str">
        <f>IF(N25&lt;SQG!$B$26,"Low",IF(N25&lt;SQG!$B$27,"Medium","High"))</f>
        <v>Medium</v>
      </c>
      <c r="O63" s="28" t="str">
        <f>IF(O25&lt;SQG!$B$26,"Low",IF(O25&lt;SQG!$B$27,"Medium","High"))</f>
        <v>High</v>
      </c>
    </row>
    <row r="64" spans="1:19" ht="15" customHeight="1" x14ac:dyDescent="0.25">
      <c r="A64" s="10" t="s">
        <v>49</v>
      </c>
      <c r="B64" s="28" t="str">
        <f>IF(B26&lt;SQG!$B$26,"Low",IF(B26&lt;SQG!$B$27,"Medium","High"))</f>
        <v>Medium</v>
      </c>
      <c r="C64" s="28" t="str">
        <f>IF(C26&lt;SQG!$B$26,"Low",IF(C26&lt;SQG!$B$27,"Medium","High"))</f>
        <v>High</v>
      </c>
      <c r="D64" s="28" t="str">
        <f>IF(D26&lt;SQG!$B$26,"Low",IF(D26&lt;SQG!$B$27,"Medium","High"))</f>
        <v>Medium</v>
      </c>
      <c r="E64" s="28" t="str">
        <f>IF(E26&lt;SQG!$B$26,"Low",IF(E26&lt;SQG!$B$27,"Medium","High"))</f>
        <v>Medium</v>
      </c>
      <c r="F64" s="28" t="str">
        <f>IF(F26&lt;SQG!$B$26,"Low",IF(F26&lt;SQG!$B$27,"Medium","High"))</f>
        <v>High</v>
      </c>
      <c r="G64" s="28" t="str">
        <f>IF(G26&lt;SQG!$B$26,"Low",IF(G26&lt;SQG!$B$27,"Medium","High"))</f>
        <v>High</v>
      </c>
      <c r="H64" s="28" t="str">
        <f>IF(H26&lt;SQG!$B$26,"Low",IF(H26&lt;SQG!$B$27,"Medium","High"))</f>
        <v>Low</v>
      </c>
      <c r="I64" s="28" t="str">
        <f>IF(I26&lt;SQG!$B$26,"Low",IF(I26&lt;SQG!$B$27,"Medium","High"))</f>
        <v>Medium</v>
      </c>
      <c r="J64" s="28" t="str">
        <f>IF(J26&lt;SQG!$B$26,"Low",IF(J26&lt;SQG!$B$27,"Medium","High"))</f>
        <v>Medium</v>
      </c>
      <c r="K64" s="28" t="str">
        <f>IF(K26&lt;SQG!$B$26,"Low",IF(K26&lt;SQG!$B$27,"Medium","High"))</f>
        <v>Medium</v>
      </c>
      <c r="L64" s="28" t="str">
        <f>IF(L26&lt;SQG!$B$26,"Low",IF(L26&lt;SQG!$B$27,"Medium","High"))</f>
        <v>Medium</v>
      </c>
      <c r="M64" s="28" t="str">
        <f>IF(M26&lt;SQG!$B$26,"Low",IF(M26&lt;SQG!$B$27,"Medium","High"))</f>
        <v>Medium</v>
      </c>
      <c r="N64" s="28" t="str">
        <f>IF(N26&lt;SQG!$B$26,"Low",IF(N26&lt;SQG!$B$27,"Medium","High"))</f>
        <v>Medium</v>
      </c>
      <c r="O64" s="28" t="str">
        <f>IF(O26&lt;SQG!$B$26,"Low",IF(O26&lt;SQG!$B$27,"Medium","High"))</f>
        <v>Medium</v>
      </c>
    </row>
    <row r="65" spans="1:15" ht="15" customHeight="1" x14ac:dyDescent="0.25">
      <c r="A65" s="10" t="s">
        <v>53</v>
      </c>
      <c r="B65" s="28" t="str">
        <f>IF(B27&lt;SQG!$B$26,"Low",IF(B27&lt;SQG!$B$27,"Medium","High"))</f>
        <v>High</v>
      </c>
      <c r="C65" s="28" t="str">
        <f>IF(C27&lt;SQG!$B$26,"Low",IF(C27&lt;SQG!$B$27,"Medium","High"))</f>
        <v>High</v>
      </c>
      <c r="D65" s="28" t="str">
        <f>IF(D27&lt;SQG!$B$26,"Low",IF(D27&lt;SQG!$B$27,"Medium","High"))</f>
        <v>High</v>
      </c>
      <c r="E65" s="28" t="str">
        <f>IF(E27&lt;SQG!$B$26,"Low",IF(E27&lt;SQG!$B$27,"Medium","High"))</f>
        <v>High</v>
      </c>
      <c r="F65" s="28" t="str">
        <f>IF(F27&lt;SQG!$B$26,"Low",IF(F27&lt;SQG!$B$27,"Medium","High"))</f>
        <v>High</v>
      </c>
      <c r="G65" s="28" t="str">
        <f>IF(G27&lt;SQG!$B$26,"Low",IF(G27&lt;SQG!$B$27,"Medium","High"))</f>
        <v>High</v>
      </c>
      <c r="H65" s="28" t="str">
        <f>IF(H27&lt;SQG!$B$26,"Low",IF(H27&lt;SQG!$B$27,"Medium","High"))</f>
        <v>High</v>
      </c>
      <c r="I65" s="28" t="str">
        <f>IF(I27&lt;SQG!$B$26,"Low",IF(I27&lt;SQG!$B$27,"Medium","High"))</f>
        <v>High</v>
      </c>
      <c r="J65" s="28" t="str">
        <f>IF(J27&lt;SQG!$B$26,"Low",IF(J27&lt;SQG!$B$27,"Medium","High"))</f>
        <v>High</v>
      </c>
      <c r="K65" s="28" t="str">
        <f>IF(K27&lt;SQG!$B$26,"Low",IF(K27&lt;SQG!$B$27,"Medium","High"))</f>
        <v>High</v>
      </c>
      <c r="L65" s="28" t="str">
        <f>IF(L27&lt;SQG!$B$26,"Low",IF(L27&lt;SQG!$B$27,"Medium","High"))</f>
        <v>High</v>
      </c>
      <c r="M65" s="28" t="str">
        <f>IF(M27&lt;SQG!$B$26,"Low",IF(M27&lt;SQG!$B$27,"Medium","High"))</f>
        <v>High</v>
      </c>
      <c r="N65" s="28" t="str">
        <f>IF(N27&lt;SQG!$B$26,"Low",IF(N27&lt;SQG!$B$27,"Medium","High"))</f>
        <v>High</v>
      </c>
      <c r="O65" s="28" t="str">
        <f>IF(O27&lt;SQG!$B$26,"Low",IF(O27&lt;SQG!$B$27,"Medium","High"))</f>
        <v>High</v>
      </c>
    </row>
    <row r="66" spans="1:15" ht="15" customHeight="1" x14ac:dyDescent="0.25">
      <c r="A66" s="10" t="s">
        <v>58</v>
      </c>
      <c r="B66" s="28" t="str">
        <f>IF(B28&lt;SQG!$B$26,"Low",IF(B28&lt;SQG!$B$27,"Medium","High"))</f>
        <v>High</v>
      </c>
      <c r="C66" s="28" t="str">
        <f>IF(C28&lt;SQG!$B$26,"Low",IF(C28&lt;SQG!$B$27,"Medium","High"))</f>
        <v>High</v>
      </c>
      <c r="D66" s="28" t="str">
        <f>IF(D28&lt;SQG!$B$26,"Low",IF(D28&lt;SQG!$B$27,"Medium","High"))</f>
        <v>Medium</v>
      </c>
      <c r="E66" s="28" t="str">
        <f>IF(E28&lt;SQG!$B$26,"Low",IF(E28&lt;SQG!$B$27,"Medium","High"))</f>
        <v>High</v>
      </c>
      <c r="F66" s="28" t="str">
        <f>IF(F28&lt;SQG!$B$26,"Low",IF(F28&lt;SQG!$B$27,"Medium","High"))</f>
        <v>High</v>
      </c>
      <c r="G66" s="28" t="str">
        <f>IF(G28&lt;SQG!$B$26,"Low",IF(G28&lt;SQG!$B$27,"Medium","High"))</f>
        <v>High</v>
      </c>
      <c r="H66" s="28" t="str">
        <f>IF(H28&lt;SQG!$B$26,"Low",IF(H28&lt;SQG!$B$27,"Medium","High"))</f>
        <v>Medium</v>
      </c>
      <c r="I66" s="28" t="str">
        <f>IF(I28&lt;SQG!$B$26,"Low",IF(I28&lt;SQG!$B$27,"Medium","High"))</f>
        <v>High</v>
      </c>
      <c r="J66" s="28" t="str">
        <f>IF(J28&lt;SQG!$B$26,"Low",IF(J28&lt;SQG!$B$27,"Medium","High"))</f>
        <v>Medium</v>
      </c>
      <c r="K66" s="28" t="str">
        <f>IF(K28&lt;SQG!$B$26,"Low",IF(K28&lt;SQG!$B$27,"Medium","High"))</f>
        <v>Medium</v>
      </c>
      <c r="L66" s="28" t="str">
        <f>IF(L28&lt;SQG!$B$26,"Low",IF(L28&lt;SQG!$B$27,"Medium","High"))</f>
        <v>Medium</v>
      </c>
      <c r="M66" s="28" t="str">
        <f>IF(M28&lt;SQG!$B$26,"Low",IF(M28&lt;SQG!$B$27,"Medium","High"))</f>
        <v>High</v>
      </c>
      <c r="N66" s="28" t="str">
        <f>IF(N28&lt;SQG!$B$26,"Low",IF(N28&lt;SQG!$B$27,"Medium","High"))</f>
        <v>Medium</v>
      </c>
      <c r="O66" s="28" t="str">
        <f>IF(O28&lt;SQG!$B$26,"Low",IF(O28&lt;SQG!$B$27,"Medium","High"))</f>
        <v>Medium</v>
      </c>
    </row>
    <row r="67" spans="1:15" ht="15" customHeight="1" x14ac:dyDescent="0.25">
      <c r="A67" s="10" t="s">
        <v>62</v>
      </c>
      <c r="B67" s="28" t="str">
        <f>IF(B29&lt;SQG!$B$26,"Low",IF(B29&lt;SQG!$B$27,"Medium","High"))</f>
        <v>High</v>
      </c>
      <c r="C67" s="28" t="str">
        <f>IF(C29&lt;SQG!$B$26,"Low",IF(C29&lt;SQG!$B$27,"Medium","High"))</f>
        <v>High</v>
      </c>
      <c r="D67" s="28" t="str">
        <f>IF(D29&lt;SQG!$B$26,"Low",IF(D29&lt;SQG!$B$27,"Medium","High"))</f>
        <v>High</v>
      </c>
      <c r="E67" s="28" t="str">
        <f>IF(E29&lt;SQG!$B$26,"Low",IF(E29&lt;SQG!$B$27,"Medium","High"))</f>
        <v>Medium</v>
      </c>
      <c r="F67" s="28" t="str">
        <f>IF(F29&lt;SQG!$B$26,"Low",IF(F29&lt;SQG!$B$27,"Medium","High"))</f>
        <v>High</v>
      </c>
      <c r="G67" s="28" t="str">
        <f>IF(G29&lt;SQG!$B$26,"Low",IF(G29&lt;SQG!$B$27,"Medium","High"))</f>
        <v>High</v>
      </c>
      <c r="H67" s="28" t="str">
        <f>IF(H29&lt;SQG!$B$26,"Low",IF(H29&lt;SQG!$B$27,"Medium","High"))</f>
        <v>Medium</v>
      </c>
      <c r="I67" s="28" t="str">
        <f>IF(I29&lt;SQG!$B$26,"Low",IF(I29&lt;SQG!$B$27,"Medium","High"))</f>
        <v>High</v>
      </c>
      <c r="J67" s="28" t="str">
        <f>IF(J29&lt;SQG!$B$26,"Low",IF(J29&lt;SQG!$B$27,"Medium","High"))</f>
        <v>Medium</v>
      </c>
      <c r="K67" s="28" t="str">
        <f>IF(K29&lt;SQG!$B$26,"Low",IF(K29&lt;SQG!$B$27,"Medium","High"))</f>
        <v>Medium</v>
      </c>
      <c r="L67" s="28" t="str">
        <f>IF(L29&lt;SQG!$B$26,"Low",IF(L29&lt;SQG!$B$27,"Medium","High"))</f>
        <v>Medium</v>
      </c>
      <c r="M67" s="28" t="str">
        <f>IF(M29&lt;SQG!$B$26,"Low",IF(M29&lt;SQG!$B$27,"Medium","High"))</f>
        <v>Medium</v>
      </c>
      <c r="N67" s="28" t="str">
        <f>IF(N29&lt;SQG!$B$26,"Low",IF(N29&lt;SQG!$B$27,"Medium","High"))</f>
        <v>High</v>
      </c>
      <c r="O67" s="28" t="str">
        <f>IF(O29&lt;SQG!$B$26,"Low",IF(O29&lt;SQG!$B$27,"Medium","High"))</f>
        <v>High</v>
      </c>
    </row>
    <row r="68" spans="1:15" ht="15" customHeight="1" x14ac:dyDescent="0.25">
      <c r="A68" s="10" t="s">
        <v>66</v>
      </c>
      <c r="B68" s="28" t="str">
        <f>IF(B30&lt;SQG!$B$26,"Low",IF(B30&lt;SQG!$B$27,"Medium","High"))</f>
        <v>High</v>
      </c>
      <c r="C68" s="28" t="str">
        <f>IF(C30&lt;SQG!$B$26,"Low",IF(C30&lt;SQG!$B$27,"Medium","High"))</f>
        <v>High</v>
      </c>
      <c r="D68" s="28" t="str">
        <f>IF(D30&lt;SQG!$B$26,"Low",IF(D30&lt;SQG!$B$27,"Medium","High"))</f>
        <v>High</v>
      </c>
      <c r="E68" s="28" t="str">
        <f>IF(E30&lt;SQG!$B$26,"Low",IF(E30&lt;SQG!$B$27,"Medium","High"))</f>
        <v>High</v>
      </c>
      <c r="F68" s="28" t="str">
        <f>IF(F30&lt;SQG!$B$26,"Low",IF(F30&lt;SQG!$B$27,"Medium","High"))</f>
        <v>High</v>
      </c>
      <c r="G68" s="28" t="str">
        <f>IF(G30&lt;SQG!$B$26,"Low",IF(G30&lt;SQG!$B$27,"Medium","High"))</f>
        <v>High</v>
      </c>
      <c r="H68" s="28" t="str">
        <f>IF(H30&lt;SQG!$B$26,"Low",IF(H30&lt;SQG!$B$27,"Medium","High"))</f>
        <v>Medium</v>
      </c>
      <c r="I68" s="28" t="str">
        <f>IF(I30&lt;SQG!$B$26,"Low",IF(I30&lt;SQG!$B$27,"Medium","High"))</f>
        <v>High</v>
      </c>
      <c r="J68" s="28" t="str">
        <f>IF(J30&lt;SQG!$B$26,"Low",IF(J30&lt;SQG!$B$27,"Medium","High"))</f>
        <v>Medium</v>
      </c>
      <c r="K68" s="28" t="str">
        <f>IF(K30&lt;SQG!$B$26,"Low",IF(K30&lt;SQG!$B$27,"Medium","High"))</f>
        <v>High</v>
      </c>
      <c r="L68" s="28" t="str">
        <f>IF(L30&lt;SQG!$B$26,"Low",IF(L30&lt;SQG!$B$27,"Medium","High"))</f>
        <v>Medium</v>
      </c>
      <c r="M68" s="28" t="str">
        <f>IF(M30&lt;SQG!$B$26,"Low",IF(M30&lt;SQG!$B$27,"Medium","High"))</f>
        <v>Medium</v>
      </c>
      <c r="N68" s="28" t="str">
        <f>IF(N30&lt;SQG!$B$26,"Low",IF(N30&lt;SQG!$B$27,"Medium","High"))</f>
        <v>High</v>
      </c>
      <c r="O68" s="28" t="str">
        <f>IF(O30&lt;SQG!$B$26,"Low",IF(O30&lt;SQG!$B$27,"Medium","High"))</f>
        <v>High</v>
      </c>
    </row>
    <row r="69" spans="1:15" ht="15" customHeight="1" x14ac:dyDescent="0.25">
      <c r="A69" s="10" t="s">
        <v>71</v>
      </c>
      <c r="B69" s="28" t="str">
        <f>IF(B31&lt;SQG!$B$26,"Low",IF(B31&lt;SQG!$B$27,"Medium","High"))</f>
        <v>High</v>
      </c>
      <c r="C69" s="28" t="str">
        <f>IF(C31&lt;SQG!$B$26,"Low",IF(C31&lt;SQG!$B$27,"Medium","High"))</f>
        <v>High</v>
      </c>
      <c r="D69" s="28" t="str">
        <f>IF(D31&lt;SQG!$B$26,"Low",IF(D31&lt;SQG!$B$27,"Medium","High"))</f>
        <v>Medium</v>
      </c>
      <c r="E69" s="28" t="str">
        <f>IF(E31&lt;SQG!$B$26,"Low",IF(E31&lt;SQG!$B$27,"Medium","High"))</f>
        <v>High</v>
      </c>
      <c r="F69" s="28" t="str">
        <f>IF(F31&lt;SQG!$B$26,"Low",IF(F31&lt;SQG!$B$27,"Medium","High"))</f>
        <v>High</v>
      </c>
      <c r="G69" s="28" t="str">
        <f>IF(G31&lt;SQG!$B$26,"Low",IF(G31&lt;SQG!$B$27,"Medium","High"))</f>
        <v>High</v>
      </c>
      <c r="H69" s="28" t="str">
        <f>IF(H31&lt;SQG!$B$26,"Low",IF(H31&lt;SQG!$B$27,"Medium","High"))</f>
        <v>High</v>
      </c>
      <c r="I69" s="28" t="str">
        <f>IF(I31&lt;SQG!$B$26,"Low",IF(I31&lt;SQG!$B$27,"Medium","High"))</f>
        <v>High</v>
      </c>
      <c r="J69" s="28" t="str">
        <f>IF(J31&lt;SQG!$B$26,"Low",IF(J31&lt;SQG!$B$27,"Medium","High"))</f>
        <v>High</v>
      </c>
      <c r="K69" s="28" t="str">
        <f>IF(K31&lt;SQG!$B$26,"Low",IF(K31&lt;SQG!$B$27,"Medium","High"))</f>
        <v>High</v>
      </c>
      <c r="L69" s="28" t="str">
        <f>IF(L31&lt;SQG!$B$26,"Low",IF(L31&lt;SQG!$B$27,"Medium","High"))</f>
        <v>Medium</v>
      </c>
      <c r="M69" s="28" t="str">
        <f>IF(M31&lt;SQG!$B$26,"Low",IF(M31&lt;SQG!$B$27,"Medium","High"))</f>
        <v>High</v>
      </c>
      <c r="N69" s="28" t="str">
        <f>IF(N31&lt;SQG!$B$26,"Low",IF(N31&lt;SQG!$B$27,"Medium","High"))</f>
        <v>Medium</v>
      </c>
      <c r="O69" s="28" t="str">
        <f>IF(O31&lt;SQG!$B$26,"Low",IF(O31&lt;SQG!$B$27,"Medium","High"))</f>
        <v>High</v>
      </c>
    </row>
    <row r="70" spans="1:15" ht="15" customHeight="1" x14ac:dyDescent="0.25">
      <c r="A70" s="10" t="s">
        <v>75</v>
      </c>
      <c r="B70" s="28" t="str">
        <f>IF(B32&lt;SQG!$B$26,"Low",IF(B32&lt;SQG!$B$27,"Medium","High"))</f>
        <v>High</v>
      </c>
      <c r="C70" s="28" t="str">
        <f>IF(C32&lt;SQG!$B$26,"Low",IF(C32&lt;SQG!$B$27,"Medium","High"))</f>
        <v>High</v>
      </c>
      <c r="D70" s="28" t="str">
        <f>IF(D32&lt;SQG!$B$26,"Low",IF(D32&lt;SQG!$B$27,"Medium","High"))</f>
        <v>High</v>
      </c>
      <c r="E70" s="28" t="str">
        <f>IF(E32&lt;SQG!$B$26,"Low",IF(E32&lt;SQG!$B$27,"Medium","High"))</f>
        <v>High</v>
      </c>
      <c r="F70" s="28" t="str">
        <f>IF(F32&lt;SQG!$B$26,"Low",IF(F32&lt;SQG!$B$27,"Medium","High"))</f>
        <v>High</v>
      </c>
      <c r="G70" s="28" t="str">
        <f>IF(G32&lt;SQG!$B$26,"Low",IF(G32&lt;SQG!$B$27,"Medium","High"))</f>
        <v>High</v>
      </c>
      <c r="H70" s="28" t="str">
        <f>IF(H32&lt;SQG!$B$26,"Low",IF(H32&lt;SQG!$B$27,"Medium","High"))</f>
        <v>Medium</v>
      </c>
      <c r="I70" s="28" t="str">
        <f>IF(I32&lt;SQG!$B$26,"Low",IF(I32&lt;SQG!$B$27,"Medium","High"))</f>
        <v>High</v>
      </c>
      <c r="J70" s="28" t="str">
        <f>IF(J32&lt;SQG!$B$26,"Low",IF(J32&lt;SQG!$B$27,"Medium","High"))</f>
        <v>High</v>
      </c>
      <c r="K70" s="28" t="str">
        <f>IF(K32&lt;SQG!$B$26,"Low",IF(K32&lt;SQG!$B$27,"Medium","High"))</f>
        <v>High</v>
      </c>
      <c r="L70" s="28" t="str">
        <f>IF(L32&lt;SQG!$B$26,"Low",IF(L32&lt;SQG!$B$27,"Medium","High"))</f>
        <v>High</v>
      </c>
      <c r="M70" s="28" t="str">
        <f>IF(M32&lt;SQG!$B$26,"Low",IF(M32&lt;SQG!$B$27,"Medium","High"))</f>
        <v>High</v>
      </c>
      <c r="N70" s="28" t="str">
        <f>IF(N32&lt;SQG!$B$26,"Low",IF(N32&lt;SQG!$B$27,"Medium","High"))</f>
        <v>High</v>
      </c>
      <c r="O70" s="28" t="str">
        <f>IF(O32&lt;SQG!$B$26,"Low",IF(O32&lt;SQG!$B$27,"Medium","High"))</f>
        <v>High</v>
      </c>
    </row>
    <row r="71" spans="1:15" ht="15" customHeight="1" x14ac:dyDescent="0.25">
      <c r="A71" s="10" t="s">
        <v>79</v>
      </c>
      <c r="B71" s="28" t="str">
        <f>IF(B33&lt;SQG!$B$26,"Low",IF(B33&lt;SQG!$B$27,"Medium","High"))</f>
        <v>High</v>
      </c>
      <c r="C71" s="28" t="str">
        <f>IF(C33&lt;SQG!$B$26,"Low",IF(C33&lt;SQG!$B$27,"Medium","High"))</f>
        <v>High</v>
      </c>
      <c r="D71" s="28" t="str">
        <f>IF(D33&lt;SQG!$B$26,"Low",IF(D33&lt;SQG!$B$27,"Medium","High"))</f>
        <v>High</v>
      </c>
      <c r="E71" s="28" t="str">
        <f>IF(E33&lt;SQG!$B$26,"Low",IF(E33&lt;SQG!$B$27,"Medium","High"))</f>
        <v>High</v>
      </c>
      <c r="F71" s="28" t="str">
        <f>IF(F33&lt;SQG!$B$26,"Low",IF(F33&lt;SQG!$B$27,"Medium","High"))</f>
        <v>High</v>
      </c>
      <c r="G71" s="28" t="str">
        <f>IF(G33&lt;SQG!$B$26,"Low",IF(G33&lt;SQG!$B$27,"Medium","High"))</f>
        <v>High</v>
      </c>
      <c r="H71" s="28" t="str">
        <f>IF(H33&lt;SQG!$B$26,"Low",IF(H33&lt;SQG!$B$27,"Medium","High"))</f>
        <v>High</v>
      </c>
      <c r="I71" s="28" t="str">
        <f>IF(I33&lt;SQG!$B$26,"Low",IF(I33&lt;SQG!$B$27,"Medium","High"))</f>
        <v>High</v>
      </c>
      <c r="J71" s="28" t="str">
        <f>IF(J33&lt;SQG!$B$26,"Low",IF(J33&lt;SQG!$B$27,"Medium","High"))</f>
        <v>High</v>
      </c>
      <c r="K71" s="28" t="str">
        <f>IF(K33&lt;SQG!$B$26,"Low",IF(K33&lt;SQG!$B$27,"Medium","High"))</f>
        <v>High</v>
      </c>
      <c r="L71" s="28" t="str">
        <f>IF(L33&lt;SQG!$B$26,"Low",IF(L33&lt;SQG!$B$27,"Medium","High"))</f>
        <v>High</v>
      </c>
      <c r="M71" s="28" t="str">
        <f>IF(M33&lt;SQG!$B$26,"Low",IF(M33&lt;SQG!$B$27,"Medium","High"))</f>
        <v>High</v>
      </c>
      <c r="N71" s="28" t="str">
        <f>IF(N33&lt;SQG!$B$26,"Low",IF(N33&lt;SQG!$B$27,"Medium","High"))</f>
        <v>High</v>
      </c>
      <c r="O71" s="28" t="str">
        <f>IF(O33&lt;SQG!$B$26,"Low",IF(O33&lt;SQG!$B$27,"Medium","High"))</f>
        <v>High</v>
      </c>
    </row>
    <row r="72" spans="1:15" ht="15" customHeight="1" x14ac:dyDescent="0.25">
      <c r="A72" s="10" t="s">
        <v>83</v>
      </c>
      <c r="B72" s="28" t="str">
        <f>IF(B34&lt;SQG!$B$26,"Low",IF(B34&lt;SQG!$B$27,"Medium","High"))</f>
        <v>High</v>
      </c>
      <c r="C72" s="28" t="str">
        <f>IF(C34&lt;SQG!$B$26,"Low",IF(C34&lt;SQG!$B$27,"Medium","High"))</f>
        <v>High</v>
      </c>
      <c r="D72" s="28" t="str">
        <f>IF(D34&lt;SQG!$B$26,"Low",IF(D34&lt;SQG!$B$27,"Medium","High"))</f>
        <v>High</v>
      </c>
      <c r="E72" s="28" t="str">
        <f>IF(E34&lt;SQG!$B$26,"Low",IF(E34&lt;SQG!$B$27,"Medium","High"))</f>
        <v>High</v>
      </c>
      <c r="F72" s="28" t="str">
        <f>IF(F34&lt;SQG!$B$26,"Low",IF(F34&lt;SQG!$B$27,"Medium","High"))</f>
        <v>High</v>
      </c>
      <c r="G72" s="28" t="str">
        <f>IF(G34&lt;SQG!$B$26,"Low",IF(G34&lt;SQG!$B$27,"Medium","High"))</f>
        <v>High</v>
      </c>
      <c r="H72" s="28" t="str">
        <f>IF(H34&lt;SQG!$B$26,"Low",IF(H34&lt;SQG!$B$27,"Medium","High"))</f>
        <v>High</v>
      </c>
      <c r="I72" s="28" t="str">
        <f>IF(I34&lt;SQG!$B$26,"Low",IF(I34&lt;SQG!$B$27,"Medium","High"))</f>
        <v>High</v>
      </c>
      <c r="J72" s="28" t="str">
        <f>IF(J34&lt;SQG!$B$26,"Low",IF(J34&lt;SQG!$B$27,"Medium","High"))</f>
        <v>High</v>
      </c>
      <c r="K72" s="28" t="str">
        <f>IF(K34&lt;SQG!$B$26,"Low",IF(K34&lt;SQG!$B$27,"Medium","High"))</f>
        <v>High</v>
      </c>
      <c r="L72" s="28" t="str">
        <f>IF(L34&lt;SQG!$B$26,"Low",IF(L34&lt;SQG!$B$27,"Medium","High"))</f>
        <v>High</v>
      </c>
      <c r="M72" s="28" t="str">
        <f>IF(M34&lt;SQG!$B$26,"Low",IF(M34&lt;SQG!$B$27,"Medium","High"))</f>
        <v>High</v>
      </c>
      <c r="N72" s="28" t="str">
        <f>IF(N34&lt;SQG!$B$26,"Low",IF(N34&lt;SQG!$B$27,"Medium","High"))</f>
        <v>High</v>
      </c>
      <c r="O72" s="28" t="str">
        <f>IF(O34&lt;SQG!$B$26,"Low",IF(O34&lt;SQG!$B$27,"Medium","High"))</f>
        <v>High</v>
      </c>
    </row>
    <row r="73" spans="1:15" ht="15" customHeight="1" x14ac:dyDescent="0.25">
      <c r="A73" s="10" t="s">
        <v>87</v>
      </c>
      <c r="B73" s="28" t="str">
        <f>IF(B35&lt;SQG!$B$26,"Low",IF(B35&lt;SQG!$B$27,"Medium","High"))</f>
        <v>High</v>
      </c>
      <c r="C73" s="28" t="str">
        <f>IF(C35&lt;SQG!$B$26,"Low",IF(C35&lt;SQG!$B$27,"Medium","High"))</f>
        <v>High</v>
      </c>
      <c r="D73" s="28" t="str">
        <f>IF(D35&lt;SQG!$B$26,"Low",IF(D35&lt;SQG!$B$27,"Medium","High"))</f>
        <v>High</v>
      </c>
      <c r="E73" s="28" t="str">
        <f>IF(E35&lt;SQG!$B$26,"Low",IF(E35&lt;SQG!$B$27,"Medium","High"))</f>
        <v>High</v>
      </c>
      <c r="F73" s="28" t="str">
        <f>IF(F35&lt;SQG!$B$26,"Low",IF(F35&lt;SQG!$B$27,"Medium","High"))</f>
        <v>High</v>
      </c>
      <c r="G73" s="28" t="str">
        <f>IF(G35&lt;SQG!$B$26,"Low",IF(G35&lt;SQG!$B$27,"Medium","High"))</f>
        <v>High</v>
      </c>
      <c r="H73" s="28" t="str">
        <f>IF(H35&lt;SQG!$B$26,"Low",IF(H35&lt;SQG!$B$27,"Medium","High"))</f>
        <v>High</v>
      </c>
      <c r="I73" s="28" t="str">
        <f>IF(I35&lt;SQG!$B$26,"Low",IF(I35&lt;SQG!$B$27,"Medium","High"))</f>
        <v>High</v>
      </c>
      <c r="J73" s="28" t="str">
        <f>IF(J35&lt;SQG!$B$26,"Low",IF(J35&lt;SQG!$B$27,"Medium","High"))</f>
        <v>High</v>
      </c>
      <c r="K73" s="28" t="str">
        <f>IF(K35&lt;SQG!$B$26,"Low",IF(K35&lt;SQG!$B$27,"Medium","High"))</f>
        <v>High</v>
      </c>
      <c r="L73" s="28" t="str">
        <f>IF(L35&lt;SQG!$B$26,"Low",IF(L35&lt;SQG!$B$27,"Medium","High"))</f>
        <v>High</v>
      </c>
      <c r="M73" s="28" t="str">
        <f>IF(M35&lt;SQG!$B$26,"Low",IF(M35&lt;SQG!$B$27,"Medium","High"))</f>
        <v>High</v>
      </c>
      <c r="N73" s="28" t="str">
        <f>IF(N35&lt;SQG!$B$26,"Low",IF(N35&lt;SQG!$B$27,"Medium","High"))</f>
        <v>High</v>
      </c>
      <c r="O73" s="28" t="str">
        <f>IF(O35&lt;SQG!$B$26,"Low",IF(O35&lt;SQG!$B$27,"Medium","High"))</f>
        <v>High</v>
      </c>
    </row>
    <row r="74" spans="1:15" ht="15" customHeight="1" x14ac:dyDescent="0.25">
      <c r="A74" s="17" t="s">
        <v>44</v>
      </c>
      <c r="B74" s="28" t="str">
        <f>IF(B36&lt;SQG!$B$26,"Low",IF(B36&lt;SQG!$B$27,"Medium","High"))</f>
        <v>High</v>
      </c>
      <c r="C74" s="28" t="str">
        <f>IF(C36&lt;SQG!$B$26,"Low",IF(C36&lt;SQG!$B$27,"Medium","High"))</f>
        <v>High</v>
      </c>
      <c r="D74" s="28" t="str">
        <f>IF(D36&lt;SQG!$B$26,"Low",IF(D36&lt;SQG!$B$27,"Medium","High"))</f>
        <v>High</v>
      </c>
      <c r="E74" s="28" t="str">
        <f>IF(E36&lt;SQG!$B$26,"Low",IF(E36&lt;SQG!$B$27,"Medium","High"))</f>
        <v>High</v>
      </c>
      <c r="F74" s="28" t="str">
        <f>IF(F36&lt;SQG!$B$26,"Low",IF(F36&lt;SQG!$B$27,"Medium","High"))</f>
        <v>High</v>
      </c>
      <c r="G74" s="28" t="str">
        <f>IF(G36&lt;SQG!$B$26,"Low",IF(G36&lt;SQG!$B$27,"Medium","High"))</f>
        <v>High</v>
      </c>
      <c r="H74" s="28" t="str">
        <f>IF(H36&lt;SQG!$B$26,"Low",IF(H36&lt;SQG!$B$27,"Medium","High"))</f>
        <v>Medium</v>
      </c>
      <c r="I74" s="28" t="str">
        <f>IF(I36&lt;SQG!$B$26,"Low",IF(I36&lt;SQG!$B$27,"Medium","High"))</f>
        <v>High</v>
      </c>
      <c r="J74" s="28" t="str">
        <f>IF(J36&lt;SQG!$B$26,"Low",IF(J36&lt;SQG!$B$27,"Medium","High"))</f>
        <v>High</v>
      </c>
      <c r="K74" s="28" t="str">
        <f>IF(K36&lt;SQG!$B$26,"Low",IF(K36&lt;SQG!$B$27,"Medium","High"))</f>
        <v>Medium</v>
      </c>
      <c r="L74" s="28" t="str">
        <f>IF(L36&lt;SQG!$B$26,"Low",IF(L36&lt;SQG!$B$27,"Medium","High"))</f>
        <v>Medium</v>
      </c>
      <c r="M74" s="28" t="str">
        <f>IF(M36&lt;SQG!$B$26,"Low",IF(M36&lt;SQG!$B$27,"Medium","High"))</f>
        <v>High</v>
      </c>
      <c r="N74" s="28" t="str">
        <f>IF(N36&lt;SQG!$B$26,"Low",IF(N36&lt;SQG!$B$27,"Medium","High"))</f>
        <v>High</v>
      </c>
      <c r="O74" s="28" t="str">
        <f>IF(O36&lt;SQG!$B$26,"Low",IF(O36&lt;SQG!$B$27,"Medium","High"))</f>
        <v>High</v>
      </c>
    </row>
    <row r="75" spans="1:15" ht="15" customHeight="1" x14ac:dyDescent="0.25">
      <c r="A75" s="17" t="s">
        <v>57</v>
      </c>
      <c r="B75" s="28" t="str">
        <f>IF(B37&lt;SQG!$B$26,"Low",IF(B37&lt;SQG!$B$27,"Medium","High"))</f>
        <v>High</v>
      </c>
      <c r="C75" s="28" t="str">
        <f>IF(C37&lt;SQG!$B$26,"Low",IF(C37&lt;SQG!$B$27,"Medium","High"))</f>
        <v>High</v>
      </c>
      <c r="D75" s="28" t="str">
        <f>IF(D37&lt;SQG!$B$26,"Low",IF(D37&lt;SQG!$B$27,"Medium","High"))</f>
        <v>High</v>
      </c>
      <c r="E75" s="28" t="str">
        <f>IF(E37&lt;SQG!$B$26,"Low",IF(E37&lt;SQG!$B$27,"Medium","High"))</f>
        <v>High</v>
      </c>
      <c r="F75" s="28" t="str">
        <f>IF(F37&lt;SQG!$B$26,"Low",IF(F37&lt;SQG!$B$27,"Medium","High"))</f>
        <v>High</v>
      </c>
      <c r="G75" s="28" t="str">
        <f>IF(G37&lt;SQG!$B$26,"Low",IF(G37&lt;SQG!$B$27,"Medium","High"))</f>
        <v>High</v>
      </c>
      <c r="H75" s="28" t="str">
        <f>IF(H37&lt;SQG!$B$26,"Low",IF(H37&lt;SQG!$B$27,"Medium","High"))</f>
        <v>Medium</v>
      </c>
      <c r="I75" s="28" t="str">
        <f>IF(I37&lt;SQG!$B$26,"Low",IF(I37&lt;SQG!$B$27,"Medium","High"))</f>
        <v>High</v>
      </c>
      <c r="J75" s="28" t="str">
        <f>IF(J37&lt;SQG!$B$26,"Low",IF(J37&lt;SQG!$B$27,"Medium","High"))</f>
        <v>Medium</v>
      </c>
      <c r="K75" s="28" t="str">
        <f>IF(K37&lt;SQG!$B$26,"Low",IF(K37&lt;SQG!$B$27,"Medium","High"))</f>
        <v>Medium</v>
      </c>
      <c r="L75" s="28" t="str">
        <f>IF(L37&lt;SQG!$B$26,"Low",IF(L37&lt;SQG!$B$27,"Medium","High"))</f>
        <v>Medium</v>
      </c>
      <c r="M75" s="28" t="str">
        <f>IF(M37&lt;SQG!$B$26,"Low",IF(M37&lt;SQG!$B$27,"Medium","High"))</f>
        <v>Medium</v>
      </c>
      <c r="N75" s="28" t="str">
        <f>IF(N37&lt;SQG!$B$26,"Low",IF(N37&lt;SQG!$B$27,"Medium","High"))</f>
        <v>High</v>
      </c>
      <c r="O75" s="28" t="str">
        <f>IF(O37&lt;SQG!$B$26,"Low",IF(O37&lt;SQG!$B$27,"Medium","High"))</f>
        <v>High</v>
      </c>
    </row>
    <row r="76" spans="1:15" ht="15" customHeight="1" x14ac:dyDescent="0.25">
      <c r="A76" s="17" t="s">
        <v>70</v>
      </c>
      <c r="B76" s="28" t="str">
        <f>IF(B38&lt;SQG!$B$26,"Low",IF(B38&lt;SQG!$B$27,"Medium","High"))</f>
        <v>High</v>
      </c>
      <c r="C76" s="28" t="str">
        <f>IF(C38&lt;SQG!$B$26,"Low",IF(C38&lt;SQG!$B$27,"Medium","High"))</f>
        <v>High</v>
      </c>
      <c r="D76" s="28" t="str">
        <f>IF(D38&lt;SQG!$B$26,"Low",IF(D38&lt;SQG!$B$27,"Medium","High"))</f>
        <v>High</v>
      </c>
      <c r="E76" s="28" t="str">
        <f>IF(E38&lt;SQG!$B$26,"Low",IF(E38&lt;SQG!$B$27,"Medium","High"))</f>
        <v>High</v>
      </c>
      <c r="F76" s="28" t="str">
        <f>IF(F38&lt;SQG!$B$26,"Low",IF(F38&lt;SQG!$B$27,"Medium","High"))</f>
        <v>High</v>
      </c>
      <c r="G76" s="28" t="str">
        <f>IF(G38&lt;SQG!$B$26,"Low",IF(G38&lt;SQG!$B$27,"Medium","High"))</f>
        <v>High</v>
      </c>
      <c r="H76" s="28" t="str">
        <f>IF(H38&lt;SQG!$B$26,"Low",IF(H38&lt;SQG!$B$27,"Medium","High"))</f>
        <v>High</v>
      </c>
      <c r="I76" s="28" t="str">
        <f>IF(I38&lt;SQG!$B$26,"Low",IF(I38&lt;SQG!$B$27,"Medium","High"))</f>
        <v>High</v>
      </c>
      <c r="J76" s="28" t="str">
        <f>IF(J38&lt;SQG!$B$26,"Low",IF(J38&lt;SQG!$B$27,"Medium","High"))</f>
        <v>High</v>
      </c>
      <c r="K76" s="28" t="str">
        <f>IF(K38&lt;SQG!$B$26,"Low",IF(K38&lt;SQG!$B$27,"Medium","High"))</f>
        <v>High</v>
      </c>
      <c r="L76" s="28" t="str">
        <f>IF(L38&lt;SQG!$B$26,"Low",IF(L38&lt;SQG!$B$27,"Medium","High"))</f>
        <v>High</v>
      </c>
      <c r="M76" s="28" t="str">
        <f>IF(M38&lt;SQG!$B$26,"Low",IF(M38&lt;SQG!$B$27,"Medium","High"))</f>
        <v>High</v>
      </c>
      <c r="N76" s="28" t="str">
        <f>IF(N38&lt;SQG!$B$26,"Low",IF(N38&lt;SQG!$B$27,"Medium","High"))</f>
        <v>High</v>
      </c>
      <c r="O76" s="28" t="str">
        <f>IF(O38&lt;SQG!$B$26,"Low",IF(O38&lt;SQG!$B$27,"Medium","High"))</f>
        <v>High</v>
      </c>
    </row>
    <row r="77" spans="1:15" ht="15" customHeight="1" x14ac:dyDescent="0.25">
      <c r="A77" s="17" t="s">
        <v>127</v>
      </c>
      <c r="B77" s="28" t="str">
        <f>IF(B39&lt;SQG!$B$26,"Low",IF(B39&lt;SQG!$B$27,"Medium","High"))</f>
        <v>High</v>
      </c>
      <c r="C77" s="28" t="str">
        <f>IF(C39&lt;SQG!$B$26,"Low",IF(C39&lt;SQG!$B$27,"Medium","High"))</f>
        <v>High</v>
      </c>
      <c r="D77" s="28" t="str">
        <f>IF(D39&lt;SQG!$B$26,"Low",IF(D39&lt;SQG!$B$27,"Medium","High"))</f>
        <v>High</v>
      </c>
      <c r="E77" s="28" t="str">
        <f>IF(E39&lt;SQG!$B$26,"Low",IF(E39&lt;SQG!$B$27,"Medium","High"))</f>
        <v>High</v>
      </c>
      <c r="F77" s="28" t="str">
        <f>IF(F39&lt;SQG!$B$26,"Low",IF(F39&lt;SQG!$B$27,"Medium","High"))</f>
        <v>High</v>
      </c>
      <c r="G77" s="28" t="str">
        <f>IF(G39&lt;SQG!$B$26,"Low",IF(G39&lt;SQG!$B$27,"Medium","High"))</f>
        <v>High</v>
      </c>
      <c r="H77" s="28" t="str">
        <f>IF(H39&lt;SQG!$B$26,"Low",IF(H39&lt;SQG!$B$27,"Medium","High"))</f>
        <v>Medium</v>
      </c>
      <c r="I77" s="28" t="str">
        <f>IF(I39&lt;SQG!$B$26,"Low",IF(I39&lt;SQG!$B$27,"Medium","High"))</f>
        <v>High</v>
      </c>
      <c r="J77" s="28" t="str">
        <f>IF(J39&lt;SQG!$B$26,"Low",IF(J39&lt;SQG!$B$27,"Medium","High"))</f>
        <v>High</v>
      </c>
      <c r="K77" s="28" t="str">
        <f>IF(K39&lt;SQG!$B$26,"Low",IF(K39&lt;SQG!$B$27,"Medium","High"))</f>
        <v>High</v>
      </c>
      <c r="L77" s="28" t="str">
        <f>IF(L39&lt;SQG!$B$26,"Low",IF(L39&lt;SQG!$B$27,"Medium","High"))</f>
        <v>High</v>
      </c>
      <c r="M77" s="28" t="str">
        <f>IF(M39&lt;SQG!$B$26,"Low",IF(M39&lt;SQG!$B$27,"Medium","High"))</f>
        <v>High</v>
      </c>
      <c r="N77" s="28" t="str">
        <f>IF(N39&lt;SQG!$B$26,"Low",IF(N39&lt;SQG!$B$27,"Medium","High"))</f>
        <v>High</v>
      </c>
      <c r="O77" s="28" t="str">
        <f>IF(O39&lt;SQG!$B$26,"Low",IF(O39&lt;SQG!$B$27,"Medium","High"))</f>
        <v>High</v>
      </c>
    </row>
    <row r="80" spans="1:15" ht="15" customHeight="1" x14ac:dyDescent="0.25">
      <c r="A80" s="17" t="s">
        <v>229</v>
      </c>
    </row>
    <row r="81" spans="1:15" ht="23.25" customHeight="1" x14ac:dyDescent="0.25">
      <c r="A81" s="6" t="s">
        <v>130</v>
      </c>
      <c r="B81" s="6" t="s">
        <v>25</v>
      </c>
      <c r="C81" s="6" t="s">
        <v>26</v>
      </c>
      <c r="D81" s="6" t="s">
        <v>27</v>
      </c>
      <c r="E81" s="6" t="s">
        <v>28</v>
      </c>
      <c r="F81" s="6" t="s">
        <v>29</v>
      </c>
      <c r="G81" s="6" t="s">
        <v>30</v>
      </c>
      <c r="H81" s="6" t="s">
        <v>31</v>
      </c>
      <c r="I81" s="6" t="s">
        <v>32</v>
      </c>
      <c r="J81" s="6" t="s">
        <v>33</v>
      </c>
      <c r="K81" s="6" t="s">
        <v>34</v>
      </c>
      <c r="L81" s="6" t="s">
        <v>35</v>
      </c>
      <c r="M81" s="6" t="s">
        <v>36</v>
      </c>
      <c r="N81" s="6" t="s">
        <v>37</v>
      </c>
      <c r="O81" s="6" t="s">
        <v>38</v>
      </c>
    </row>
    <row r="82" spans="1:15" ht="15" customHeight="1" x14ac:dyDescent="0.25">
      <c r="A82" s="10" t="s">
        <v>45</v>
      </c>
      <c r="B82" s="28" t="str">
        <f>IF(B6=0,"nd",IF(B6&lt;SQG!$B$5,"&lt; TEL",IF(B6&lt;=SQG!$D$5,"TEL–PEL","&gt; PEL")))</f>
        <v>TEL–PEL</v>
      </c>
      <c r="C82" s="28" t="str">
        <f>IF(C6=0,"nd",IF(C6&lt;SQG!$B$6,"&lt; TEL",IF(C6&lt;=SQG!$D$6,"TEL–PEL","&gt; PEL")))</f>
        <v>&gt; PEL</v>
      </c>
      <c r="D82" s="28" t="str">
        <f>IF(D6=0,"nd",IF(D6&lt;SQG!$B$7,"&lt; TEL",IF(D6&lt;=SQG!$D$7,"TEL–PEL","&gt; PEL")))</f>
        <v>TEL–PEL</v>
      </c>
      <c r="E82" s="28" t="str">
        <f>IF(E6=0,"nd",IF(E6&lt;SQG!$B$8,"&lt; TEL",IF(E6&lt;=SQG!$D$8,"TEL–PEL","&gt; PEL")))</f>
        <v>TEL–PEL</v>
      </c>
      <c r="F82" s="28" t="str">
        <f>IF(F6=0,"nd",IF(F6&lt;SQG!$B$9,"&lt; TEL",IF(F6&lt;=SQG!$D$9,"TEL–PEL","&gt; PEL")))</f>
        <v>&gt; PEL</v>
      </c>
      <c r="G82" s="28" t="str">
        <f>IF(G6=0,"nd",IF(G6&lt;SQG!$B$10,"&lt; TEL",IF(G6&lt;=SQG!$D$10,"TEL–PEL","&gt; PEL")))</f>
        <v>&gt; PEL</v>
      </c>
      <c r="H82" s="28" t="str">
        <f>IF(H6=0,"nd",IF(H6&lt;SQG!$B$11,"&lt; TEL",IF(H6&lt;=SQG!$D$11,"TEL–PEL","&gt; PEL")))</f>
        <v>&lt; TEL</v>
      </c>
      <c r="I82" s="28" t="str">
        <f>IF(I6=0,"nd",IF(I6&lt;SQG!$B$12,"&lt; TEL",IF(I6&lt;=SQG!$D$12,"TEL–PEL","&gt; PEL")))</f>
        <v>&lt; TEL</v>
      </c>
      <c r="J82" s="28" t="str">
        <f>IF(J6=0,"nd",IF(J6&lt;SQG!$B$13,"&lt; TEL",IF(J6&lt;=SQG!$D$13,"TEL–PEL","&gt; PEL")))</f>
        <v>&lt; TEL</v>
      </c>
      <c r="K82" s="28" t="str">
        <f>IF(K6=0,"nd",IF(K6&lt;SQG!$B$14,"&lt; TEL",IF(K6&lt;=SQG!$D$14,"TEL–PEL","&gt; PEL")))</f>
        <v>&lt; TEL</v>
      </c>
      <c r="L82" s="28" t="str">
        <f>IF(L6=0,"nd",IF(L6&lt;SQG!$B$15,"&lt; TEL",IF(L6&lt;=SQG!$D$15,"TEL–PEL","&gt; PEL")))</f>
        <v>&lt; TEL</v>
      </c>
      <c r="M82" s="28" t="str">
        <f>IF(M6=0,"nd",IF(M6&lt;SQG!$B$16,"&lt; TEL",IF(M6&lt;=SQG!$D$16,"TEL–PEL","&gt; PEL")))</f>
        <v>&lt; TEL</v>
      </c>
      <c r="N82" s="28" t="str">
        <f>IF(N6=0,"nd",IF(N6&lt;SQG!$B$17,"&lt; TEL",IF(N6&lt;=SQG!$D$17,"TEL–PEL","&gt; PEL")))</f>
        <v>&lt; TEL</v>
      </c>
      <c r="O82" s="28" t="str">
        <f>IF(O6=0,"nd",IF(O6&lt;SQG!$B$18,"&lt; TEL",IF(O6&lt;=SQG!$D$18,"TEL–PEL","&gt; PEL")))</f>
        <v>TEL–PEL</v>
      </c>
    </row>
    <row r="83" spans="1:15" ht="15" customHeight="1" x14ac:dyDescent="0.25">
      <c r="A83" s="10" t="s">
        <v>49</v>
      </c>
      <c r="B83" s="28" t="str">
        <f>IF(B7=0,"nd",IF(B7&lt;SQG!$B$5,"&lt; TEL",IF(B7&lt;=SQG!$D$5,"TEL–PEL","&gt; PEL")))</f>
        <v>&lt; TEL</v>
      </c>
      <c r="C83" s="28" t="str">
        <f>IF(C7=0,"nd",IF(C7&lt;SQG!$B$6,"&lt; TEL",IF(C7&lt;=SQG!$D$6,"TEL–PEL","&gt; PEL")))</f>
        <v>TEL–PEL</v>
      </c>
      <c r="D83" s="28" t="str">
        <f>IF(D7=0,"nd",IF(D7&lt;SQG!$B$7,"&lt; TEL",IF(D7&lt;=SQG!$D$7,"TEL–PEL","&gt; PEL")))</f>
        <v>&lt; TEL</v>
      </c>
      <c r="E83" s="28" t="str">
        <f>IF(E7=0,"nd",IF(E7&lt;SQG!$B$8,"&lt; TEL",IF(E7&lt;=SQG!$D$8,"TEL–PEL","&gt; PEL")))</f>
        <v>&lt; TEL</v>
      </c>
      <c r="F83" s="28" t="str">
        <f>IF(F7=0,"nd",IF(F7&lt;SQG!$B$9,"&lt; TEL",IF(F7&lt;=SQG!$D$9,"TEL–PEL","&gt; PEL")))</f>
        <v>&gt; PEL</v>
      </c>
      <c r="G83" s="28" t="str">
        <f>IF(G7=0,"nd",IF(G7&lt;SQG!$B$10,"&lt; TEL",IF(G7&lt;=SQG!$D$10,"TEL–PEL","&gt; PEL")))</f>
        <v>&gt; PEL</v>
      </c>
      <c r="H83" s="28" t="str">
        <f>IF(H7=0,"nd",IF(H7&lt;SQG!$B$11,"&lt; TEL",IF(H7&lt;=SQG!$D$11,"TEL–PEL","&gt; PEL")))</f>
        <v>&lt; TEL</v>
      </c>
      <c r="I83" s="28" t="str">
        <f>IF(I7=0,"nd",IF(I7&lt;SQG!$B$12,"&lt; TEL",IF(I7&lt;=SQG!$D$12,"TEL–PEL","&gt; PEL")))</f>
        <v>&lt; TEL</v>
      </c>
      <c r="J83" s="28" t="str">
        <f>IF(J7=0,"nd",IF(J7&lt;SQG!$B$13,"&lt; TEL",IF(J7&lt;=SQG!$D$13,"TEL–PEL","&gt; PEL")))</f>
        <v>&lt; TEL</v>
      </c>
      <c r="K83" s="28" t="str">
        <f>IF(K7=0,"nd",IF(K7&lt;SQG!$B$14,"&lt; TEL",IF(K7&lt;=SQG!$D$14,"TEL–PEL","&gt; PEL")))</f>
        <v>&lt; TEL</v>
      </c>
      <c r="L83" s="28" t="str">
        <f>IF(L7=0,"nd",IF(L7&lt;SQG!$B$15,"&lt; TEL",IF(L7&lt;=SQG!$D$15,"TEL–PEL","&gt; PEL")))</f>
        <v>&lt; TEL</v>
      </c>
      <c r="M83" s="28" t="str">
        <f>IF(M7=0,"nd",IF(M7&lt;SQG!$B$16,"&lt; TEL",IF(M7&lt;=SQG!$D$16,"TEL–PEL","&gt; PEL")))</f>
        <v>&lt; TEL</v>
      </c>
      <c r="N83" s="28" t="str">
        <f>IF(N7=0,"nd",IF(N7&lt;SQG!$B$17,"&lt; TEL",IF(N7&lt;=SQG!$D$17,"TEL–PEL","&gt; PEL")))</f>
        <v>&lt; TEL</v>
      </c>
      <c r="O83" s="28" t="str">
        <f>IF(O7=0,"nd",IF(O7&lt;SQG!$B$18,"&lt; TEL",IF(O7&lt;=SQG!$D$18,"TEL–PEL","&gt; PEL")))</f>
        <v>&lt; TEL</v>
      </c>
    </row>
    <row r="84" spans="1:15" ht="15" customHeight="1" x14ac:dyDescent="0.25">
      <c r="A84" s="10" t="s">
        <v>53</v>
      </c>
      <c r="B84" s="28" t="str">
        <f>IF(B8=0,"nd",IF(B8&lt;SQG!$B$5,"&lt; TEL",IF(B8&lt;=SQG!$D$5,"TEL–PEL","&gt; PEL")))</f>
        <v>&gt; PEL</v>
      </c>
      <c r="C84" s="28" t="str">
        <f>IF(C8=0,"nd",IF(C8&lt;SQG!$B$6,"&lt; TEL",IF(C8&lt;=SQG!$D$6,"TEL–PEL","&gt; PEL")))</f>
        <v>&gt; PEL</v>
      </c>
      <c r="D84" s="28" t="str">
        <f>IF(D8=0,"nd",IF(D8&lt;SQG!$B$7,"&lt; TEL",IF(D8&lt;=SQG!$D$7,"TEL–PEL","&gt; PEL")))</f>
        <v>TEL–PEL</v>
      </c>
      <c r="E84" s="28" t="str">
        <f>IF(E8=0,"nd",IF(E8&lt;SQG!$B$8,"&lt; TEL",IF(E8&lt;=SQG!$D$8,"TEL–PEL","&gt; PEL")))</f>
        <v>&gt; PEL</v>
      </c>
      <c r="F84" s="28" t="str">
        <f>IF(F8=0,"nd",IF(F8&lt;SQG!$B$9,"&lt; TEL",IF(F8&lt;=SQG!$D$9,"TEL–PEL","&gt; PEL")))</f>
        <v>&gt; PEL</v>
      </c>
      <c r="G84" s="28" t="str">
        <f>IF(G8=0,"nd",IF(G8&lt;SQG!$B$10,"&lt; TEL",IF(G8&lt;=SQG!$D$10,"TEL–PEL","&gt; PEL")))</f>
        <v>&gt; PEL</v>
      </c>
      <c r="H84" s="28" t="str">
        <f>IF(H8=0,"nd",IF(H8&lt;SQG!$B$11,"&lt; TEL",IF(H8&lt;=SQG!$D$11,"TEL–PEL","&gt; PEL")))</f>
        <v>TEL–PEL</v>
      </c>
      <c r="I84" s="28" t="str">
        <f>IF(I8=0,"nd",IF(I8&lt;SQG!$B$12,"&lt; TEL",IF(I8&lt;=SQG!$D$12,"TEL–PEL","&gt; PEL")))</f>
        <v>TEL–PEL</v>
      </c>
      <c r="J84" s="28" t="str">
        <f>IF(J8=0,"nd",IF(J8&lt;SQG!$B$13,"&lt; TEL",IF(J8&lt;=SQG!$D$13,"TEL–PEL","&gt; PEL")))</f>
        <v>&gt; PEL</v>
      </c>
      <c r="K84" s="28" t="str">
        <f>IF(K8=0,"nd",IF(K8&lt;SQG!$B$14,"&lt; TEL",IF(K8&lt;=SQG!$D$14,"TEL–PEL","&gt; PEL")))</f>
        <v>TEL–PEL</v>
      </c>
      <c r="L84" s="28" t="str">
        <f>IF(L8=0,"nd",IF(L8&lt;SQG!$B$15,"&lt; TEL",IF(L8&lt;=SQG!$D$15,"TEL–PEL","&gt; PEL")))</f>
        <v>TEL–PEL</v>
      </c>
      <c r="M84" s="28" t="str">
        <f>IF(M8=0,"nd",IF(M8&lt;SQG!$B$16,"&lt; TEL",IF(M8&lt;=SQG!$D$16,"TEL–PEL","&gt; PEL")))</f>
        <v>&gt; PEL</v>
      </c>
      <c r="N84" s="28" t="str">
        <f>IF(N8=0,"nd",IF(N8&lt;SQG!$B$17,"&lt; TEL",IF(N8&lt;=SQG!$D$17,"TEL–PEL","&gt; PEL")))</f>
        <v>&gt; PEL</v>
      </c>
      <c r="O84" s="28" t="str">
        <f>IF(O8=0,"nd",IF(O8&lt;SQG!$B$18,"&lt; TEL",IF(O8&lt;=SQG!$D$18,"TEL–PEL","&gt; PEL")))</f>
        <v>&gt; PEL</v>
      </c>
    </row>
    <row r="85" spans="1:15" ht="15" customHeight="1" x14ac:dyDescent="0.25">
      <c r="A85" s="10" t="s">
        <v>58</v>
      </c>
      <c r="B85" s="28" t="str">
        <f>IF(B9=0,"nd",IF(B9&lt;SQG!$B$5,"&lt; TEL",IF(B9&lt;=SQG!$D$5,"TEL–PEL","&gt; PEL")))</f>
        <v>TEL–PEL</v>
      </c>
      <c r="C85" s="28" t="str">
        <f>IF(C9=0,"nd",IF(C9&lt;SQG!$B$6,"&lt; TEL",IF(C9&lt;=SQG!$D$6,"TEL–PEL","&gt; PEL")))</f>
        <v>&gt; PEL</v>
      </c>
      <c r="D85" s="28" t="str">
        <f>IF(D9=0,"nd",IF(D9&lt;SQG!$B$7,"&lt; TEL",IF(D9&lt;=SQG!$D$7,"TEL–PEL","&gt; PEL")))</f>
        <v>&lt; TEL</v>
      </c>
      <c r="E85" s="28" t="str">
        <f>IF(E9=0,"nd",IF(E9&lt;SQG!$B$8,"&lt; TEL",IF(E9&lt;=SQG!$D$8,"TEL–PEL","&gt; PEL")))</f>
        <v>TEL–PEL</v>
      </c>
      <c r="F85" s="28" t="str">
        <f>IF(F9=0,"nd",IF(F9&lt;SQG!$B$9,"&lt; TEL",IF(F9&lt;=SQG!$D$9,"TEL–PEL","&gt; PEL")))</f>
        <v>TEL–PEL</v>
      </c>
      <c r="G85" s="28" t="str">
        <f>IF(G9=0,"nd",IF(G9&lt;SQG!$B$10,"&lt; TEL",IF(G9&lt;=SQG!$D$10,"TEL–PEL","&gt; PEL")))</f>
        <v>&gt; PEL</v>
      </c>
      <c r="H85" s="28" t="str">
        <f>IF(H9=0,"nd",IF(H9&lt;SQG!$B$11,"&lt; TEL",IF(H9&lt;=SQG!$D$11,"TEL–PEL","&gt; PEL")))</f>
        <v>&lt; TEL</v>
      </c>
      <c r="I85" s="28" t="str">
        <f>IF(I9=0,"nd",IF(I9&lt;SQG!$B$12,"&lt; TEL",IF(I9&lt;=SQG!$D$12,"TEL–PEL","&gt; PEL")))</f>
        <v>TEL–PEL</v>
      </c>
      <c r="J85" s="28" t="str">
        <f>IF(J9=0,"nd",IF(J9&lt;SQG!$B$13,"&lt; TEL",IF(J9&lt;=SQG!$D$13,"TEL–PEL","&gt; PEL")))</f>
        <v>&lt; TEL</v>
      </c>
      <c r="K85" s="28" t="str">
        <f>IF(K9=0,"nd",IF(K9&lt;SQG!$B$14,"&lt; TEL",IF(K9&lt;=SQG!$D$14,"TEL–PEL","&gt; PEL")))</f>
        <v>&lt; TEL</v>
      </c>
      <c r="L85" s="28" t="str">
        <f>IF(L9=0,"nd",IF(L9&lt;SQG!$B$15,"&lt; TEL",IF(L9&lt;=SQG!$D$15,"TEL–PEL","&gt; PEL")))</f>
        <v>&lt; TEL</v>
      </c>
      <c r="M85" s="28" t="str">
        <f>IF(M9=0,"nd",IF(M9&lt;SQG!$B$16,"&lt; TEL",IF(M9&lt;=SQG!$D$16,"TEL–PEL","&gt; PEL")))</f>
        <v>TEL–PEL</v>
      </c>
      <c r="N85" s="28" t="str">
        <f>IF(N9=0,"nd",IF(N9&lt;SQG!$B$17,"&lt; TEL",IF(N9&lt;=SQG!$D$17,"TEL–PEL","&gt; PEL")))</f>
        <v>&lt; TEL</v>
      </c>
      <c r="O85" s="28" t="str">
        <f>IF(O9=0,"nd",IF(O9&lt;SQG!$B$18,"&lt; TEL",IF(O9&lt;=SQG!$D$18,"TEL–PEL","&gt; PEL")))</f>
        <v>&lt; TEL</v>
      </c>
    </row>
    <row r="86" spans="1:15" ht="15" customHeight="1" x14ac:dyDescent="0.25">
      <c r="A86" s="10" t="s">
        <v>62</v>
      </c>
      <c r="B86" s="28" t="str">
        <f>IF(B10=0,"nd",IF(B10&lt;SQG!$B$5,"&lt; TEL",IF(B10&lt;=SQG!$D$5,"TEL–PEL","&gt; PEL")))</f>
        <v>&gt; PEL</v>
      </c>
      <c r="C86" s="28" t="str">
        <f>IF(C10=0,"nd",IF(C10&lt;SQG!$B$6,"&lt; TEL",IF(C10&lt;=SQG!$D$6,"TEL–PEL","&gt; PEL")))</f>
        <v>&gt; PEL</v>
      </c>
      <c r="D86" s="28" t="str">
        <f>IF(D10=0,"nd",IF(D10&lt;SQG!$B$7,"&lt; TEL",IF(D10&lt;=SQG!$D$7,"TEL–PEL","&gt; PEL")))</f>
        <v>TEL–PEL</v>
      </c>
      <c r="E86" s="28" t="str">
        <f>IF(E10=0,"nd",IF(E10&lt;SQG!$B$8,"&lt; TEL",IF(E10&lt;=SQG!$D$8,"TEL–PEL","&gt; PEL")))</f>
        <v>&lt; TEL</v>
      </c>
      <c r="F86" s="28" t="str">
        <f>IF(F10=0,"nd",IF(F10&lt;SQG!$B$9,"&lt; TEL",IF(F10&lt;=SQG!$D$9,"TEL–PEL","&gt; PEL")))</f>
        <v>&gt; PEL</v>
      </c>
      <c r="G86" s="28" t="str">
        <f>IF(G10=0,"nd",IF(G10&lt;SQG!$B$10,"&lt; TEL",IF(G10&lt;=SQG!$D$10,"TEL–PEL","&gt; PEL")))</f>
        <v>&gt; PEL</v>
      </c>
      <c r="H86" s="28" t="str">
        <f>IF(H10=0,"nd",IF(H10&lt;SQG!$B$11,"&lt; TEL",IF(H10&lt;=SQG!$D$11,"TEL–PEL","&gt; PEL")))</f>
        <v>&lt; TEL</v>
      </c>
      <c r="I86" s="28" t="str">
        <f>IF(I10=0,"nd",IF(I10&lt;SQG!$B$12,"&lt; TEL",IF(I10&lt;=SQG!$D$12,"TEL–PEL","&gt; PEL")))</f>
        <v>TEL–PEL</v>
      </c>
      <c r="J86" s="28" t="str">
        <f>IF(J10=0,"nd",IF(J10&lt;SQG!$B$13,"&lt; TEL",IF(J10&lt;=SQG!$D$13,"TEL–PEL","&gt; PEL")))</f>
        <v>&lt; TEL</v>
      </c>
      <c r="K86" s="28" t="str">
        <f>IF(K10=0,"nd",IF(K10&lt;SQG!$B$14,"&lt; TEL",IF(K10&lt;=SQG!$D$14,"TEL–PEL","&gt; PEL")))</f>
        <v>&lt; TEL</v>
      </c>
      <c r="L86" s="28" t="str">
        <f>IF(L10=0,"nd",IF(L10&lt;SQG!$B$15,"&lt; TEL",IF(L10&lt;=SQG!$D$15,"TEL–PEL","&gt; PEL")))</f>
        <v>&lt; TEL</v>
      </c>
      <c r="M86" s="28" t="str">
        <f>IF(M10=0,"nd",IF(M10&lt;SQG!$B$16,"&lt; TEL",IF(M10&lt;=SQG!$D$16,"TEL–PEL","&gt; PEL")))</f>
        <v>&lt; TEL</v>
      </c>
      <c r="N86" s="28" t="str">
        <f>IF(N10=0,"nd",IF(N10&lt;SQG!$B$17,"&lt; TEL",IF(N10&lt;=SQG!$D$17,"TEL–PEL","&gt; PEL")))</f>
        <v>TEL–PEL</v>
      </c>
      <c r="O86" s="28" t="str">
        <f>IF(O10=0,"nd",IF(O10&lt;SQG!$B$18,"&lt; TEL",IF(O10&lt;=SQG!$D$18,"TEL–PEL","&gt; PEL")))</f>
        <v>&gt; PEL</v>
      </c>
    </row>
    <row r="87" spans="1:15" ht="15" customHeight="1" x14ac:dyDescent="0.25">
      <c r="A87" s="10" t="s">
        <v>66</v>
      </c>
      <c r="B87" s="28" t="str">
        <f>IF(B11=0,"nd",IF(B11&lt;SQG!$B$5,"&lt; TEL",IF(B11&lt;=SQG!$D$5,"TEL–PEL","&gt; PEL")))</f>
        <v>&gt; PEL</v>
      </c>
      <c r="C87" s="28" t="str">
        <f>IF(C11=0,"nd",IF(C11&lt;SQG!$B$6,"&lt; TEL",IF(C11&lt;=SQG!$D$6,"TEL–PEL","&gt; PEL")))</f>
        <v>&gt; PEL</v>
      </c>
      <c r="D87" s="28" t="str">
        <f>IF(D11=0,"nd",IF(D11&lt;SQG!$B$7,"&lt; TEL",IF(D11&lt;=SQG!$D$7,"TEL–PEL","&gt; PEL")))</f>
        <v>TEL–PEL</v>
      </c>
      <c r="E87" s="28" t="str">
        <f>IF(E11=0,"nd",IF(E11&lt;SQG!$B$8,"&lt; TEL",IF(E11&lt;=SQG!$D$8,"TEL–PEL","&gt; PEL")))</f>
        <v>TEL–PEL</v>
      </c>
      <c r="F87" s="28" t="str">
        <f>IF(F11=0,"nd",IF(F11&lt;SQG!$B$9,"&lt; TEL",IF(F11&lt;=SQG!$D$9,"TEL–PEL","&gt; PEL")))</f>
        <v>&gt; PEL</v>
      </c>
      <c r="G87" s="28" t="str">
        <f>IF(G11=0,"nd",IF(G11&lt;SQG!$B$10,"&lt; TEL",IF(G11&lt;=SQG!$D$10,"TEL–PEL","&gt; PEL")))</f>
        <v>&gt; PEL</v>
      </c>
      <c r="H87" s="28" t="str">
        <f>IF(H11=0,"nd",IF(H11&lt;SQG!$B$11,"&lt; TEL",IF(H11&lt;=SQG!$D$11,"TEL–PEL","&gt; PEL")))</f>
        <v>&lt; TEL</v>
      </c>
      <c r="I87" s="28" t="str">
        <f>IF(I11=0,"nd",IF(I11&lt;SQG!$B$12,"&lt; TEL",IF(I11&lt;=SQG!$D$12,"TEL–PEL","&gt; PEL")))</f>
        <v>TEL–PEL</v>
      </c>
      <c r="J87" s="28" t="str">
        <f>IF(J11=0,"nd",IF(J11&lt;SQG!$B$13,"&lt; TEL",IF(J11&lt;=SQG!$D$13,"TEL–PEL","&gt; PEL")))</f>
        <v>&lt; TEL</v>
      </c>
      <c r="K87" s="28" t="str">
        <f>IF(K11=0,"nd",IF(K11&lt;SQG!$B$14,"&lt; TEL",IF(K11&lt;=SQG!$D$14,"TEL–PEL","&gt; PEL")))</f>
        <v>TEL–PEL</v>
      </c>
      <c r="L87" s="28" t="str">
        <f>IF(L11=0,"nd",IF(L11&lt;SQG!$B$15,"&lt; TEL",IF(L11&lt;=SQG!$D$15,"TEL–PEL","&gt; PEL")))</f>
        <v>&lt; TEL</v>
      </c>
      <c r="M87" s="28" t="str">
        <f>IF(M11=0,"nd",IF(M11&lt;SQG!$B$16,"&lt; TEL",IF(M11&lt;=SQG!$D$16,"TEL–PEL","&gt; PEL")))</f>
        <v>&lt; TEL</v>
      </c>
      <c r="N87" s="28" t="str">
        <f>IF(N11=0,"nd",IF(N11&lt;SQG!$B$17,"&lt; TEL",IF(N11&lt;=SQG!$D$17,"TEL–PEL","&gt; PEL")))</f>
        <v>TEL–PEL</v>
      </c>
      <c r="O87" s="28" t="str">
        <f>IF(O11=0,"nd",IF(O11&lt;SQG!$B$18,"&lt; TEL",IF(O11&lt;=SQG!$D$18,"TEL–PEL","&gt; PEL")))</f>
        <v>&gt; PEL</v>
      </c>
    </row>
    <row r="88" spans="1:15" ht="15" customHeight="1" x14ac:dyDescent="0.25">
      <c r="A88" s="10" t="s">
        <v>71</v>
      </c>
      <c r="B88" s="28" t="str">
        <f>IF(B12=0,"nd",IF(B12&lt;SQG!$B$5,"&lt; TEL",IF(B12&lt;=SQG!$D$5,"TEL–PEL","&gt; PEL")))</f>
        <v>&gt; PEL</v>
      </c>
      <c r="C88" s="28" t="str">
        <f>IF(C12=0,"nd",IF(C12&lt;SQG!$B$6,"&lt; TEL",IF(C12&lt;=SQG!$D$6,"TEL–PEL","&gt; PEL")))</f>
        <v>&gt; PEL</v>
      </c>
      <c r="D88" s="28" t="str">
        <f>IF(D12=0,"nd",IF(D12&lt;SQG!$B$7,"&lt; TEL",IF(D12&lt;=SQG!$D$7,"TEL–PEL","&gt; PEL")))</f>
        <v>&lt; TEL</v>
      </c>
      <c r="E88" s="28" t="str">
        <f>IF(E12=0,"nd",IF(E12&lt;SQG!$B$8,"&lt; TEL",IF(E12&lt;=SQG!$D$8,"TEL–PEL","&gt; PEL")))</f>
        <v>TEL–PEL</v>
      </c>
      <c r="F88" s="28" t="str">
        <f>IF(F12=0,"nd",IF(F12&lt;SQG!$B$9,"&lt; TEL",IF(F12&lt;=SQG!$D$9,"TEL–PEL","&gt; PEL")))</f>
        <v>&gt; PEL</v>
      </c>
      <c r="G88" s="28" t="str">
        <f>IF(G12=0,"nd",IF(G12&lt;SQG!$B$10,"&lt; TEL",IF(G12&lt;=SQG!$D$10,"TEL–PEL","&gt; PEL")))</f>
        <v>&gt; PEL</v>
      </c>
      <c r="H88" s="28" t="str">
        <f>IF(H12=0,"nd",IF(H12&lt;SQG!$B$11,"&lt; TEL",IF(H12&lt;=SQG!$D$11,"TEL–PEL","&gt; PEL")))</f>
        <v>TEL–PEL</v>
      </c>
      <c r="I88" s="28" t="str">
        <f>IF(I12=0,"nd",IF(I12&lt;SQG!$B$12,"&lt; TEL",IF(I12&lt;=SQG!$D$12,"TEL–PEL","&gt; PEL")))</f>
        <v>TEL–PEL</v>
      </c>
      <c r="J88" s="28" t="str">
        <f>IF(J12=0,"nd",IF(J12&lt;SQG!$B$13,"&lt; TEL",IF(J12&lt;=SQG!$D$13,"TEL–PEL","&gt; PEL")))</f>
        <v>&gt; PEL</v>
      </c>
      <c r="K88" s="28" t="str">
        <f>IF(K12=0,"nd",IF(K12&lt;SQG!$B$14,"&lt; TEL",IF(K12&lt;=SQG!$D$14,"TEL–PEL","&gt; PEL")))</f>
        <v>TEL–PEL</v>
      </c>
      <c r="L88" s="28" t="str">
        <f>IF(L12=0,"nd",IF(L12&lt;SQG!$B$15,"&lt; TEL",IF(L12&lt;=SQG!$D$15,"TEL–PEL","&gt; PEL")))</f>
        <v>&lt; TEL</v>
      </c>
      <c r="M88" s="28" t="str">
        <f>IF(M12=0,"nd",IF(M12&lt;SQG!$B$16,"&lt; TEL",IF(M12&lt;=SQG!$D$16,"TEL–PEL","&gt; PEL")))</f>
        <v>TEL–PEL</v>
      </c>
      <c r="N88" s="28" t="str">
        <f>IF(N12=0,"nd",IF(N12&lt;SQG!$B$17,"&lt; TEL",IF(N12&lt;=SQG!$D$17,"TEL–PEL","&gt; PEL")))</f>
        <v>&lt; TEL</v>
      </c>
      <c r="O88" s="28" t="str">
        <f>IF(O12=0,"nd",IF(O12&lt;SQG!$B$18,"&lt; TEL",IF(O12&lt;=SQG!$D$18,"TEL–PEL","&gt; PEL")))</f>
        <v>&gt; PEL</v>
      </c>
    </row>
    <row r="89" spans="1:15" ht="15" customHeight="1" x14ac:dyDescent="0.25">
      <c r="A89" s="10" t="s">
        <v>75</v>
      </c>
      <c r="B89" s="28" t="str">
        <f>IF(B13=0,"nd",IF(B13&lt;SQG!$B$5,"&lt; TEL",IF(B13&lt;=SQG!$D$5,"TEL–PEL","&gt; PEL")))</f>
        <v>&gt; PEL</v>
      </c>
      <c r="C89" s="28" t="str">
        <f>IF(C13=0,"nd",IF(C13&lt;SQG!$B$6,"&lt; TEL",IF(C13&lt;=SQG!$D$6,"TEL–PEL","&gt; PEL")))</f>
        <v>&gt; PEL</v>
      </c>
      <c r="D89" s="28" t="str">
        <f>IF(D13=0,"nd",IF(D13&lt;SQG!$B$7,"&lt; TEL",IF(D13&lt;=SQG!$D$7,"TEL–PEL","&gt; PEL")))</f>
        <v>&gt; PEL</v>
      </c>
      <c r="E89" s="28" t="str">
        <f>IF(E13=0,"nd",IF(E13&lt;SQG!$B$8,"&lt; TEL",IF(E13&lt;=SQG!$D$8,"TEL–PEL","&gt; PEL")))</f>
        <v>TEL–PEL</v>
      </c>
      <c r="F89" s="28" t="str">
        <f>IF(F13=0,"nd",IF(F13&lt;SQG!$B$9,"&lt; TEL",IF(F13&lt;=SQG!$D$9,"TEL–PEL","&gt; PEL")))</f>
        <v>&gt; PEL</v>
      </c>
      <c r="G89" s="28" t="str">
        <f>IF(G13=0,"nd",IF(G13&lt;SQG!$B$10,"&lt; TEL",IF(G13&lt;=SQG!$D$10,"TEL–PEL","&gt; PEL")))</f>
        <v>&gt; PEL</v>
      </c>
      <c r="H89" s="28" t="str">
        <f>IF(H13=0,"nd",IF(H13&lt;SQG!$B$11,"&lt; TEL",IF(H13&lt;=SQG!$D$11,"TEL–PEL","&gt; PEL")))</f>
        <v>&lt; TEL</v>
      </c>
      <c r="I89" s="28" t="str">
        <f>IF(I13=0,"nd",IF(I13&lt;SQG!$B$12,"&lt; TEL",IF(I13&lt;=SQG!$D$12,"TEL–PEL","&gt; PEL")))</f>
        <v>TEL–PEL</v>
      </c>
      <c r="J89" s="28" t="str">
        <f>IF(J13=0,"nd",IF(J13&lt;SQG!$B$13,"&lt; TEL",IF(J13&lt;=SQG!$D$13,"TEL–PEL","&gt; PEL")))</f>
        <v>&gt; PEL</v>
      </c>
      <c r="K89" s="28" t="str">
        <f>IF(K13=0,"nd",IF(K13&lt;SQG!$B$14,"&lt; TEL",IF(K13&lt;=SQG!$D$14,"TEL–PEL","&gt; PEL")))</f>
        <v>TEL–PEL</v>
      </c>
      <c r="L89" s="28" t="str">
        <f>IF(L13=0,"nd",IF(L13&lt;SQG!$B$15,"&lt; TEL",IF(L13&lt;=SQG!$D$15,"TEL–PEL","&gt; PEL")))</f>
        <v>TEL–PEL</v>
      </c>
      <c r="M89" s="28" t="str">
        <f>IF(M13=0,"nd",IF(M13&lt;SQG!$B$16,"&lt; TEL",IF(M13&lt;=SQG!$D$16,"TEL–PEL","&gt; PEL")))</f>
        <v>TEL–PEL</v>
      </c>
      <c r="N89" s="28" t="str">
        <f>IF(N13=0,"nd",IF(N13&lt;SQG!$B$17,"&lt; TEL",IF(N13&lt;=SQG!$D$17,"TEL–PEL","&gt; PEL")))</f>
        <v>&gt; PEL</v>
      </c>
      <c r="O89" s="28" t="str">
        <f>IF(O13=0,"nd",IF(O13&lt;SQG!$B$18,"&lt; TEL",IF(O13&lt;=SQG!$D$18,"TEL–PEL","&gt; PEL")))</f>
        <v>&gt; PEL</v>
      </c>
    </row>
    <row r="90" spans="1:15" ht="15" customHeight="1" x14ac:dyDescent="0.25">
      <c r="A90" s="10" t="s">
        <v>79</v>
      </c>
      <c r="B90" s="28" t="str">
        <f>IF(B14=0,"nd",IF(B14&lt;SQG!$B$5,"&lt; TEL",IF(B14&lt;=SQG!$D$5,"TEL–PEL","&gt; PEL")))</f>
        <v>&gt; PEL</v>
      </c>
      <c r="C90" s="28" t="str">
        <f>IF(C14=0,"nd",IF(C14&lt;SQG!$B$6,"&lt; TEL",IF(C14&lt;=SQG!$D$6,"TEL–PEL","&gt; PEL")))</f>
        <v>&gt; PEL</v>
      </c>
      <c r="D90" s="28" t="str">
        <f>IF(D14=0,"nd",IF(D14&lt;SQG!$B$7,"&lt; TEL",IF(D14&lt;=SQG!$D$7,"TEL–PEL","&gt; PEL")))</f>
        <v>TEL–PEL</v>
      </c>
      <c r="E90" s="28" t="str">
        <f>IF(E14=0,"nd",IF(E14&lt;SQG!$B$8,"&lt; TEL",IF(E14&lt;=SQG!$D$8,"TEL–PEL","&gt; PEL")))</f>
        <v>&gt; PEL</v>
      </c>
      <c r="F90" s="28" t="str">
        <f>IF(F14=0,"nd",IF(F14&lt;SQG!$B$9,"&lt; TEL",IF(F14&lt;=SQG!$D$9,"TEL–PEL","&gt; PEL")))</f>
        <v>&gt; PEL</v>
      </c>
      <c r="G90" s="28" t="str">
        <f>IF(G14=0,"nd",IF(G14&lt;SQG!$B$10,"&lt; TEL",IF(G14&lt;=SQG!$D$10,"TEL–PEL","&gt; PEL")))</f>
        <v>&gt; PEL</v>
      </c>
      <c r="H90" s="28" t="str">
        <f>IF(H14=0,"nd",IF(H14&lt;SQG!$B$11,"&lt; TEL",IF(H14&lt;=SQG!$D$11,"TEL–PEL","&gt; PEL")))</f>
        <v>TEL–PEL</v>
      </c>
      <c r="I90" s="28" t="str">
        <f>IF(I14=0,"nd",IF(I14&lt;SQG!$B$12,"&lt; TEL",IF(I14&lt;=SQG!$D$12,"TEL–PEL","&gt; PEL")))</f>
        <v>TEL–PEL</v>
      </c>
      <c r="J90" s="28" t="str">
        <f>IF(J14=0,"nd",IF(J14&lt;SQG!$B$13,"&lt; TEL",IF(J14&lt;=SQG!$D$13,"TEL–PEL","&gt; PEL")))</f>
        <v>&gt; PEL</v>
      </c>
      <c r="K90" s="28" t="str">
        <f>IF(K14=0,"nd",IF(K14&lt;SQG!$B$14,"&lt; TEL",IF(K14&lt;=SQG!$D$14,"TEL–PEL","&gt; PEL")))</f>
        <v>TEL–PEL</v>
      </c>
      <c r="L90" s="28" t="str">
        <f>IF(L14=0,"nd",IF(L14&lt;SQG!$B$15,"&lt; TEL",IF(L14&lt;=SQG!$D$15,"TEL–PEL","&gt; PEL")))</f>
        <v>TEL–PEL</v>
      </c>
      <c r="M90" s="28" t="str">
        <f>IF(M14=0,"nd",IF(M14&lt;SQG!$B$16,"&lt; TEL",IF(M14&lt;=SQG!$D$16,"TEL–PEL","&gt; PEL")))</f>
        <v>TEL–PEL</v>
      </c>
      <c r="N90" s="28" t="str">
        <f>IF(N14=0,"nd",IF(N14&lt;SQG!$B$17,"&lt; TEL",IF(N14&lt;=SQG!$D$17,"TEL–PEL","&gt; PEL")))</f>
        <v>&gt; PEL</v>
      </c>
      <c r="O90" s="28" t="str">
        <f>IF(O14=0,"nd",IF(O14&lt;SQG!$B$18,"&lt; TEL",IF(O14&lt;=SQG!$D$18,"TEL–PEL","&gt; PEL")))</f>
        <v>&gt; PEL</v>
      </c>
    </row>
    <row r="91" spans="1:15" ht="15" customHeight="1" x14ac:dyDescent="0.25">
      <c r="A91" s="10" t="s">
        <v>83</v>
      </c>
      <c r="B91" s="28" t="str">
        <f>IF(B15=0,"nd",IF(B15&lt;SQG!$B$5,"&lt; TEL",IF(B15&lt;=SQG!$D$5,"TEL–PEL","&gt; PEL")))</f>
        <v>&gt; PEL</v>
      </c>
      <c r="C91" s="28" t="str">
        <f>IF(C15=0,"nd",IF(C15&lt;SQG!$B$6,"&lt; TEL",IF(C15&lt;=SQG!$D$6,"TEL–PEL","&gt; PEL")))</f>
        <v>&gt; PEL</v>
      </c>
      <c r="D91" s="28" t="str">
        <f>IF(D15=0,"nd",IF(D15&lt;SQG!$B$7,"&lt; TEL",IF(D15&lt;=SQG!$D$7,"TEL–PEL","&gt; PEL")))</f>
        <v>&gt; PEL</v>
      </c>
      <c r="E91" s="28" t="str">
        <f>IF(E15=0,"nd",IF(E15&lt;SQG!$B$8,"&lt; TEL",IF(E15&lt;=SQG!$D$8,"TEL–PEL","&gt; PEL")))</f>
        <v>TEL–PEL</v>
      </c>
      <c r="F91" s="28" t="str">
        <f>IF(F15=0,"nd",IF(F15&lt;SQG!$B$9,"&lt; TEL",IF(F15&lt;=SQG!$D$9,"TEL–PEL","&gt; PEL")))</f>
        <v>&gt; PEL</v>
      </c>
      <c r="G91" s="28" t="str">
        <f>IF(G15=0,"nd",IF(G15&lt;SQG!$B$10,"&lt; TEL",IF(G15&lt;=SQG!$D$10,"TEL–PEL","&gt; PEL")))</f>
        <v>&gt; PEL</v>
      </c>
      <c r="H91" s="28" t="str">
        <f>IF(H15=0,"nd",IF(H15&lt;SQG!$B$11,"&lt; TEL",IF(H15&lt;=SQG!$D$11,"TEL–PEL","&gt; PEL")))</f>
        <v>TEL–PEL</v>
      </c>
      <c r="I91" s="28" t="str">
        <f>IF(I15=0,"nd",IF(I15&lt;SQG!$B$12,"&lt; TEL",IF(I15&lt;=SQG!$D$12,"TEL–PEL","&gt; PEL")))</f>
        <v>TEL–PEL</v>
      </c>
      <c r="J91" s="28" t="str">
        <f>IF(J15=0,"nd",IF(J15&lt;SQG!$B$13,"&lt; TEL",IF(J15&lt;=SQG!$D$13,"TEL–PEL","&gt; PEL")))</f>
        <v>&gt; PEL</v>
      </c>
      <c r="K91" s="28" t="str">
        <f>IF(K15=0,"nd",IF(K15&lt;SQG!$B$14,"&lt; TEL",IF(K15&lt;=SQG!$D$14,"TEL–PEL","&gt; PEL")))</f>
        <v>TEL–PEL</v>
      </c>
      <c r="L91" s="28" t="str">
        <f>IF(L15=0,"nd",IF(L15&lt;SQG!$B$15,"&lt; TEL",IF(L15&lt;=SQG!$D$15,"TEL–PEL","&gt; PEL")))</f>
        <v>TEL–PEL</v>
      </c>
      <c r="M91" s="28" t="str">
        <f>IF(M15=0,"nd",IF(M15&lt;SQG!$B$16,"&lt; TEL",IF(M15&lt;=SQG!$D$16,"TEL–PEL","&gt; PEL")))</f>
        <v>&gt; PEL</v>
      </c>
      <c r="N91" s="28" t="str">
        <f>IF(N15=0,"nd",IF(N15&lt;SQG!$B$17,"&lt; TEL",IF(N15&lt;=SQG!$D$17,"TEL–PEL","&gt; PEL")))</f>
        <v>&gt; PEL</v>
      </c>
      <c r="O91" s="28" t="str">
        <f>IF(O15=0,"nd",IF(O15&lt;SQG!$B$18,"&lt; TEL",IF(O15&lt;=SQG!$D$18,"TEL–PEL","&gt; PEL")))</f>
        <v>&gt; PEL</v>
      </c>
    </row>
    <row r="92" spans="1:15" ht="15" customHeight="1" x14ac:dyDescent="0.25">
      <c r="A92" s="10" t="s">
        <v>87</v>
      </c>
      <c r="B92" s="28" t="str">
        <f>IF(B16=0,"nd",IF(B16&lt;SQG!$B$5,"&lt; TEL",IF(B16&lt;=SQG!$D$5,"TEL–PEL","&gt; PEL")))</f>
        <v>&gt; PEL</v>
      </c>
      <c r="C92" s="28" t="str">
        <f>IF(C16=0,"nd",IF(C16&lt;SQG!$B$6,"&lt; TEL",IF(C16&lt;=SQG!$D$6,"TEL–PEL","&gt; PEL")))</f>
        <v>&gt; PEL</v>
      </c>
      <c r="D92" s="28" t="str">
        <f>IF(D16=0,"nd",IF(D16&lt;SQG!$B$7,"&lt; TEL",IF(D16&lt;=SQG!$D$7,"TEL–PEL","&gt; PEL")))</f>
        <v>&gt; PEL</v>
      </c>
      <c r="E92" s="28" t="str">
        <f>IF(E16=0,"nd",IF(E16&lt;SQG!$B$8,"&lt; TEL",IF(E16&lt;=SQG!$D$8,"TEL–PEL","&gt; PEL")))</f>
        <v>&gt; PEL</v>
      </c>
      <c r="F92" s="28" t="str">
        <f>IF(F16=0,"nd",IF(F16&lt;SQG!$B$9,"&lt; TEL",IF(F16&lt;=SQG!$D$9,"TEL–PEL","&gt; PEL")))</f>
        <v>&gt; PEL</v>
      </c>
      <c r="G92" s="28" t="str">
        <f>IF(G16=0,"nd",IF(G16&lt;SQG!$B$10,"&lt; TEL",IF(G16&lt;=SQG!$D$10,"TEL–PEL","&gt; PEL")))</f>
        <v>&gt; PEL</v>
      </c>
      <c r="H92" s="28" t="str">
        <f>IF(H16=0,"nd",IF(H16&lt;SQG!$B$11,"&lt; TEL",IF(H16&lt;=SQG!$D$11,"TEL–PEL","&gt; PEL")))</f>
        <v>TEL–PEL</v>
      </c>
      <c r="I92" s="28" t="str">
        <f>IF(I16=0,"nd",IF(I16&lt;SQG!$B$12,"&lt; TEL",IF(I16&lt;=SQG!$D$12,"TEL–PEL","&gt; PEL")))</f>
        <v>TEL–PEL</v>
      </c>
      <c r="J92" s="28" t="str">
        <f>IF(J16=0,"nd",IF(J16&lt;SQG!$B$13,"&lt; TEL",IF(J16&lt;=SQG!$D$13,"TEL–PEL","&gt; PEL")))</f>
        <v>&gt; PEL</v>
      </c>
      <c r="K92" s="28" t="str">
        <f>IF(K16=0,"nd",IF(K16&lt;SQG!$B$14,"&lt; TEL",IF(K16&lt;=SQG!$D$14,"TEL–PEL","&gt; PEL")))</f>
        <v>TEL–PEL</v>
      </c>
      <c r="L92" s="28" t="str">
        <f>IF(L16=0,"nd",IF(L16&lt;SQG!$B$15,"&lt; TEL",IF(L16&lt;=SQG!$D$15,"TEL–PEL","&gt; PEL")))</f>
        <v>TEL–PEL</v>
      </c>
      <c r="M92" s="28" t="str">
        <f>IF(M16=0,"nd",IF(M16&lt;SQG!$B$16,"&lt; TEL",IF(M16&lt;=SQG!$D$16,"TEL–PEL","&gt; PEL")))</f>
        <v>&gt; PEL</v>
      </c>
      <c r="N92" s="28" t="str">
        <f>IF(N16=0,"nd",IF(N16&lt;SQG!$B$17,"&lt; TEL",IF(N16&lt;=SQG!$D$17,"TEL–PEL","&gt; PEL")))</f>
        <v>&gt; PEL</v>
      </c>
      <c r="O92" s="28" t="str">
        <f>IF(O16=0,"nd",IF(O16&lt;SQG!$B$18,"&lt; TEL",IF(O16&lt;=SQG!$D$18,"TEL–PEL","&gt; PEL")))</f>
        <v>&gt; PEL</v>
      </c>
    </row>
    <row r="93" spans="1:15" ht="15" customHeight="1" x14ac:dyDescent="0.25">
      <c r="A93" s="17" t="s">
        <v>44</v>
      </c>
      <c r="B93" s="28" t="str">
        <f>IF(B17=0,"nd",IF(B17&lt;SQG!$B$5,"&lt; TEL",IF(B17&lt;=SQG!$D$5,"TEL–PEL","&gt; PEL")))</f>
        <v>TEL–PEL</v>
      </c>
      <c r="C93" s="28" t="str">
        <f>IF(C17=0,"nd",IF(C17&lt;SQG!$B$6,"&lt; TEL",IF(C17&lt;=SQG!$D$6,"TEL–PEL","&gt; PEL")))</f>
        <v>&gt; PEL</v>
      </c>
      <c r="D93" s="28" t="str">
        <f>IF(D17=0,"nd",IF(D17&lt;SQG!$B$7,"&lt; TEL",IF(D17&lt;=SQG!$D$7,"TEL–PEL","&gt; PEL")))</f>
        <v>TEL–PEL</v>
      </c>
      <c r="E93" s="28" t="str">
        <f>IF(E17=0,"nd",IF(E17&lt;SQG!$B$8,"&lt; TEL",IF(E17&lt;=SQG!$D$8,"TEL–PEL","&gt; PEL")))</f>
        <v>TEL–PEL</v>
      </c>
      <c r="F93" s="28" t="str">
        <f>IF(F17=0,"nd",IF(F17&lt;SQG!$B$9,"&lt; TEL",IF(F17&lt;=SQG!$D$9,"TEL–PEL","&gt; PEL")))</f>
        <v>&gt; PEL</v>
      </c>
      <c r="G93" s="28" t="str">
        <f>IF(G17=0,"nd",IF(G17&lt;SQG!$B$10,"&lt; TEL",IF(G17&lt;=SQG!$D$10,"TEL–PEL","&gt; PEL")))</f>
        <v>&gt; PEL</v>
      </c>
      <c r="H93" s="28" t="str">
        <f>IF(H17=0,"nd",IF(H17&lt;SQG!$B$11,"&lt; TEL",IF(H17&lt;=SQG!$D$11,"TEL–PEL","&gt; PEL")))</f>
        <v>&lt; TEL</v>
      </c>
      <c r="I93" s="28" t="str">
        <f>IF(I17=0,"nd",IF(I17&lt;SQG!$B$12,"&lt; TEL",IF(I17&lt;=SQG!$D$12,"TEL–PEL","&gt; PEL")))</f>
        <v>TEL–PEL</v>
      </c>
      <c r="J93" s="28" t="str">
        <f>IF(J17=0,"nd",IF(J17&lt;SQG!$B$13,"&lt; TEL",IF(J17&lt;=SQG!$D$13,"TEL–PEL","&gt; PEL")))</f>
        <v>&gt; PEL</v>
      </c>
      <c r="K93" s="28" t="str">
        <f>IF(K17=0,"nd",IF(K17&lt;SQG!$B$14,"&lt; TEL",IF(K17&lt;=SQG!$D$14,"TEL–PEL","&gt; PEL")))</f>
        <v>&lt; TEL</v>
      </c>
      <c r="L93" s="28" t="str">
        <f>IF(L17=0,"nd",IF(L17&lt;SQG!$B$15,"&lt; TEL",IF(L17&lt;=SQG!$D$15,"TEL–PEL","&gt; PEL")))</f>
        <v>&lt; TEL</v>
      </c>
      <c r="M93" s="28" t="str">
        <f>IF(M17=0,"nd",IF(M17&lt;SQG!$B$16,"&lt; TEL",IF(M17&lt;=SQG!$D$16,"TEL–PEL","&gt; PEL")))</f>
        <v>TEL–PEL</v>
      </c>
      <c r="N93" s="28" t="str">
        <f>IF(N17=0,"nd",IF(N17&lt;SQG!$B$17,"&lt; TEL",IF(N17&lt;=SQG!$D$17,"TEL–PEL","&gt; PEL")))</f>
        <v>TEL–PEL</v>
      </c>
      <c r="O93" s="28" t="str">
        <f>IF(O17=0,"nd",IF(O17&lt;SQG!$B$18,"&lt; TEL",IF(O17&lt;=SQG!$D$18,"TEL–PEL","&gt; PEL")))</f>
        <v>&gt; PEL</v>
      </c>
    </row>
    <row r="94" spans="1:15" ht="15" customHeight="1" x14ac:dyDescent="0.25">
      <c r="A94" s="17" t="s">
        <v>57</v>
      </c>
      <c r="B94" s="28" t="str">
        <f>IF(B18=0,"nd",IF(B18&lt;SQG!$B$5,"&lt; TEL",IF(B18&lt;=SQG!$D$5,"TEL–PEL","&gt; PEL")))</f>
        <v>&gt; PEL</v>
      </c>
      <c r="C94" s="28" t="str">
        <f>IF(C18=0,"nd",IF(C18&lt;SQG!$B$6,"&lt; TEL",IF(C18&lt;=SQG!$D$6,"TEL–PEL","&gt; PEL")))</f>
        <v>&gt; PEL</v>
      </c>
      <c r="D94" s="28" t="str">
        <f>IF(D18=0,"nd",IF(D18&lt;SQG!$B$7,"&lt; TEL",IF(D18&lt;=SQG!$D$7,"TEL–PEL","&gt; PEL")))</f>
        <v>TEL–PEL</v>
      </c>
      <c r="E94" s="28" t="str">
        <f>IF(E18=0,"nd",IF(E18&lt;SQG!$B$8,"&lt; TEL",IF(E18&lt;=SQG!$D$8,"TEL–PEL","&gt; PEL")))</f>
        <v>TEL–PEL</v>
      </c>
      <c r="F94" s="28" t="str">
        <f>IF(F18=0,"nd",IF(F18&lt;SQG!$B$9,"&lt; TEL",IF(F18&lt;=SQG!$D$9,"TEL–PEL","&gt; PEL")))</f>
        <v>&gt; PEL</v>
      </c>
      <c r="G94" s="28" t="str">
        <f>IF(G18=0,"nd",IF(G18&lt;SQG!$B$10,"&lt; TEL",IF(G18&lt;=SQG!$D$10,"TEL–PEL","&gt; PEL")))</f>
        <v>&gt; PEL</v>
      </c>
      <c r="H94" s="28" t="str">
        <f>IF(H18=0,"nd",IF(H18&lt;SQG!$B$11,"&lt; TEL",IF(H18&lt;=SQG!$D$11,"TEL–PEL","&gt; PEL")))</f>
        <v>&lt; TEL</v>
      </c>
      <c r="I94" s="28" t="str">
        <f>IF(I18=0,"nd",IF(I18&lt;SQG!$B$12,"&lt; TEL",IF(I18&lt;=SQG!$D$12,"TEL–PEL","&gt; PEL")))</f>
        <v>TEL–PEL</v>
      </c>
      <c r="J94" s="28" t="str">
        <f>IF(J18=0,"nd",IF(J18&lt;SQG!$B$13,"&lt; TEL",IF(J18&lt;=SQG!$D$13,"TEL–PEL","&gt; PEL")))</f>
        <v>&lt; TEL</v>
      </c>
      <c r="K94" s="28" t="str">
        <f>IF(K18=0,"nd",IF(K18&lt;SQG!$B$14,"&lt; TEL",IF(K18&lt;=SQG!$D$14,"TEL–PEL","&gt; PEL")))</f>
        <v>&lt; TEL</v>
      </c>
      <c r="L94" s="28" t="str">
        <f>IF(L18=0,"nd",IF(L18&lt;SQG!$B$15,"&lt; TEL",IF(L18&lt;=SQG!$D$15,"TEL–PEL","&gt; PEL")))</f>
        <v>&lt; TEL</v>
      </c>
      <c r="M94" s="28" t="str">
        <f>IF(M18=0,"nd",IF(M18&lt;SQG!$B$16,"&lt; TEL",IF(M18&lt;=SQG!$D$16,"TEL–PEL","&gt; PEL")))</f>
        <v>&lt; TEL</v>
      </c>
      <c r="N94" s="28" t="str">
        <f>IF(N18=0,"nd",IF(N18&lt;SQG!$B$17,"&lt; TEL",IF(N18&lt;=SQG!$D$17,"TEL–PEL","&gt; PEL")))</f>
        <v>TEL–PEL</v>
      </c>
      <c r="O94" s="28" t="str">
        <f>IF(O18=0,"nd",IF(O18&lt;SQG!$B$18,"&lt; TEL",IF(O18&lt;=SQG!$D$18,"TEL–PEL","&gt; PEL")))</f>
        <v>TEL–PEL</v>
      </c>
    </row>
    <row r="95" spans="1:15" ht="15" customHeight="1" x14ac:dyDescent="0.25">
      <c r="A95" s="17" t="s">
        <v>70</v>
      </c>
      <c r="B95" s="28" t="str">
        <f>IF(B19=0,"nd",IF(B19&lt;SQG!$B$5,"&lt; TEL",IF(B19&lt;=SQG!$D$5,"TEL–PEL","&gt; PEL")))</f>
        <v>&gt; PEL</v>
      </c>
      <c r="C95" s="28" t="str">
        <f>IF(C19=0,"nd",IF(C19&lt;SQG!$B$6,"&lt; TEL",IF(C19&lt;=SQG!$D$6,"TEL–PEL","&gt; PEL")))</f>
        <v>&gt; PEL</v>
      </c>
      <c r="D95" s="28" t="str">
        <f>IF(D19=0,"nd",IF(D19&lt;SQG!$B$7,"&lt; TEL",IF(D19&lt;=SQG!$D$7,"TEL–PEL","&gt; PEL")))</f>
        <v>TEL–PEL</v>
      </c>
      <c r="E95" s="28" t="str">
        <f>IF(E19=0,"nd",IF(E19&lt;SQG!$B$8,"&lt; TEL",IF(E19&lt;=SQG!$D$8,"TEL–PEL","&gt; PEL")))</f>
        <v>TEL–PEL</v>
      </c>
      <c r="F95" s="28" t="str">
        <f>IF(F19=0,"nd",IF(F19&lt;SQG!$B$9,"&lt; TEL",IF(F19&lt;=SQG!$D$9,"TEL–PEL","&gt; PEL")))</f>
        <v>&gt; PEL</v>
      </c>
      <c r="G95" s="28" t="str">
        <f>IF(G19=0,"nd",IF(G19&lt;SQG!$B$10,"&lt; TEL",IF(G19&lt;=SQG!$D$10,"TEL–PEL","&gt; PEL")))</f>
        <v>&gt; PEL</v>
      </c>
      <c r="H95" s="28" t="str">
        <f>IF(H19=0,"nd",IF(H19&lt;SQG!$B$11,"&lt; TEL",IF(H19&lt;=SQG!$D$11,"TEL–PEL","&gt; PEL")))</f>
        <v>TEL–PEL</v>
      </c>
      <c r="I95" s="28" t="str">
        <f>IF(I19=0,"nd",IF(I19&lt;SQG!$B$12,"&lt; TEL",IF(I19&lt;=SQG!$D$12,"TEL–PEL","&gt; PEL")))</f>
        <v>TEL–PEL</v>
      </c>
      <c r="J95" s="28" t="str">
        <f>IF(J19=0,"nd",IF(J19&lt;SQG!$B$13,"&lt; TEL",IF(J19&lt;=SQG!$D$13,"TEL–PEL","&gt; PEL")))</f>
        <v>&gt; PEL</v>
      </c>
      <c r="K95" s="28" t="str">
        <f>IF(K19=0,"nd",IF(K19&lt;SQG!$B$14,"&lt; TEL",IF(K19&lt;=SQG!$D$14,"TEL–PEL","&gt; PEL")))</f>
        <v>TEL–PEL</v>
      </c>
      <c r="L95" s="28" t="str">
        <f>IF(L19=0,"nd",IF(L19&lt;SQG!$B$15,"&lt; TEL",IF(L19&lt;=SQG!$D$15,"TEL–PEL","&gt; PEL")))</f>
        <v>TEL–PEL</v>
      </c>
      <c r="M95" s="28" t="str">
        <f>IF(M19=0,"nd",IF(M19&lt;SQG!$B$16,"&lt; TEL",IF(M19&lt;=SQG!$D$16,"TEL–PEL","&gt; PEL")))</f>
        <v>TEL–PEL</v>
      </c>
      <c r="N95" s="28" t="str">
        <f>IF(N19=0,"nd",IF(N19&lt;SQG!$B$17,"&lt; TEL",IF(N19&lt;=SQG!$D$17,"TEL–PEL","&gt; PEL")))</f>
        <v>&gt; PEL</v>
      </c>
      <c r="O95" s="28" t="str">
        <f>IF(O19=0,"nd",IF(O19&lt;SQG!$B$18,"&lt; TEL",IF(O19&lt;=SQG!$D$18,"TEL–PEL","&gt; PEL")))</f>
        <v>&gt; PEL</v>
      </c>
    </row>
    <row r="96" spans="1:15" ht="15" customHeight="1" x14ac:dyDescent="0.25">
      <c r="A96" s="17" t="s">
        <v>127</v>
      </c>
      <c r="B96" s="28" t="str">
        <f>IF(B20=0,"nd",IF(B20&lt;SQG!$B$5,"&lt; TEL",IF(B20&lt;=SQG!$D$5,"TEL–PEL","&gt; PEL")))</f>
        <v>&gt; PEL</v>
      </c>
      <c r="C96" s="28" t="str">
        <f>IF(C20=0,"nd",IF(C20&lt;SQG!$B$6,"&lt; TEL",IF(C20&lt;=SQG!$D$6,"TEL–PEL","&gt; PEL")))</f>
        <v>&gt; PEL</v>
      </c>
      <c r="D96" s="28" t="str">
        <f>IF(D20=0,"nd",IF(D20&lt;SQG!$B$7,"&lt; TEL",IF(D20&lt;=SQG!$D$7,"TEL–PEL","&gt; PEL")))</f>
        <v>TEL–PEL</v>
      </c>
      <c r="E96" s="28" t="str">
        <f>IF(E20=0,"nd",IF(E20&lt;SQG!$B$8,"&lt; TEL",IF(E20&lt;=SQG!$D$8,"TEL–PEL","&gt; PEL")))</f>
        <v>TEL–PEL</v>
      </c>
      <c r="F96" s="28" t="str">
        <f>IF(F20=0,"nd",IF(F20&lt;SQG!$B$9,"&lt; TEL",IF(F20&lt;=SQG!$D$9,"TEL–PEL","&gt; PEL")))</f>
        <v>&gt; PEL</v>
      </c>
      <c r="G96" s="28" t="str">
        <f>IF(G20=0,"nd",IF(G20&lt;SQG!$B$10,"&lt; TEL",IF(G20&lt;=SQG!$D$10,"TEL–PEL","&gt; PEL")))</f>
        <v>&gt; PEL</v>
      </c>
      <c r="H96" s="28" t="str">
        <f>IF(H20=0,"nd",IF(H20&lt;SQG!$B$11,"&lt; TEL",IF(H20&lt;=SQG!$D$11,"TEL–PEL","&gt; PEL")))</f>
        <v>&lt; TEL</v>
      </c>
      <c r="I96" s="28" t="str">
        <f>IF(I20=0,"nd",IF(I20&lt;SQG!$B$12,"&lt; TEL",IF(I20&lt;=SQG!$D$12,"TEL–PEL","&gt; PEL")))</f>
        <v>TEL–PEL</v>
      </c>
      <c r="J96" s="28" t="str">
        <f>IF(J20=0,"nd",IF(J20&lt;SQG!$B$13,"&lt; TEL",IF(J20&lt;=SQG!$D$13,"TEL–PEL","&gt; PEL")))</f>
        <v>&gt; PEL</v>
      </c>
      <c r="K96" s="28" t="str">
        <f>IF(K20=0,"nd",IF(K20&lt;SQG!$B$14,"&lt; TEL",IF(K20&lt;=SQG!$D$14,"TEL–PEL","&gt; PEL")))</f>
        <v>TEL–PEL</v>
      </c>
      <c r="L96" s="28" t="str">
        <f>IF(L20=0,"nd",IF(L20&lt;SQG!$B$15,"&lt; TEL",IF(L20&lt;=SQG!$D$15,"TEL–PEL","&gt; PEL")))</f>
        <v>TEL–PEL</v>
      </c>
      <c r="M96" s="28" t="str">
        <f>IF(M20=0,"nd",IF(M20&lt;SQG!$B$16,"&lt; TEL",IF(M20&lt;=SQG!$D$16,"TEL–PEL","&gt; PEL")))</f>
        <v>TEL–PEL</v>
      </c>
      <c r="N96" s="28" t="str">
        <f>IF(N20=0,"nd",IF(N20&lt;SQG!$B$17,"&lt; TEL",IF(N20&lt;=SQG!$D$17,"TEL–PEL","&gt; PEL")))</f>
        <v>&gt; PEL</v>
      </c>
      <c r="O96" s="28" t="str">
        <f>IF(O20=0,"nd",IF(O20&lt;SQG!$B$18,"&lt; TEL",IF(O20&lt;=SQG!$D$18,"TEL–PEL","&gt; PEL")))</f>
        <v>&gt; PEL</v>
      </c>
    </row>
    <row r="99" spans="1:7" ht="15" customHeight="1" x14ac:dyDescent="0.25">
      <c r="A99" s="17" t="s">
        <v>230</v>
      </c>
    </row>
    <row r="100" spans="1:7" ht="23.25" customHeight="1" x14ac:dyDescent="0.25">
      <c r="A100" s="6" t="s">
        <v>93</v>
      </c>
      <c r="B100" s="6" t="s">
        <v>231</v>
      </c>
      <c r="C100" s="6" t="s">
        <v>232</v>
      </c>
      <c r="D100" s="6" t="s">
        <v>233</v>
      </c>
      <c r="E100" s="6" t="s">
        <v>234</v>
      </c>
      <c r="F100" s="6" t="s">
        <v>235</v>
      </c>
      <c r="G100" s="6" t="s">
        <v>236</v>
      </c>
    </row>
    <row r="101" spans="1:7" ht="15" customHeight="1" x14ac:dyDescent="0.25">
      <c r="A101" s="10" t="s">
        <v>25</v>
      </c>
      <c r="B101" s="29">
        <f>SQG!$B$5</f>
        <v>1.19</v>
      </c>
      <c r="C101" s="29">
        <f>SQG!$D$5</f>
        <v>4.7699999999999996</v>
      </c>
      <c r="D101" s="11">
        <f>COUNTIF('Raw Data'!D$5:D$37,"&gt;"&amp;B101)</f>
        <v>30</v>
      </c>
      <c r="E101" s="12">
        <f>D101/COUNT('Raw Data'!D$5:D$37)*100</f>
        <v>90.909090909090907</v>
      </c>
      <c r="F101" s="11">
        <f>COUNTIF('Raw Data'!D$5:D$37,"&gt;"&amp;C101)</f>
        <v>25</v>
      </c>
      <c r="G101" s="12">
        <f>F101/COUNT('Raw Data'!D$5:D$37)*100</f>
        <v>75.757575757575751</v>
      </c>
    </row>
    <row r="102" spans="1:7" ht="15" customHeight="1" x14ac:dyDescent="0.25">
      <c r="A102" s="10" t="s">
        <v>26</v>
      </c>
      <c r="B102" s="29">
        <f>SQG!$B$6</f>
        <v>1.19</v>
      </c>
      <c r="C102" s="29">
        <f>SQG!$D$6</f>
        <v>4.7699999999999996</v>
      </c>
      <c r="D102" s="11">
        <f>COUNTIF('Raw Data'!E$5:E$37,"&gt;"&amp;B102)</f>
        <v>33</v>
      </c>
      <c r="E102" s="12">
        <f>D102/COUNT('Raw Data'!E$5:E$37)*100</f>
        <v>100</v>
      </c>
      <c r="F102" s="11">
        <f>COUNTIF('Raw Data'!E$5:E$37,"&gt;"&amp;C102)</f>
        <v>31</v>
      </c>
      <c r="G102" s="12">
        <f>F102/COUNT('Raw Data'!E$5:E$37)*100</f>
        <v>93.939393939393938</v>
      </c>
    </row>
    <row r="103" spans="1:7" ht="15" customHeight="1" x14ac:dyDescent="0.25">
      <c r="A103" s="10" t="s">
        <v>27</v>
      </c>
      <c r="B103" s="29">
        <f>SQG!$B$7</f>
        <v>3.54</v>
      </c>
      <c r="C103" s="29">
        <f>SQG!$D$7</f>
        <v>8.51</v>
      </c>
      <c r="D103" s="11">
        <f>COUNTIF('Raw Data'!F$5:F$37,"&gt;"&amp;B103)</f>
        <v>21</v>
      </c>
      <c r="E103" s="12">
        <f>D103/COUNT('Raw Data'!F$5:F$37)*100</f>
        <v>63.636363636363633</v>
      </c>
      <c r="F103" s="11">
        <f>COUNTIF('Raw Data'!F$5:F$37,"&gt;"&amp;C103)</f>
        <v>7</v>
      </c>
      <c r="G103" s="12">
        <f>F103/COUNT('Raw Data'!F$5:F$37)*100</f>
        <v>21.212121212121211</v>
      </c>
    </row>
    <row r="104" spans="1:7" ht="15" customHeight="1" x14ac:dyDescent="0.25">
      <c r="A104" s="10" t="s">
        <v>28</v>
      </c>
      <c r="B104" s="29">
        <f>SQG!$B$8</f>
        <v>3.54</v>
      </c>
      <c r="C104" s="29">
        <f>SQG!$D$8</f>
        <v>8.51</v>
      </c>
      <c r="D104" s="11">
        <f>COUNTIF('Raw Data'!G$5:G$37,"&gt;"&amp;B104)</f>
        <v>27</v>
      </c>
      <c r="E104" s="12">
        <f>D104/COUNT('Raw Data'!G$5:G$37)*100</f>
        <v>81.818181818181827</v>
      </c>
      <c r="F104" s="11">
        <f>COUNTIF('Raw Data'!G$5:G$37,"&gt;"&amp;C104)</f>
        <v>7</v>
      </c>
      <c r="G104" s="12">
        <f>F104/COUNT('Raw Data'!G$5:G$37)*100</f>
        <v>21.212121212121211</v>
      </c>
    </row>
    <row r="105" spans="1:7" ht="15" customHeight="1" x14ac:dyDescent="0.25">
      <c r="A105" s="10" t="s">
        <v>29</v>
      </c>
      <c r="B105" s="29">
        <f>SQG!$B$9</f>
        <v>1.42</v>
      </c>
      <c r="C105" s="29">
        <f>SQG!$D$9</f>
        <v>6.75</v>
      </c>
      <c r="D105" s="11">
        <f>COUNTIF('Raw Data'!H$5:H$37,"&gt;"&amp;B105)</f>
        <v>33</v>
      </c>
      <c r="E105" s="12">
        <f>D105/COUNT('Raw Data'!H$5:H$37)*100</f>
        <v>100</v>
      </c>
      <c r="F105" s="11">
        <f>COUNTIF('Raw Data'!H$5:H$37,"&gt;"&amp;C105)</f>
        <v>30</v>
      </c>
      <c r="G105" s="12">
        <f>F105/COUNT('Raw Data'!H$5:H$37)*100</f>
        <v>90.909090909090907</v>
      </c>
    </row>
    <row r="106" spans="1:7" ht="15" customHeight="1" x14ac:dyDescent="0.25">
      <c r="A106" s="10" t="s">
        <v>30</v>
      </c>
      <c r="B106" s="29">
        <f>SQG!$B$10</f>
        <v>1.42</v>
      </c>
      <c r="C106" s="29">
        <f>SQG!$D$10</f>
        <v>6.75</v>
      </c>
      <c r="D106" s="11">
        <f>COUNTIF('Raw Data'!I$5:I$37,"&gt;"&amp;B106)</f>
        <v>33</v>
      </c>
      <c r="E106" s="12">
        <f>D106/COUNT('Raw Data'!I$5:I$37)*100</f>
        <v>100</v>
      </c>
      <c r="F106" s="11">
        <f>COUNTIF('Raw Data'!I$5:I$37,"&gt;"&amp;C106)</f>
        <v>33</v>
      </c>
      <c r="G106" s="12">
        <f>F106/COUNT('Raw Data'!I$5:I$37)*100</f>
        <v>100</v>
      </c>
    </row>
    <row r="107" spans="1:7" ht="15" customHeight="1" x14ac:dyDescent="0.25">
      <c r="A107" s="10" t="s">
        <v>31</v>
      </c>
      <c r="B107" s="29">
        <f>SQG!$B$11</f>
        <v>6</v>
      </c>
      <c r="C107" s="29">
        <f>SQG!$D$11</f>
        <v>100</v>
      </c>
      <c r="D107" s="11">
        <f>COUNTIF('Raw Data'!J$5:J$37,"&gt;"&amp;B107)</f>
        <v>16</v>
      </c>
      <c r="E107" s="12">
        <f>D107/COUNT('Raw Data'!J$5:J$37)*100</f>
        <v>48.484848484848484</v>
      </c>
      <c r="F107" s="11">
        <f>COUNTIF('Raw Data'!J$5:J$37,"&gt;"&amp;C107)</f>
        <v>0</v>
      </c>
      <c r="G107" s="12">
        <f>F107/COUNT('Raw Data'!J$5:J$37)*100</f>
        <v>0</v>
      </c>
    </row>
    <row r="108" spans="1:7" ht="15" customHeight="1" x14ac:dyDescent="0.25">
      <c r="A108" s="10" t="s">
        <v>32</v>
      </c>
      <c r="B108" s="29">
        <f>SQG!$B$12</f>
        <v>5</v>
      </c>
      <c r="C108" s="29">
        <f>SQG!$D$12</f>
        <v>210</v>
      </c>
      <c r="D108" s="11">
        <f>COUNTIF('Raw Data'!K$5:K$37,"&gt;"&amp;B108)</f>
        <v>28</v>
      </c>
      <c r="E108" s="12">
        <f>D108/COUNT('Raw Data'!K$5:K$37)*100</f>
        <v>84.848484848484844</v>
      </c>
      <c r="F108" s="11">
        <f>COUNTIF('Raw Data'!K$5:K$37,"&gt;"&amp;C108)</f>
        <v>0</v>
      </c>
      <c r="G108" s="12">
        <f>F108/COUNT('Raw Data'!K$5:K$37)*100</f>
        <v>0</v>
      </c>
    </row>
    <row r="109" spans="1:7" ht="15" customHeight="1" x14ac:dyDescent="0.25">
      <c r="A109" s="10" t="s">
        <v>33</v>
      </c>
      <c r="B109" s="29">
        <f>SQG!$B$13</f>
        <v>0.94</v>
      </c>
      <c r="C109" s="29">
        <f>SQG!$D$13</f>
        <v>1.38</v>
      </c>
      <c r="D109" s="11">
        <f>COUNTIF('Raw Data'!L$5:L$37,"&gt;"&amp;B109)</f>
        <v>17</v>
      </c>
      <c r="E109" s="12">
        <f>D109/COUNT('Raw Data'!L$5:L$37)*100</f>
        <v>51.515151515151516</v>
      </c>
      <c r="F109" s="11">
        <f>COUNTIF('Raw Data'!L$5:L$37,"&gt;"&amp;C109)</f>
        <v>17</v>
      </c>
      <c r="G109" s="12">
        <f>F109/COUNT('Raw Data'!L$5:L$37)*100</f>
        <v>51.515151515151516</v>
      </c>
    </row>
    <row r="110" spans="1:7" ht="15" customHeight="1" x14ac:dyDescent="0.25">
      <c r="A110" s="10" t="s">
        <v>34</v>
      </c>
      <c r="B110" s="29">
        <f>SQG!$B$14</f>
        <v>3</v>
      </c>
      <c r="C110" s="29">
        <f>SQG!$D$14</f>
        <v>120</v>
      </c>
      <c r="D110" s="11">
        <f>COUNTIF('Raw Data'!M$5:M$37,"&gt;"&amp;B110)</f>
        <v>22</v>
      </c>
      <c r="E110" s="12">
        <f>D110/COUNT('Raw Data'!M$5:M$37)*100</f>
        <v>66.666666666666657</v>
      </c>
      <c r="F110" s="11">
        <f>COUNTIF('Raw Data'!M$5:M$37,"&gt;"&amp;C110)</f>
        <v>0</v>
      </c>
      <c r="G110" s="12">
        <f>F110/COUNT('Raw Data'!M$5:M$37)*100</f>
        <v>0</v>
      </c>
    </row>
    <row r="111" spans="1:7" ht="15" customHeight="1" x14ac:dyDescent="0.25">
      <c r="A111" s="10" t="s">
        <v>35</v>
      </c>
      <c r="B111" s="29">
        <f>SQG!$B$15</f>
        <v>2</v>
      </c>
      <c r="C111" s="29">
        <f>SQG!$D$15</f>
        <v>80</v>
      </c>
      <c r="D111" s="11">
        <f>COUNTIF('Raw Data'!N$5:N$37,"&gt;"&amp;B111)</f>
        <v>16</v>
      </c>
      <c r="E111" s="12">
        <f>D111/COUNT('Raw Data'!N$5:N$37)*100</f>
        <v>48.484848484848484</v>
      </c>
      <c r="F111" s="11">
        <f>COUNTIF('Raw Data'!N$5:N$37,"&gt;"&amp;C111)</f>
        <v>0</v>
      </c>
      <c r="G111" s="12">
        <f>F111/COUNT('Raw Data'!N$5:N$37)*100</f>
        <v>0</v>
      </c>
    </row>
    <row r="112" spans="1:7" ht="15" customHeight="1" x14ac:dyDescent="0.25">
      <c r="A112" s="10" t="s">
        <v>36</v>
      </c>
      <c r="B112" s="29">
        <f>SQG!$B$16</f>
        <v>2.85</v>
      </c>
      <c r="C112" s="29">
        <f>SQG!$D$16</f>
        <v>6.67</v>
      </c>
      <c r="D112" s="11">
        <f>COUNTIF('Raw Data'!O$5:O$37,"&gt;"&amp;B112)</f>
        <v>20</v>
      </c>
      <c r="E112" s="12">
        <f>D112/COUNT('Raw Data'!O$5:O$37)*100</f>
        <v>60.606060606060609</v>
      </c>
      <c r="F112" s="11">
        <f>COUNTIF('Raw Data'!O$5:O$37,"&gt;"&amp;C112)</f>
        <v>7</v>
      </c>
      <c r="G112" s="12">
        <f>F112/COUNT('Raw Data'!O$5:O$37)*100</f>
        <v>21.212121212121211</v>
      </c>
    </row>
    <row r="113" spans="1:7" ht="15" customHeight="1" x14ac:dyDescent="0.25">
      <c r="A113" s="10" t="s">
        <v>37</v>
      </c>
      <c r="B113" s="29">
        <f>SQG!$B$17</f>
        <v>0.6</v>
      </c>
      <c r="C113" s="29">
        <f>SQG!$D$17</f>
        <v>2.74</v>
      </c>
      <c r="D113" s="11">
        <f>COUNTIF('Raw Data'!P$5:P$37,"&gt;"&amp;B113)</f>
        <v>18</v>
      </c>
      <c r="E113" s="12">
        <f>D113/COUNT('Raw Data'!P$5:P$37)*100</f>
        <v>54.54545454545454</v>
      </c>
      <c r="F113" s="11">
        <f>COUNTIF('Raw Data'!P$5:P$37,"&gt;"&amp;C113)</f>
        <v>13</v>
      </c>
      <c r="G113" s="12">
        <f>F113/COUNT('Raw Data'!P$5:P$37)*100</f>
        <v>39.393939393939391</v>
      </c>
    </row>
    <row r="114" spans="1:7" ht="15" customHeight="1" x14ac:dyDescent="0.25">
      <c r="A114" s="10" t="s">
        <v>38</v>
      </c>
      <c r="B114" s="29">
        <f>SQG!$B$18</f>
        <v>0.6</v>
      </c>
      <c r="C114" s="29">
        <f>SQG!$D$18</f>
        <v>2.74</v>
      </c>
      <c r="D114" s="11">
        <f>COUNTIF('Raw Data'!Q$5:Q$37,"&gt;"&amp;B114)</f>
        <v>27</v>
      </c>
      <c r="E114" s="12">
        <f>D114/COUNT('Raw Data'!Q$5:Q$37)*100</f>
        <v>81.818181818181827</v>
      </c>
      <c r="F114" s="11">
        <f>COUNTIF('Raw Data'!Q$5:Q$37,"&gt;"&amp;C114)</f>
        <v>23</v>
      </c>
      <c r="G114" s="12">
        <f>F114/COUNT('Raw Data'!Q$5:Q$37)*100</f>
        <v>69.696969696969703</v>
      </c>
    </row>
    <row r="117" spans="1:7" ht="15" customHeight="1" x14ac:dyDescent="0.25">
      <c r="A117" s="17" t="s">
        <v>237</v>
      </c>
    </row>
    <row r="118" spans="1:7" ht="23.25" customHeight="1" x14ac:dyDescent="0.25">
      <c r="A118" s="6" t="s">
        <v>130</v>
      </c>
      <c r="B118" s="6" t="s">
        <v>238</v>
      </c>
      <c r="C118" s="6" t="s">
        <v>239</v>
      </c>
      <c r="D118" s="6" t="s">
        <v>240</v>
      </c>
      <c r="E118" s="6" t="s">
        <v>241</v>
      </c>
      <c r="F118" s="6" t="s">
        <v>242</v>
      </c>
      <c r="G118" s="6" t="s">
        <v>243</v>
      </c>
    </row>
    <row r="119" spans="1:7" ht="15" customHeight="1" x14ac:dyDescent="0.25">
      <c r="A119" s="10" t="s">
        <v>45</v>
      </c>
      <c r="B119" s="16">
        <f>'Group Means'!Q5</f>
        <v>35.777666666666669</v>
      </c>
      <c r="C119" s="9">
        <f>B119/SQG!$B$21</f>
        <v>6.776073232323232</v>
      </c>
      <c r="D119" s="9">
        <f>B119/SQG!$D$21</f>
        <v>6.2548368298368295E-2</v>
      </c>
      <c r="E119" s="16">
        <f>'Group Means'!R5</f>
        <v>8.5163333333333338</v>
      </c>
      <c r="F119" s="9">
        <f>E119/SQG!$B$22</f>
        <v>2.8387777777777781</v>
      </c>
      <c r="G119" s="9">
        <f>E119/SQG!$D$22</f>
        <v>7.0969444444444446E-2</v>
      </c>
    </row>
    <row r="120" spans="1:7" ht="15" customHeight="1" x14ac:dyDescent="0.25">
      <c r="A120" s="10" t="s">
        <v>49</v>
      </c>
      <c r="B120" s="16">
        <f>'Group Means'!Q6</f>
        <v>21.773</v>
      </c>
      <c r="C120" s="9">
        <f>B120/SQG!$B$21</f>
        <v>4.1236742424242419</v>
      </c>
      <c r="D120" s="9">
        <f>B120/SQG!$D$21</f>
        <v>3.8064685314685313E-2</v>
      </c>
      <c r="E120" s="16">
        <f>'Group Means'!R6</f>
        <v>2.4849999999999999</v>
      </c>
      <c r="F120" s="9">
        <f>E120/SQG!$B$22</f>
        <v>0.82833333333333325</v>
      </c>
      <c r="G120" s="9">
        <f>E120/SQG!$D$22</f>
        <v>2.0708333333333332E-2</v>
      </c>
    </row>
    <row r="121" spans="1:7" ht="15" customHeight="1" x14ac:dyDescent="0.25">
      <c r="A121" s="10" t="s">
        <v>53</v>
      </c>
      <c r="B121" s="16">
        <f>'Group Means'!Q7</f>
        <v>62.71</v>
      </c>
      <c r="C121" s="9">
        <f>B121/SQG!$B$21</f>
        <v>11.876893939393939</v>
      </c>
      <c r="D121" s="9">
        <f>B121/SQG!$D$21</f>
        <v>0.10963286713286713</v>
      </c>
      <c r="E121" s="16">
        <f>'Group Means'!R7</f>
        <v>29.983333333333334</v>
      </c>
      <c r="F121" s="9">
        <f>E121/SQG!$B$22</f>
        <v>9.9944444444444454</v>
      </c>
      <c r="G121" s="9">
        <f>E121/SQG!$D$22</f>
        <v>0.24986111111111112</v>
      </c>
    </row>
    <row r="122" spans="1:7" ht="15" customHeight="1" x14ac:dyDescent="0.25">
      <c r="A122" s="10" t="s">
        <v>58</v>
      </c>
      <c r="B122" s="16">
        <f>'Group Means'!Q8</f>
        <v>35.932333333333332</v>
      </c>
      <c r="C122" s="9">
        <f>B122/SQG!$B$21</f>
        <v>6.8053661616161607</v>
      </c>
      <c r="D122" s="9">
        <f>B122/SQG!$D$21</f>
        <v>6.2818764568764562E-2</v>
      </c>
      <c r="E122" s="16">
        <f>'Group Means'!R8</f>
        <v>10.205333333333334</v>
      </c>
      <c r="F122" s="9">
        <f>E122/SQG!$B$22</f>
        <v>3.4017777777777778</v>
      </c>
      <c r="G122" s="9">
        <f>E122/SQG!$D$22</f>
        <v>8.504444444444445E-2</v>
      </c>
    </row>
    <row r="123" spans="1:7" ht="15" customHeight="1" x14ac:dyDescent="0.25">
      <c r="A123" s="10" t="s">
        <v>62</v>
      </c>
      <c r="B123" s="16">
        <f>'Group Means'!Q9</f>
        <v>49.420666666666669</v>
      </c>
      <c r="C123" s="9">
        <f>B123/SQG!$B$21</f>
        <v>9.3599747474747481</v>
      </c>
      <c r="D123" s="9">
        <f>B123/SQG!$D$21</f>
        <v>8.6399766899766903E-2</v>
      </c>
      <c r="E123" s="16">
        <f>'Group Means'!R9</f>
        <v>15.384333333333332</v>
      </c>
      <c r="F123" s="9">
        <f>E123/SQG!$B$22</f>
        <v>5.1281111111111111</v>
      </c>
      <c r="G123" s="9">
        <f>E123/SQG!$D$22</f>
        <v>0.12820277777777778</v>
      </c>
    </row>
    <row r="124" spans="1:7" ht="15" customHeight="1" x14ac:dyDescent="0.25">
      <c r="A124" s="10" t="s">
        <v>66</v>
      </c>
      <c r="B124" s="16">
        <f>'Group Means'!Q10</f>
        <v>54.278333333333329</v>
      </c>
      <c r="C124" s="9">
        <f>B124/SQG!$B$21</f>
        <v>10.279987373737372</v>
      </c>
      <c r="D124" s="9">
        <f>B124/SQG!$D$21</f>
        <v>9.4892191142191135E-2</v>
      </c>
      <c r="E124" s="16">
        <f>'Group Means'!R10</f>
        <v>19.681999999999999</v>
      </c>
      <c r="F124" s="9">
        <f>E124/SQG!$B$22</f>
        <v>6.5606666666666662</v>
      </c>
      <c r="G124" s="9">
        <f>E124/SQG!$D$22</f>
        <v>0.16401666666666664</v>
      </c>
    </row>
    <row r="125" spans="1:7" ht="15" customHeight="1" x14ac:dyDescent="0.25">
      <c r="A125" s="10" t="s">
        <v>71</v>
      </c>
      <c r="B125" s="16">
        <f>'Group Means'!Q11</f>
        <v>50.270666666666671</v>
      </c>
      <c r="C125" s="9">
        <f>B125/SQG!$B$21</f>
        <v>9.5209595959595958</v>
      </c>
      <c r="D125" s="9">
        <f>B125/SQG!$D$21</f>
        <v>8.788578088578089E-2</v>
      </c>
      <c r="E125" s="16">
        <f>'Group Means'!R11</f>
        <v>26.096</v>
      </c>
      <c r="F125" s="9">
        <f>E125/SQG!$B$22</f>
        <v>8.6986666666666661</v>
      </c>
      <c r="G125" s="9">
        <f>E125/SQG!$D$22</f>
        <v>0.21746666666666667</v>
      </c>
    </row>
    <row r="126" spans="1:7" ht="15" customHeight="1" x14ac:dyDescent="0.25">
      <c r="A126" s="10" t="s">
        <v>75</v>
      </c>
      <c r="B126" s="16">
        <f>'Group Means'!Q12</f>
        <v>60.657666666666664</v>
      </c>
      <c r="C126" s="9">
        <f>B126/SQG!$B$21</f>
        <v>11.488194444444444</v>
      </c>
      <c r="D126" s="9">
        <f>B126/SQG!$D$21</f>
        <v>0.10604487179487179</v>
      </c>
      <c r="E126" s="16">
        <f>'Group Means'!R12</f>
        <v>25.159000000000002</v>
      </c>
      <c r="F126" s="9">
        <f>E126/SQG!$B$22</f>
        <v>8.3863333333333347</v>
      </c>
      <c r="G126" s="9">
        <f>E126/SQG!$D$22</f>
        <v>0.20965833333333336</v>
      </c>
    </row>
    <row r="127" spans="1:7" ht="15" customHeight="1" x14ac:dyDescent="0.25">
      <c r="A127" s="10" t="s">
        <v>79</v>
      </c>
      <c r="B127" s="16">
        <f>'Group Means'!Q13</f>
        <v>65.028666666666666</v>
      </c>
      <c r="C127" s="9">
        <f>B127/SQG!$B$21</f>
        <v>12.316035353535353</v>
      </c>
      <c r="D127" s="9">
        <f>B127/SQG!$D$21</f>
        <v>0.11368648018648018</v>
      </c>
      <c r="E127" s="16">
        <f>'Group Means'!R13</f>
        <v>30.462333333333333</v>
      </c>
      <c r="F127" s="9">
        <f>E127/SQG!$B$22</f>
        <v>10.154111111111112</v>
      </c>
      <c r="G127" s="9">
        <f>E127/SQG!$D$22</f>
        <v>0.25385277777777776</v>
      </c>
    </row>
    <row r="128" spans="1:7" ht="15" customHeight="1" x14ac:dyDescent="0.25">
      <c r="A128" s="10" t="s">
        <v>83</v>
      </c>
      <c r="B128" s="16">
        <f>'Group Means'!Q14</f>
        <v>71.959999999999994</v>
      </c>
      <c r="C128" s="9">
        <f>B128/SQG!$B$21</f>
        <v>13.628787878787877</v>
      </c>
      <c r="D128" s="9">
        <f>B128/SQG!$D$21</f>
        <v>0.1258041958041958</v>
      </c>
      <c r="E128" s="16">
        <f>'Group Means'!R14</f>
        <v>31.869666666666664</v>
      </c>
      <c r="F128" s="9">
        <f>E128/SQG!$B$22</f>
        <v>10.623222222222221</v>
      </c>
      <c r="G128" s="9">
        <f>E128/SQG!$D$22</f>
        <v>0.26558055555555554</v>
      </c>
    </row>
    <row r="129" spans="1:7" ht="15" customHeight="1" x14ac:dyDescent="0.25">
      <c r="A129" s="10" t="s">
        <v>87</v>
      </c>
      <c r="B129" s="16">
        <f>'Group Means'!Q15</f>
        <v>88.160333333333327</v>
      </c>
      <c r="C129" s="9">
        <f>B129/SQG!$B$21</f>
        <v>16.697032828282826</v>
      </c>
      <c r="D129" s="9">
        <f>B129/SQG!$D$21</f>
        <v>0.15412645687645687</v>
      </c>
      <c r="E129" s="16">
        <f>'Group Means'!R15</f>
        <v>44.835333333333331</v>
      </c>
      <c r="F129" s="9">
        <f>E129/SQG!$B$22</f>
        <v>14.94511111111111</v>
      </c>
      <c r="G129" s="9">
        <f>E129/SQG!$D$22</f>
        <v>0.37362777777777778</v>
      </c>
    </row>
    <row r="130" spans="1:7" ht="15" customHeight="1" x14ac:dyDescent="0.25">
      <c r="A130" s="17" t="s">
        <v>44</v>
      </c>
      <c r="B130" s="16">
        <f>'Group Means'!Q16</f>
        <v>40.086888888888886</v>
      </c>
      <c r="C130" s="9">
        <f>B130/SQG!$B$21</f>
        <v>7.5922138047138041</v>
      </c>
      <c r="D130" s="9">
        <f>B130/SQG!$D$21</f>
        <v>7.0081973581973572E-2</v>
      </c>
      <c r="E130" s="16">
        <f>'Group Means'!R16</f>
        <v>13.661555555555555</v>
      </c>
      <c r="F130" s="9">
        <f>E130/SQG!$B$22</f>
        <v>4.553851851851852</v>
      </c>
      <c r="G130" s="9">
        <f>E130/SQG!$D$22</f>
        <v>0.11384629629629629</v>
      </c>
    </row>
    <row r="131" spans="1:7" ht="15" customHeight="1" x14ac:dyDescent="0.25">
      <c r="A131" s="17" t="s">
        <v>57</v>
      </c>
      <c r="B131" s="16">
        <f>'Group Means'!Q17</f>
        <v>46.54377777777777</v>
      </c>
      <c r="C131" s="9">
        <f>B131/SQG!$B$21</f>
        <v>8.8151094276094248</v>
      </c>
      <c r="D131" s="9">
        <f>B131/SQG!$D$21</f>
        <v>8.1370240870240862E-2</v>
      </c>
      <c r="E131" s="16">
        <f>'Group Means'!R17</f>
        <v>15.090555555555556</v>
      </c>
      <c r="F131" s="9">
        <f>E131/SQG!$B$22</f>
        <v>5.0301851851851849</v>
      </c>
      <c r="G131" s="9">
        <f>E131/SQG!$D$22</f>
        <v>0.12575462962962963</v>
      </c>
    </row>
    <row r="132" spans="1:7" ht="15" customHeight="1" x14ac:dyDescent="0.25">
      <c r="A132" s="17" t="s">
        <v>70</v>
      </c>
      <c r="B132" s="16">
        <f>'Group Means'!Q18</f>
        <v>67.215466666666657</v>
      </c>
      <c r="C132" s="9">
        <f>B132/SQG!$B$21</f>
        <v>12.730202020202018</v>
      </c>
      <c r="D132" s="9">
        <f>B132/SQG!$D$21</f>
        <v>0.11750955710955709</v>
      </c>
      <c r="E132" s="16">
        <f>'Group Means'!R18</f>
        <v>31.684466666666662</v>
      </c>
      <c r="F132" s="9">
        <f>E132/SQG!$B$22</f>
        <v>10.561488888888887</v>
      </c>
      <c r="G132" s="9">
        <f>E132/SQG!$D$22</f>
        <v>0.2640372222222222</v>
      </c>
    </row>
    <row r="133" spans="1:7" ht="15" customHeight="1" x14ac:dyDescent="0.25">
      <c r="A133" s="17" t="s">
        <v>127</v>
      </c>
      <c r="B133" s="16">
        <f>'Group Means'!Q19</f>
        <v>54.179030303030302</v>
      </c>
      <c r="C133" s="9">
        <f>B133/SQG!$B$21</f>
        <v>10.261179981634527</v>
      </c>
      <c r="D133" s="9">
        <f>B133/SQG!$D$21</f>
        <v>9.4718584445857165E-2</v>
      </c>
      <c r="E133" s="16">
        <f>'Group Means'!R19</f>
        <v>22.243515151515147</v>
      </c>
      <c r="F133" s="9">
        <f>E133/SQG!$B$22</f>
        <v>7.4145050505050492</v>
      </c>
      <c r="G133" s="9">
        <f>E133/SQG!$D$22</f>
        <v>0.18536262626262623</v>
      </c>
    </row>
    <row r="136" spans="1:7" ht="15" customHeight="1" x14ac:dyDescent="0.25">
      <c r="A136" s="17" t="s">
        <v>244</v>
      </c>
    </row>
    <row r="137" spans="1:7" ht="15" customHeight="1" x14ac:dyDescent="0.25">
      <c r="A137" s="10" t="s">
        <v>94</v>
      </c>
      <c r="B137" s="9">
        <f>AVERAGE('Raw Data'!V$5:V$37)</f>
        <v>0.98617437116335982</v>
      </c>
    </row>
    <row r="138" spans="1:7" ht="15" customHeight="1" x14ac:dyDescent="0.25">
      <c r="A138" s="10" t="s">
        <v>97</v>
      </c>
      <c r="B138" s="9">
        <f>MIN('Raw Data'!V$5:V$37)</f>
        <v>0.30108339981890675</v>
      </c>
    </row>
    <row r="139" spans="1:7" ht="15" customHeight="1" x14ac:dyDescent="0.25">
      <c r="A139" s="10" t="s">
        <v>98</v>
      </c>
      <c r="B139" s="9">
        <f>MAX('Raw Data'!V$5:V$37)</f>
        <v>2.1226345799293926</v>
      </c>
    </row>
    <row r="140" spans="1:7" ht="15" customHeight="1" x14ac:dyDescent="0.25">
      <c r="A140" s="10" t="s">
        <v>245</v>
      </c>
      <c r="B140" s="12">
        <f>COUNTIF('Raw Data'!V$5:V$37,"&lt;=0.1")/COUNT('Raw Data'!V$5:V$37)*100</f>
        <v>0</v>
      </c>
    </row>
    <row r="141" spans="1:7" ht="15" customHeight="1" x14ac:dyDescent="0.25">
      <c r="A141" s="10" t="s">
        <v>246</v>
      </c>
      <c r="B141" s="12">
        <f>(COUNTIF('Raw Data'!V$5:V$37,"&lt;=1.5")-COUNTIF('Raw Data'!V$5:V$37,"&lt;=0.1"))/COUNT('Raw Data'!V$5:V$37)*100</f>
        <v>84.848484848484844</v>
      </c>
    </row>
    <row r="142" spans="1:7" ht="15" customHeight="1" x14ac:dyDescent="0.25">
      <c r="A142" s="10" t="s">
        <v>247</v>
      </c>
      <c r="B142" s="12">
        <f>(COUNTIF('Raw Data'!V$5:V$37,"&lt;=2.3")-COUNTIF('Raw Data'!V$5:V$37,"&lt;=1.5"))/COUNT('Raw Data'!V$5:V$37)*100</f>
        <v>15.151515151515152</v>
      </c>
    </row>
    <row r="143" spans="1:7" ht="15" customHeight="1" x14ac:dyDescent="0.25">
      <c r="A143" s="10" t="s">
        <v>248</v>
      </c>
      <c r="B143" s="12">
        <f>COUNTIF('Raw Data'!V$5:V$37,"&gt;2.3")/COUNT('Raw Data'!V$5:V$37)*100</f>
        <v>0</v>
      </c>
    </row>
  </sheetData>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20"/>
  <sheetViews>
    <sheetView topLeftCell="A7" zoomScaleNormal="100" workbookViewId="0"/>
  </sheetViews>
  <sheetFormatPr defaultColWidth="8.7109375" defaultRowHeight="15" x14ac:dyDescent="0.25"/>
  <cols>
    <col min="1" max="1" width="62" style="1" customWidth="1"/>
    <col min="2" max="2" width="8" style="1" customWidth="1"/>
    <col min="3" max="4" width="12" style="1" customWidth="1"/>
    <col min="5" max="5" width="24" style="1" customWidth="1"/>
    <col min="6" max="6" width="60" style="1" customWidth="1"/>
  </cols>
  <sheetData>
    <row r="1" spans="1:6" ht="15.75" customHeight="1" x14ac:dyDescent="0.25">
      <c r="A1" s="2" t="s">
        <v>249</v>
      </c>
    </row>
    <row r="4" spans="1:6" ht="15" customHeight="1" x14ac:dyDescent="0.25">
      <c r="A4" s="6" t="s">
        <v>250</v>
      </c>
      <c r="B4" s="6" t="s">
        <v>251</v>
      </c>
      <c r="C4" s="6" t="s">
        <v>252</v>
      </c>
      <c r="D4" s="6" t="s">
        <v>253</v>
      </c>
      <c r="E4" s="6" t="s">
        <v>254</v>
      </c>
      <c r="F4" s="6" t="s">
        <v>255</v>
      </c>
    </row>
    <row r="5" spans="1:6" ht="15" customHeight="1" x14ac:dyDescent="0.25">
      <c r="A5" s="10" t="s">
        <v>256</v>
      </c>
      <c r="B5" s="10" t="s">
        <v>257</v>
      </c>
      <c r="C5" s="19">
        <v>70</v>
      </c>
      <c r="D5" s="19">
        <v>15</v>
      </c>
      <c r="E5" s="10" t="s">
        <v>258</v>
      </c>
      <c r="F5" s="10" t="s">
        <v>259</v>
      </c>
    </row>
    <row r="6" spans="1:6" ht="15" customHeight="1" x14ac:dyDescent="0.25">
      <c r="A6" s="10" t="s">
        <v>260</v>
      </c>
      <c r="B6" s="10" t="s">
        <v>261</v>
      </c>
      <c r="C6" s="19">
        <v>100</v>
      </c>
      <c r="D6" s="19">
        <v>200</v>
      </c>
      <c r="E6" s="10" t="s">
        <v>262</v>
      </c>
      <c r="F6" s="10" t="s">
        <v>263</v>
      </c>
    </row>
    <row r="7" spans="1:6" ht="15" customHeight="1" x14ac:dyDescent="0.25">
      <c r="A7" s="10" t="s">
        <v>264</v>
      </c>
      <c r="B7" s="10" t="s">
        <v>265</v>
      </c>
      <c r="C7" s="19">
        <v>5700</v>
      </c>
      <c r="D7" s="19">
        <v>2800</v>
      </c>
      <c r="E7" s="10" t="s">
        <v>266</v>
      </c>
      <c r="F7" s="10" t="s">
        <v>267</v>
      </c>
    </row>
    <row r="8" spans="1:6" ht="15" customHeight="1" x14ac:dyDescent="0.25">
      <c r="A8" s="10" t="s">
        <v>268</v>
      </c>
      <c r="B8" s="10" t="s">
        <v>269</v>
      </c>
      <c r="C8" s="19">
        <v>7.0000000000000007E-2</v>
      </c>
      <c r="D8" s="19">
        <v>0.2</v>
      </c>
      <c r="E8" s="10" t="s">
        <v>270</v>
      </c>
      <c r="F8" s="10" t="s">
        <v>267</v>
      </c>
    </row>
    <row r="9" spans="1:6" ht="15" customHeight="1" x14ac:dyDescent="0.25">
      <c r="A9" s="10" t="s">
        <v>271</v>
      </c>
      <c r="B9" s="10" t="s">
        <v>272</v>
      </c>
      <c r="C9" s="19">
        <v>350</v>
      </c>
      <c r="D9" s="19">
        <v>350</v>
      </c>
      <c r="E9" s="10" t="s">
        <v>273</v>
      </c>
      <c r="F9" s="10" t="s">
        <v>274</v>
      </c>
    </row>
    <row r="10" spans="1:6" ht="15" customHeight="1" x14ac:dyDescent="0.25">
      <c r="A10" s="10" t="s">
        <v>275</v>
      </c>
      <c r="B10" s="10" t="s">
        <v>276</v>
      </c>
      <c r="C10" s="19">
        <v>70</v>
      </c>
      <c r="D10" s="19">
        <v>6</v>
      </c>
      <c r="E10" s="10" t="s">
        <v>277</v>
      </c>
      <c r="F10" s="10" t="s">
        <v>278</v>
      </c>
    </row>
    <row r="11" spans="1:6" ht="15" customHeight="1" x14ac:dyDescent="0.25">
      <c r="A11" s="10" t="s">
        <v>279</v>
      </c>
      <c r="B11" s="10" t="s">
        <v>280</v>
      </c>
      <c r="C11" s="30">
        <v>9.9999999999999995E-7</v>
      </c>
      <c r="D11" s="30">
        <v>9.9999999999999995E-7</v>
      </c>
      <c r="E11" s="10" t="s">
        <v>281</v>
      </c>
      <c r="F11" s="10" t="s">
        <v>282</v>
      </c>
    </row>
    <row r="12" spans="1:6" ht="15" customHeight="1" x14ac:dyDescent="0.25">
      <c r="A12" s="10" t="s">
        <v>283</v>
      </c>
      <c r="B12" s="10" t="s">
        <v>284</v>
      </c>
      <c r="C12" s="19">
        <v>70</v>
      </c>
      <c r="D12" s="19">
        <v>70</v>
      </c>
      <c r="E12" s="10" t="s">
        <v>277</v>
      </c>
      <c r="F12" s="10" t="s">
        <v>285</v>
      </c>
    </row>
    <row r="13" spans="1:6" ht="15" customHeight="1" x14ac:dyDescent="0.25">
      <c r="A13" s="10" t="s">
        <v>286</v>
      </c>
      <c r="B13" s="10" t="s">
        <v>287</v>
      </c>
      <c r="C13" s="15">
        <f>C10*365</f>
        <v>25550</v>
      </c>
      <c r="D13" s="15">
        <f>D10*365</f>
        <v>2190</v>
      </c>
      <c r="E13" s="10" t="s">
        <v>288</v>
      </c>
      <c r="F13" s="10" t="s">
        <v>289</v>
      </c>
    </row>
    <row r="14" spans="1:6" ht="15" customHeight="1" x14ac:dyDescent="0.25">
      <c r="A14" s="10" t="s">
        <v>290</v>
      </c>
      <c r="B14" s="10" t="s">
        <v>291</v>
      </c>
      <c r="C14" s="15">
        <f>C12*365</f>
        <v>25550</v>
      </c>
      <c r="D14" s="15">
        <f>D12*365</f>
        <v>25550</v>
      </c>
      <c r="E14" s="10" t="s">
        <v>288</v>
      </c>
      <c r="F14" s="10" t="s">
        <v>292</v>
      </c>
    </row>
    <row r="15" spans="1:6" ht="15" customHeight="1" x14ac:dyDescent="0.25">
      <c r="A15" s="10" t="s">
        <v>293</v>
      </c>
      <c r="B15" s="10" t="s">
        <v>294</v>
      </c>
      <c r="C15" s="31">
        <f>C6*C9*C10*C11/(C5*C13)</f>
        <v>1.36986301369863E-6</v>
      </c>
      <c r="D15" s="31">
        <f>D6*D9*D10*D11/(D5*D13)</f>
        <v>1.2785388127853881E-5</v>
      </c>
      <c r="E15" s="1" t="s">
        <v>295</v>
      </c>
    </row>
    <row r="16" spans="1:6" ht="15" customHeight="1" x14ac:dyDescent="0.25">
      <c r="A16" s="10" t="s">
        <v>296</v>
      </c>
      <c r="B16" s="10" t="s">
        <v>297</v>
      </c>
      <c r="C16" s="31">
        <f>C7*C8*C9*C10*C11/(C5*C13)</f>
        <v>5.4657534246575346E-6</v>
      </c>
      <c r="D16" s="31">
        <f>D7*D8*D9*D10*D11/(D5*D13)</f>
        <v>3.5799086757990868E-5</v>
      </c>
      <c r="E16" s="1" t="s">
        <v>295</v>
      </c>
    </row>
    <row r="17" spans="1:5" ht="15" customHeight="1" x14ac:dyDescent="0.25">
      <c r="A17" s="10" t="s">
        <v>298</v>
      </c>
      <c r="B17" s="10" t="s">
        <v>299</v>
      </c>
      <c r="C17" s="31">
        <f>C6*C9*C10*C11/(C5*C14)</f>
        <v>1.36986301369863E-6</v>
      </c>
      <c r="D17" s="31">
        <f>D6*D9*D10*D11/(D5*D14)</f>
        <v>1.0958904109589041E-6</v>
      </c>
      <c r="E17" s="1" t="s">
        <v>295</v>
      </c>
    </row>
    <row r="18" spans="1:5" ht="15" customHeight="1" x14ac:dyDescent="0.25">
      <c r="A18" s="10" t="s">
        <v>300</v>
      </c>
      <c r="B18" s="10" t="s">
        <v>301</v>
      </c>
      <c r="C18" s="31">
        <f>C7*C8*C9*C10*C11/(C5*C14)</f>
        <v>5.4657534246575346E-6</v>
      </c>
      <c r="D18" s="31">
        <f>D7*D8*D9*D10*D11/(D5*D14)</f>
        <v>3.0684931506849314E-6</v>
      </c>
      <c r="E18" s="1" t="s">
        <v>295</v>
      </c>
    </row>
    <row r="20" spans="1:5" ht="15" customHeight="1" x14ac:dyDescent="0.25">
      <c r="A20" s="5" t="s">
        <v>302</v>
      </c>
    </row>
  </sheetData>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18"/>
  <sheetViews>
    <sheetView zoomScaleNormal="100" workbookViewId="0"/>
  </sheetViews>
  <sheetFormatPr defaultColWidth="8.7109375" defaultRowHeight="15" x14ac:dyDescent="0.25"/>
  <cols>
    <col min="1" max="1" width="22" style="1" customWidth="1"/>
    <col min="2" max="2" width="16" style="1" customWidth="1"/>
    <col min="3" max="3" width="18" style="1" customWidth="1"/>
    <col min="4" max="4" width="10" style="1" customWidth="1"/>
    <col min="5" max="5" width="48" style="1" customWidth="1"/>
  </cols>
  <sheetData>
    <row r="1" spans="1:5" ht="15.75" customHeight="1" x14ac:dyDescent="0.25">
      <c r="A1" s="2" t="s">
        <v>303</v>
      </c>
    </row>
    <row r="2" spans="1:5" ht="15" customHeight="1" x14ac:dyDescent="0.25">
      <c r="A2" s="5" t="s">
        <v>304</v>
      </c>
    </row>
    <row r="4" spans="1:5" ht="15" customHeight="1" x14ac:dyDescent="0.25">
      <c r="A4" s="6" t="s">
        <v>93</v>
      </c>
      <c r="B4" s="6" t="s">
        <v>305</v>
      </c>
      <c r="C4" s="6" t="s">
        <v>306</v>
      </c>
      <c r="D4" s="6" t="s">
        <v>307</v>
      </c>
      <c r="E4" s="6" t="s">
        <v>308</v>
      </c>
    </row>
    <row r="5" spans="1:5" ht="15" customHeight="1" x14ac:dyDescent="0.25">
      <c r="A5" s="10" t="s">
        <v>25</v>
      </c>
      <c r="B5" s="24">
        <v>5.0000000000000001E-4</v>
      </c>
      <c r="C5" s="26">
        <v>0.34</v>
      </c>
      <c r="D5" s="26">
        <v>0.03</v>
      </c>
      <c r="E5" s="10" t="s">
        <v>309</v>
      </c>
    </row>
    <row r="6" spans="1:5" ht="15" customHeight="1" x14ac:dyDescent="0.25">
      <c r="A6" s="10" t="s">
        <v>26</v>
      </c>
      <c r="B6" s="24">
        <v>5.0000000000000001E-4</v>
      </c>
      <c r="C6" s="26">
        <v>0.34</v>
      </c>
      <c r="D6" s="26">
        <v>0.03</v>
      </c>
      <c r="E6" s="10" t="s">
        <v>309</v>
      </c>
    </row>
    <row r="7" spans="1:5" ht="15" customHeight="1" x14ac:dyDescent="0.25">
      <c r="A7" s="10" t="s">
        <v>27</v>
      </c>
      <c r="B7" s="24">
        <v>5.0000000000000001E-4</v>
      </c>
      <c r="C7" s="26">
        <v>0.34</v>
      </c>
      <c r="D7" s="26">
        <v>0.03</v>
      </c>
      <c r="E7" s="10" t="s">
        <v>310</v>
      </c>
    </row>
    <row r="8" spans="1:5" ht="15" customHeight="1" x14ac:dyDescent="0.25">
      <c r="A8" s="10" t="s">
        <v>28</v>
      </c>
      <c r="B8" s="24">
        <v>5.0000000000000001E-4</v>
      </c>
      <c r="C8" s="26">
        <v>0.34</v>
      </c>
      <c r="D8" s="26">
        <v>0.03</v>
      </c>
      <c r="E8" s="10" t="s">
        <v>310</v>
      </c>
    </row>
    <row r="9" spans="1:5" ht="15" customHeight="1" x14ac:dyDescent="0.25">
      <c r="A9" s="10" t="s">
        <v>29</v>
      </c>
      <c r="B9" s="24">
        <v>5.0000000000000001E-4</v>
      </c>
      <c r="C9" s="26">
        <v>0.34</v>
      </c>
      <c r="D9" s="26">
        <v>0.03</v>
      </c>
      <c r="E9" s="10" t="s">
        <v>310</v>
      </c>
    </row>
    <row r="10" spans="1:5" ht="15" customHeight="1" x14ac:dyDescent="0.25">
      <c r="A10" s="10" t="s">
        <v>30</v>
      </c>
      <c r="B10" s="24">
        <v>5.0000000000000001E-4</v>
      </c>
      <c r="C10" s="26">
        <v>0.34</v>
      </c>
      <c r="D10" s="26">
        <v>0.03</v>
      </c>
      <c r="E10" s="10" t="s">
        <v>310</v>
      </c>
    </row>
    <row r="11" spans="1:5" ht="15" customHeight="1" x14ac:dyDescent="0.25">
      <c r="A11" s="10" t="s">
        <v>31</v>
      </c>
      <c r="B11" s="24">
        <v>2.9999999999999997E-4</v>
      </c>
      <c r="C11" s="26">
        <v>6.3</v>
      </c>
      <c r="D11" s="26">
        <v>0.04</v>
      </c>
      <c r="E11" s="10" t="s">
        <v>311</v>
      </c>
    </row>
    <row r="12" spans="1:5" ht="15" customHeight="1" x14ac:dyDescent="0.25">
      <c r="A12" s="10" t="s">
        <v>32</v>
      </c>
      <c r="B12" s="24">
        <v>2.9999999999999997E-4</v>
      </c>
      <c r="C12" s="26">
        <v>1.8</v>
      </c>
      <c r="D12" s="26">
        <v>0.04</v>
      </c>
      <c r="E12" s="10" t="s">
        <v>312</v>
      </c>
    </row>
    <row r="13" spans="1:5" ht="15" customHeight="1" x14ac:dyDescent="0.25">
      <c r="A13" s="10" t="s">
        <v>33</v>
      </c>
      <c r="B13" s="24">
        <v>2.9999999999999997E-4</v>
      </c>
      <c r="C13" s="26">
        <v>1.3</v>
      </c>
      <c r="D13" s="26">
        <v>0.04</v>
      </c>
      <c r="E13" s="10" t="s">
        <v>313</v>
      </c>
    </row>
    <row r="14" spans="1:5" ht="15" customHeight="1" x14ac:dyDescent="0.25">
      <c r="A14" s="10" t="s">
        <v>34</v>
      </c>
      <c r="B14" s="24">
        <v>2.9999999999999997E-4</v>
      </c>
      <c r="C14" s="26"/>
      <c r="D14" s="26">
        <v>0.04</v>
      </c>
      <c r="E14" s="10" t="s">
        <v>314</v>
      </c>
    </row>
    <row r="15" spans="1:5" ht="15" customHeight="1" x14ac:dyDescent="0.25">
      <c r="A15" s="10" t="s">
        <v>35</v>
      </c>
      <c r="B15" s="24">
        <v>3.0000000000000001E-5</v>
      </c>
      <c r="C15" s="26">
        <v>17</v>
      </c>
      <c r="D15" s="26">
        <v>0.1</v>
      </c>
      <c r="E15" s="10" t="s">
        <v>313</v>
      </c>
    </row>
    <row r="16" spans="1:5" ht="15" customHeight="1" x14ac:dyDescent="0.25">
      <c r="A16" s="10" t="s">
        <v>36</v>
      </c>
      <c r="B16" s="24">
        <v>5.0000000000000002E-5</v>
      </c>
      <c r="C16" s="26">
        <v>16</v>
      </c>
      <c r="D16" s="26">
        <v>0.1</v>
      </c>
      <c r="E16" s="10" t="s">
        <v>313</v>
      </c>
    </row>
    <row r="17" spans="1:5" ht="15" customHeight="1" x14ac:dyDescent="0.25">
      <c r="A17" s="10" t="s">
        <v>37</v>
      </c>
      <c r="B17" s="24">
        <v>5.0000000000000001E-4</v>
      </c>
      <c r="C17" s="26">
        <v>4.5</v>
      </c>
      <c r="D17" s="26">
        <v>0.1</v>
      </c>
      <c r="E17" s="10" t="s">
        <v>313</v>
      </c>
    </row>
    <row r="18" spans="1:5" ht="15" customHeight="1" x14ac:dyDescent="0.25">
      <c r="A18" s="10" t="s">
        <v>38</v>
      </c>
      <c r="B18" s="24">
        <v>1.2999999999999999E-5</v>
      </c>
      <c r="C18" s="26">
        <v>9.1</v>
      </c>
      <c r="D18" s="26">
        <v>0.1</v>
      </c>
      <c r="E18" s="10" t="s">
        <v>313</v>
      </c>
    </row>
  </sheetData>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T248"/>
  <sheetViews>
    <sheetView zoomScaleNormal="100" workbookViewId="0">
      <pane xSplit="1" ySplit="3" topLeftCell="B226" activePane="bottomRight" state="frozen"/>
      <selection pane="topRight" activeCell="B1" sqref="B1"/>
      <selection pane="bottomLeft" activeCell="A4" sqref="A4"/>
      <selection pane="bottomRight"/>
    </sheetView>
  </sheetViews>
  <sheetFormatPr defaultColWidth="8.7109375" defaultRowHeight="15" x14ac:dyDescent="0.25"/>
  <cols>
    <col min="1" max="1" width="26" style="1" customWidth="1"/>
    <col min="2" max="20" width="13" style="1" customWidth="1"/>
  </cols>
  <sheetData>
    <row r="1" spans="1:15" ht="15.75" customHeight="1" x14ac:dyDescent="0.25">
      <c r="A1" s="2" t="s">
        <v>315</v>
      </c>
    </row>
    <row r="2" spans="1:15" ht="15" customHeight="1" x14ac:dyDescent="0.25">
      <c r="A2" s="5" t="s">
        <v>316</v>
      </c>
    </row>
    <row r="4" spans="1:15" ht="15" customHeight="1" x14ac:dyDescent="0.25">
      <c r="A4" s="17" t="s">
        <v>317</v>
      </c>
    </row>
    <row r="5" spans="1:15" ht="23.25" customHeight="1" x14ac:dyDescent="0.25">
      <c r="A5" s="6" t="s">
        <v>130</v>
      </c>
      <c r="B5" s="6" t="s">
        <v>25</v>
      </c>
      <c r="C5" s="6" t="s">
        <v>26</v>
      </c>
      <c r="D5" s="6" t="s">
        <v>27</v>
      </c>
      <c r="E5" s="6" t="s">
        <v>28</v>
      </c>
      <c r="F5" s="6" t="s">
        <v>29</v>
      </c>
      <c r="G5" s="6" t="s">
        <v>30</v>
      </c>
      <c r="H5" s="6" t="s">
        <v>31</v>
      </c>
      <c r="I5" s="6" t="s">
        <v>32</v>
      </c>
      <c r="J5" s="6" t="s">
        <v>33</v>
      </c>
      <c r="K5" s="6" t="s">
        <v>34</v>
      </c>
      <c r="L5" s="6" t="s">
        <v>35</v>
      </c>
      <c r="M5" s="6" t="s">
        <v>36</v>
      </c>
      <c r="N5" s="6" t="s">
        <v>37</v>
      </c>
      <c r="O5" s="6" t="s">
        <v>38</v>
      </c>
    </row>
    <row r="6" spans="1:15" ht="15" customHeight="1" x14ac:dyDescent="0.25">
      <c r="A6" s="10" t="s">
        <v>45</v>
      </c>
      <c r="B6" s="31">
        <f>'Group Means'!C5/1000*Parameters!$C$15</f>
        <v>3.8283105022831047E-9</v>
      </c>
      <c r="C6" s="31">
        <f>'Group Means'!D5/1000*Parameters!$C$15</f>
        <v>8.7826484018264847E-9</v>
      </c>
      <c r="D6" s="31">
        <f>'Group Means'!E5/1000*Parameters!$C$15</f>
        <v>5.1817351598173505E-9</v>
      </c>
      <c r="E6" s="31">
        <f>'Group Means'!F5/1000*Parameters!$C$15</f>
        <v>5.1817351598173522E-9</v>
      </c>
      <c r="F6" s="31">
        <f>'Group Means'!G5/1000*Parameters!$C$15</f>
        <v>1.1126940639269404E-8</v>
      </c>
      <c r="G6" s="31">
        <f>'Group Means'!H5/1000*Parameters!$C$15</f>
        <v>1.4909132420091321E-8</v>
      </c>
      <c r="H6" s="31">
        <f>'Group Means'!I5/1000*Parameters!$C$15</f>
        <v>3.4666666666666663E-9</v>
      </c>
      <c r="I6" s="31">
        <f>'Group Means'!J5/1000*Parameters!$C$15</f>
        <v>6.8296803652968034E-9</v>
      </c>
      <c r="J6" s="31">
        <f>'Group Means'!K5/1000*Parameters!$C$15</f>
        <v>6.8493150684931499E-10</v>
      </c>
      <c r="K6" s="31">
        <f>'Group Means'!L5/1000*Parameters!$C$15</f>
        <v>6.8493150684931499E-10</v>
      </c>
      <c r="L6" s="31">
        <f>'Group Means'!M5/1000*Parameters!$C$15</f>
        <v>6.8493150684931499E-10</v>
      </c>
      <c r="M6" s="31">
        <f>'Group Means'!N5/1000*Parameters!$C$15</f>
        <v>1.4315068493150682E-9</v>
      </c>
      <c r="N6" s="31">
        <f>'Group Means'!O5/1000*Parameters!$C$15</f>
        <v>6.8493150684931499E-10</v>
      </c>
      <c r="O6" s="31">
        <f>'Group Means'!P5/1000*Parameters!$C$15</f>
        <v>3.0232876712328767E-9</v>
      </c>
    </row>
    <row r="7" spans="1:15" ht="15" customHeight="1" x14ac:dyDescent="0.25">
      <c r="A7" s="10" t="s">
        <v>49</v>
      </c>
      <c r="B7" s="31">
        <f>'Group Means'!C6/1000*Parameters!$C$15</f>
        <v>6.8493150684931499E-10</v>
      </c>
      <c r="C7" s="31">
        <f>'Group Means'!D6/1000*Parameters!$C$15</f>
        <v>6.4054794520547943E-9</v>
      </c>
      <c r="D7" s="31">
        <f>'Group Means'!E6/1000*Parameters!$C$15</f>
        <v>6.8493150684931499E-10</v>
      </c>
      <c r="E7" s="31">
        <f>'Group Means'!F6/1000*Parameters!$C$15</f>
        <v>6.8493150684931499E-10</v>
      </c>
      <c r="F7" s="31">
        <f>'Group Means'!G6/1000*Parameters!$C$15</f>
        <v>9.9470319634703177E-9</v>
      </c>
      <c r="G7" s="31">
        <f>'Group Means'!H6/1000*Parameters!$C$15</f>
        <v>1.1418721461187213E-8</v>
      </c>
      <c r="H7" s="31">
        <f>'Group Means'!I6/1000*Parameters!$C$15</f>
        <v>6.8493150684931499E-10</v>
      </c>
      <c r="I7" s="31">
        <f>'Group Means'!J6/1000*Parameters!$C$15</f>
        <v>1.3493150684931505E-9</v>
      </c>
      <c r="J7" s="31">
        <f>'Group Means'!K6/1000*Parameters!$C$15</f>
        <v>6.8493150684931499E-10</v>
      </c>
      <c r="K7" s="31">
        <f>'Group Means'!L6/1000*Parameters!$C$15</f>
        <v>6.8493150684931499E-10</v>
      </c>
      <c r="L7" s="31">
        <f>'Group Means'!M6/1000*Parameters!$C$15</f>
        <v>6.8493150684931499E-10</v>
      </c>
      <c r="M7" s="31">
        <f>'Group Means'!N6/1000*Parameters!$C$15</f>
        <v>6.8493150684931499E-10</v>
      </c>
      <c r="N7" s="31">
        <f>'Group Means'!O6/1000*Parameters!$C$15</f>
        <v>6.8493150684931499E-10</v>
      </c>
      <c r="O7" s="31">
        <f>'Group Means'!P6/1000*Parameters!$C$15</f>
        <v>6.8493150684931499E-10</v>
      </c>
    </row>
    <row r="8" spans="1:15" ht="15" customHeight="1" x14ac:dyDescent="0.25">
      <c r="A8" s="10" t="s">
        <v>53</v>
      </c>
      <c r="B8" s="31">
        <f>'Group Means'!C7/1000*Parameters!$C$15</f>
        <v>1.0358447488584474E-8</v>
      </c>
      <c r="C8" s="31">
        <f>'Group Means'!D7/1000*Parameters!$C$15</f>
        <v>1.5870319634703193E-8</v>
      </c>
      <c r="D8" s="31">
        <f>'Group Means'!E7/1000*Parameters!$C$15</f>
        <v>9.6105022831050223E-9</v>
      </c>
      <c r="E8" s="31">
        <f>'Group Means'!F7/1000*Parameters!$C$15</f>
        <v>1.1798173515981735E-8</v>
      </c>
      <c r="F8" s="31">
        <f>'Group Means'!G7/1000*Parameters!$C$15</f>
        <v>1.2636073059360731E-8</v>
      </c>
      <c r="G8" s="31">
        <f>'Group Means'!H7/1000*Parameters!$C$15</f>
        <v>2.5630593607305936E-8</v>
      </c>
      <c r="H8" s="31">
        <f>'Group Means'!I7/1000*Parameters!$C$15</f>
        <v>1.0153424657534246E-8</v>
      </c>
      <c r="I8" s="31">
        <f>'Group Means'!J7/1000*Parameters!$C$15</f>
        <v>2.0002739726027392E-8</v>
      </c>
      <c r="J8" s="31">
        <f>'Group Means'!K7/1000*Parameters!$C$15</f>
        <v>5.0552511415525117E-9</v>
      </c>
      <c r="K8" s="31">
        <f>'Group Means'!L7/1000*Parameters!$C$15</f>
        <v>5.8616438356164372E-9</v>
      </c>
      <c r="L8" s="31">
        <f>'Group Means'!M7/1000*Parameters!$C$15</f>
        <v>5.9785388127853878E-9</v>
      </c>
      <c r="M8" s="31">
        <f>'Group Means'!N7/1000*Parameters!$C$15</f>
        <v>9.7707762557077622E-9</v>
      </c>
      <c r="N8" s="31">
        <f>'Group Means'!O7/1000*Parameters!$C$15</f>
        <v>9.2187214611872135E-9</v>
      </c>
      <c r="O8" s="31">
        <f>'Group Means'!P7/1000*Parameters!$C$15</f>
        <v>1.3092237442922374E-8</v>
      </c>
    </row>
    <row r="9" spans="1:15" ht="15" customHeight="1" x14ac:dyDescent="0.25">
      <c r="A9" s="10" t="s">
        <v>58</v>
      </c>
      <c r="B9" s="31">
        <f>'Group Means'!C8/1000*Parameters!$C$15</f>
        <v>5.8876712328767101E-9</v>
      </c>
      <c r="C9" s="31">
        <f>'Group Means'!D8/1000*Parameters!$C$15</f>
        <v>8.3876712328767118E-9</v>
      </c>
      <c r="D9" s="31">
        <f>'Group Means'!E8/1000*Parameters!$C$15</f>
        <v>6.8493150684931499E-10</v>
      </c>
      <c r="E9" s="31">
        <f>'Group Means'!F8/1000*Parameters!$C$15</f>
        <v>7.4840182648401821E-9</v>
      </c>
      <c r="F9" s="31">
        <f>'Group Means'!G8/1000*Parameters!$C$15</f>
        <v>8.9698630136986284E-9</v>
      </c>
      <c r="G9" s="31">
        <f>'Group Means'!H8/1000*Parameters!$C$15</f>
        <v>1.7808219178082189E-8</v>
      </c>
      <c r="H9" s="31">
        <f>'Group Means'!I8/1000*Parameters!$C$15</f>
        <v>4.2461187214611863E-9</v>
      </c>
      <c r="I9" s="31">
        <f>'Group Means'!J8/1000*Parameters!$C$15</f>
        <v>8.3639269406392689E-9</v>
      </c>
      <c r="J9" s="31">
        <f>'Group Means'!K8/1000*Parameters!$C$15</f>
        <v>6.8493150684931499E-10</v>
      </c>
      <c r="K9" s="31">
        <f>'Group Means'!L8/1000*Parameters!$C$15</f>
        <v>6.8493150684931499E-10</v>
      </c>
      <c r="L9" s="31">
        <f>'Group Means'!M8/1000*Parameters!$C$15</f>
        <v>1.6182648401826481E-9</v>
      </c>
      <c r="M9" s="31">
        <f>'Group Means'!N8/1000*Parameters!$C$15</f>
        <v>4.5986301369863007E-9</v>
      </c>
      <c r="N9" s="31">
        <f>'Group Means'!O8/1000*Parameters!$C$15</f>
        <v>6.8493150684931499E-10</v>
      </c>
      <c r="O9" s="31">
        <f>'Group Means'!P8/1000*Parameters!$C$15</f>
        <v>6.8493150684931499E-10</v>
      </c>
    </row>
    <row r="10" spans="1:15" ht="15" customHeight="1" x14ac:dyDescent="0.25">
      <c r="A10" s="10" t="s">
        <v>62</v>
      </c>
      <c r="B10" s="31">
        <f>'Group Means'!C9/1000*Parameters!$C$15</f>
        <v>8.2940639269406375E-9</v>
      </c>
      <c r="C10" s="31">
        <f>'Group Means'!D9/1000*Parameters!$C$15</f>
        <v>1.1885388127853881E-8</v>
      </c>
      <c r="D10" s="31">
        <f>'Group Means'!E9/1000*Parameters!$C$15</f>
        <v>6.8753424657534227E-9</v>
      </c>
      <c r="E10" s="31">
        <f>'Group Means'!F9/1000*Parameters!$C$15</f>
        <v>4.6474885844748857E-9</v>
      </c>
      <c r="F10" s="31">
        <f>'Group Means'!G9/1000*Parameters!$C$15</f>
        <v>1.0120547945205477E-8</v>
      </c>
      <c r="G10" s="31">
        <f>'Group Means'!H9/1000*Parameters!$C$15</f>
        <v>2.5876712328767122E-8</v>
      </c>
      <c r="H10" s="31">
        <f>'Group Means'!I9/1000*Parameters!$C$15</f>
        <v>5.4936073059360731E-9</v>
      </c>
      <c r="I10" s="31">
        <f>'Group Means'!J9/1000*Parameters!$C$15</f>
        <v>1.0822374429223745E-8</v>
      </c>
      <c r="J10" s="31">
        <f>'Group Means'!K9/1000*Parameters!$C$15</f>
        <v>6.8493150684931499E-10</v>
      </c>
      <c r="K10" s="31">
        <f>'Group Means'!L9/1000*Parameters!$C$15</f>
        <v>4.0735159817351591E-9</v>
      </c>
      <c r="L10" s="31">
        <f>'Group Means'!M9/1000*Parameters!$C$15</f>
        <v>6.8493150684931499E-10</v>
      </c>
      <c r="M10" s="31">
        <f>'Group Means'!N9/1000*Parameters!$C$15</f>
        <v>3.4493150684931507E-9</v>
      </c>
      <c r="N10" s="31">
        <f>'Group Means'!O9/1000*Parameters!$C$15</f>
        <v>1.6242009132420093E-9</v>
      </c>
      <c r="O10" s="31">
        <f>'Group Means'!P9/1000*Parameters!$C$15</f>
        <v>5.2004566210045652E-9</v>
      </c>
    </row>
    <row r="11" spans="1:15" ht="15" customHeight="1" x14ac:dyDescent="0.25">
      <c r="A11" s="10" t="s">
        <v>66</v>
      </c>
      <c r="B11" s="31">
        <f>'Group Means'!C10/1000*Parameters!$C$15</f>
        <v>9.0378995433789931E-9</v>
      </c>
      <c r="C11" s="31">
        <f>'Group Means'!D10/1000*Parameters!$C$15</f>
        <v>1.2432420091324204E-8</v>
      </c>
      <c r="D11" s="31">
        <f>'Group Means'!E10/1000*Parameters!$C$15</f>
        <v>8.0260273972602709E-9</v>
      </c>
      <c r="E11" s="31">
        <f>'Group Means'!F10/1000*Parameters!$C$15</f>
        <v>6.5095890410958902E-9</v>
      </c>
      <c r="F11" s="31">
        <f>'Group Means'!G10/1000*Parameters!$C$15</f>
        <v>1.0468493150684929E-8</v>
      </c>
      <c r="G11" s="31">
        <f>'Group Means'!H10/1000*Parameters!$C$15</f>
        <v>2.7879452054794521E-8</v>
      </c>
      <c r="H11" s="31">
        <f>'Group Means'!I10/1000*Parameters!$C$15</f>
        <v>7.2707762557077613E-9</v>
      </c>
      <c r="I11" s="31">
        <f>'Group Means'!J10/1000*Parameters!$C$15</f>
        <v>1.441461187214612E-8</v>
      </c>
      <c r="J11" s="31">
        <f>'Group Means'!K10/1000*Parameters!$C$15</f>
        <v>6.8493150684931499E-10</v>
      </c>
      <c r="K11" s="31">
        <f>'Group Means'!L10/1000*Parameters!$C$15</f>
        <v>4.5913242009132416E-9</v>
      </c>
      <c r="L11" s="31">
        <f>'Group Means'!M10/1000*Parameters!$C$15</f>
        <v>2.0584474885844746E-9</v>
      </c>
      <c r="M11" s="31">
        <f>'Group Means'!N10/1000*Parameters!$C$15</f>
        <v>6.8493150684931499E-10</v>
      </c>
      <c r="N11" s="31">
        <f>'Group Means'!O10/1000*Parameters!$C$15</f>
        <v>1.8273972602739723E-9</v>
      </c>
      <c r="O11" s="31">
        <f>'Group Means'!P10/1000*Parameters!$C$15</f>
        <v>4.8442922374429218E-9</v>
      </c>
    </row>
    <row r="12" spans="1:15" ht="15" customHeight="1" x14ac:dyDescent="0.25">
      <c r="A12" s="10" t="s">
        <v>71</v>
      </c>
      <c r="B12" s="31">
        <f>'Group Means'!C11/1000*Parameters!$C$15</f>
        <v>1.1436529680365297E-8</v>
      </c>
      <c r="C12" s="31">
        <f>'Group Means'!D11/1000*Parameters!$C$15</f>
        <v>1.2218721461187212E-8</v>
      </c>
      <c r="D12" s="31">
        <f>'Group Means'!E11/1000*Parameters!$C$15</f>
        <v>6.8493150684931499E-10</v>
      </c>
      <c r="E12" s="31">
        <f>'Group Means'!F11/1000*Parameters!$C$15</f>
        <v>6.8803652968036526E-9</v>
      </c>
      <c r="F12" s="31">
        <f>'Group Means'!G11/1000*Parameters!$C$15</f>
        <v>1.0409589041095888E-8</v>
      </c>
      <c r="G12" s="31">
        <f>'Group Means'!H11/1000*Parameters!$C$15</f>
        <v>2.72337899543379E-8</v>
      </c>
      <c r="H12" s="31">
        <f>'Group Means'!I11/1000*Parameters!$C$15</f>
        <v>9.3000000000000006E-9</v>
      </c>
      <c r="I12" s="31">
        <f>'Group Means'!J11/1000*Parameters!$C$15</f>
        <v>1.8321004566210043E-8</v>
      </c>
      <c r="J12" s="31">
        <f>'Group Means'!K11/1000*Parameters!$C$15</f>
        <v>3.7525114155251134E-9</v>
      </c>
      <c r="K12" s="31">
        <f>'Group Means'!L11/1000*Parameters!$C$15</f>
        <v>4.3744292237442918E-9</v>
      </c>
      <c r="L12" s="31">
        <f>'Group Means'!M11/1000*Parameters!$C$15</f>
        <v>2.371689497716895E-9</v>
      </c>
      <c r="M12" s="31">
        <f>'Group Means'!N11/1000*Parameters!$C$15</f>
        <v>5.0557077625570775E-9</v>
      </c>
      <c r="N12" s="31">
        <f>'Group Means'!O11/1000*Parameters!$C$15</f>
        <v>6.8493150684931499E-10</v>
      </c>
      <c r="O12" s="31">
        <f>'Group Means'!P11/1000*Parameters!$C$15</f>
        <v>4.3447488584474881E-9</v>
      </c>
    </row>
    <row r="13" spans="1:15" ht="15" customHeight="1" x14ac:dyDescent="0.25">
      <c r="A13" s="10" t="s">
        <v>75</v>
      </c>
      <c r="B13" s="31">
        <f>'Group Means'!C12/1000*Parameters!$C$15</f>
        <v>1.2626484018264838E-8</v>
      </c>
      <c r="C13" s="31">
        <f>'Group Means'!D12/1000*Parameters!$C$15</f>
        <v>1.1940639269406391E-8</v>
      </c>
      <c r="D13" s="31">
        <f>'Group Means'!E12/1000*Parameters!$C$15</f>
        <v>1.1668036529680361E-8</v>
      </c>
      <c r="E13" s="31">
        <f>'Group Means'!F12/1000*Parameters!$C$15</f>
        <v>7.0264840182648394E-9</v>
      </c>
      <c r="F13" s="31">
        <f>'Group Means'!G12/1000*Parameters!$C$15</f>
        <v>1.1138356164383563E-8</v>
      </c>
      <c r="G13" s="31">
        <f>'Group Means'!H12/1000*Parameters!$C$15</f>
        <v>2.8692694063926939E-8</v>
      </c>
      <c r="H13" s="31">
        <f>'Group Means'!I12/1000*Parameters!$C$15</f>
        <v>7.999543378995433E-9</v>
      </c>
      <c r="I13" s="31">
        <f>'Group Means'!J12/1000*Parameters!$C$15</f>
        <v>1.5758447488584474E-8</v>
      </c>
      <c r="J13" s="31">
        <f>'Group Means'!K12/1000*Parameters!$C$15</f>
        <v>3.1917808219178082E-9</v>
      </c>
      <c r="K13" s="31">
        <f>'Group Means'!L12/1000*Parameters!$C$15</f>
        <v>7.5146118721461191E-9</v>
      </c>
      <c r="L13" s="31">
        <f>'Group Means'!M12/1000*Parameters!$C$15</f>
        <v>2.8716894977168945E-9</v>
      </c>
      <c r="M13" s="31">
        <f>'Group Means'!N12/1000*Parameters!$C$15</f>
        <v>5.1561643835616434E-9</v>
      </c>
      <c r="N13" s="31">
        <f>'Group Means'!O12/1000*Parameters!$C$15</f>
        <v>4.556164383561643E-9</v>
      </c>
      <c r="O13" s="31">
        <f>'Group Means'!P12/1000*Parameters!$C$15</f>
        <v>7.8538812785388128E-9</v>
      </c>
    </row>
    <row r="14" spans="1:15" ht="15" customHeight="1" x14ac:dyDescent="0.25">
      <c r="A14" s="10" t="s">
        <v>79</v>
      </c>
      <c r="B14" s="31">
        <f>'Group Means'!C13/1000*Parameters!$C$15</f>
        <v>1.2953424657534246E-8</v>
      </c>
      <c r="C14" s="31">
        <f>'Group Means'!D13/1000*Parameters!$C$15</f>
        <v>1.3746118721461185E-8</v>
      </c>
      <c r="D14" s="31">
        <f>'Group Means'!E13/1000*Parameters!$C$15</f>
        <v>8.7479452054794519E-9</v>
      </c>
      <c r="E14" s="31">
        <f>'Group Means'!F13/1000*Parameters!$C$15</f>
        <v>1.18648401826484E-8</v>
      </c>
      <c r="F14" s="31">
        <f>'Group Means'!G13/1000*Parameters!$C$15</f>
        <v>1.2685844748858447E-8</v>
      </c>
      <c r="G14" s="31">
        <f>'Group Means'!H13/1000*Parameters!$C$15</f>
        <v>2.9082191780821914E-8</v>
      </c>
      <c r="H14" s="31">
        <f>'Group Means'!I13/1000*Parameters!$C$15</f>
        <v>1.0218264840182648E-8</v>
      </c>
      <c r="I14" s="31">
        <f>'Group Means'!J13/1000*Parameters!$C$15</f>
        <v>2.0131050228310501E-8</v>
      </c>
      <c r="J14" s="31">
        <f>'Group Means'!K13/1000*Parameters!$C$15</f>
        <v>3.0977168949771688E-9</v>
      </c>
      <c r="K14" s="31">
        <f>'Group Means'!L13/1000*Parameters!$C$15</f>
        <v>8.282191780821916E-9</v>
      </c>
      <c r="L14" s="31">
        <f>'Group Means'!M13/1000*Parameters!$C$15</f>
        <v>4.5625570776255713E-9</v>
      </c>
      <c r="M14" s="31">
        <f>'Group Means'!N13/1000*Parameters!$C$15</f>
        <v>6.3648401826484016E-9</v>
      </c>
      <c r="N14" s="31">
        <f>'Group Means'!O13/1000*Parameters!$C$15</f>
        <v>3.9255707762557081E-9</v>
      </c>
      <c r="O14" s="31">
        <f>'Group Means'!P13/1000*Parameters!$C$15</f>
        <v>7.4068493150684933E-9</v>
      </c>
    </row>
    <row r="15" spans="1:15" ht="15" customHeight="1" x14ac:dyDescent="0.25">
      <c r="A15" s="10" t="s">
        <v>83</v>
      </c>
      <c r="B15" s="31">
        <f>'Group Means'!C14/1000*Parameters!$C$15</f>
        <v>1.3676712328767121E-8</v>
      </c>
      <c r="C15" s="31">
        <f>'Group Means'!D14/1000*Parameters!$C$15</f>
        <v>1.8059817351598171E-8</v>
      </c>
      <c r="D15" s="31">
        <f>'Group Means'!E14/1000*Parameters!$C$15</f>
        <v>1.2559360730593608E-8</v>
      </c>
      <c r="E15" s="31">
        <f>'Group Means'!F14/1000*Parameters!$C$15</f>
        <v>8.9383561643835597E-9</v>
      </c>
      <c r="F15" s="31">
        <f>'Group Means'!G14/1000*Parameters!$C$15</f>
        <v>1.2562100456621005E-8</v>
      </c>
      <c r="G15" s="31">
        <f>'Group Means'!H14/1000*Parameters!$C$15</f>
        <v>3.2778995433789951E-8</v>
      </c>
      <c r="H15" s="31">
        <f>'Group Means'!I14/1000*Parameters!$C$15</f>
        <v>9.2264840182648392E-9</v>
      </c>
      <c r="I15" s="31">
        <f>'Group Means'!J14/1000*Parameters!$C$15</f>
        <v>1.8268036529680364E-8</v>
      </c>
      <c r="J15" s="31">
        <f>'Group Means'!K14/1000*Parameters!$C$15</f>
        <v>4.8607305936073057E-9</v>
      </c>
      <c r="K15" s="31">
        <f>'Group Means'!L14/1000*Parameters!$C$15</f>
        <v>1.1301826484018262E-8</v>
      </c>
      <c r="L15" s="31">
        <f>'Group Means'!M14/1000*Parameters!$C$15</f>
        <v>5.9228310502283095E-9</v>
      </c>
      <c r="M15" s="31">
        <f>'Group Means'!N14/1000*Parameters!$C$15</f>
        <v>9.9045662100456609E-9</v>
      </c>
      <c r="N15" s="31">
        <f>'Group Means'!O14/1000*Parameters!$C$15</f>
        <v>6.7908675799086757E-9</v>
      </c>
      <c r="O15" s="31">
        <f>'Group Means'!P14/1000*Parameters!$C$15</f>
        <v>1.1287671232876713E-8</v>
      </c>
    </row>
    <row r="16" spans="1:15" ht="15" customHeight="1" x14ac:dyDescent="0.25">
      <c r="A16" s="10" t="s">
        <v>87</v>
      </c>
      <c r="B16" s="31">
        <f>'Group Means'!C15/1000*Parameters!$C$15</f>
        <v>1.6610502283105022E-8</v>
      </c>
      <c r="C16" s="31">
        <f>'Group Means'!D15/1000*Parameters!$C$15</f>
        <v>1.8976712328767119E-8</v>
      </c>
      <c r="D16" s="31">
        <f>'Group Means'!E15/1000*Parameters!$C$15</f>
        <v>1.577260273972603E-8</v>
      </c>
      <c r="E16" s="31">
        <f>'Group Means'!F15/1000*Parameters!$C$15</f>
        <v>1.2755707762557079E-8</v>
      </c>
      <c r="F16" s="31">
        <f>'Group Means'!G15/1000*Parameters!$C$15</f>
        <v>1.562009132420091E-8</v>
      </c>
      <c r="G16" s="31">
        <f>'Group Means'!H15/1000*Parameters!$C$15</f>
        <v>4.1031963470319628E-8</v>
      </c>
      <c r="H16" s="31">
        <f>'Group Means'!I15/1000*Parameters!$C$15</f>
        <v>1.1522374429223743E-8</v>
      </c>
      <c r="I16" s="31">
        <f>'Group Means'!J15/1000*Parameters!$C$15</f>
        <v>2.2744748858447489E-8</v>
      </c>
      <c r="J16" s="31">
        <f>'Group Means'!K15/1000*Parameters!$C$15</f>
        <v>6.1173515981735148E-9</v>
      </c>
      <c r="K16" s="31">
        <f>'Group Means'!L15/1000*Parameters!$C$15</f>
        <v>2.1033789954337897E-8</v>
      </c>
      <c r="L16" s="31">
        <f>'Group Means'!M15/1000*Parameters!$C$15</f>
        <v>1.0664840182648401E-8</v>
      </c>
      <c r="M16" s="31">
        <f>'Group Means'!N15/1000*Parameters!$C$15</f>
        <v>1.4698630136986297E-8</v>
      </c>
      <c r="N16" s="31">
        <f>'Group Means'!O15/1000*Parameters!$C$15</f>
        <v>1.2550228310502282E-8</v>
      </c>
      <c r="O16" s="31">
        <f>'Group Means'!P15/1000*Parameters!$C$15</f>
        <v>1.8572146118721461E-8</v>
      </c>
    </row>
    <row r="17" spans="1:15" ht="15" customHeight="1" x14ac:dyDescent="0.25">
      <c r="A17" s="17" t="s">
        <v>44</v>
      </c>
      <c r="B17" s="31">
        <f>'Group Means'!C16/1000*Parameters!$C$15</f>
        <v>4.9572298325722986E-9</v>
      </c>
      <c r="C17" s="31">
        <f>'Group Means'!D16/1000*Parameters!$C$15</f>
        <v>1.0352815829528158E-8</v>
      </c>
      <c r="D17" s="31">
        <f>'Group Means'!E16/1000*Parameters!$C$15</f>
        <v>5.159056316590562E-9</v>
      </c>
      <c r="E17" s="31">
        <f>'Group Means'!F16/1000*Parameters!$C$15</f>
        <v>5.8882800608828012E-9</v>
      </c>
      <c r="F17" s="31">
        <f>'Group Means'!G16/1000*Parameters!$C$15</f>
        <v>1.1236681887366817E-8</v>
      </c>
      <c r="G17" s="31">
        <f>'Group Means'!H16/1000*Parameters!$C$15</f>
        <v>1.7319482496194825E-8</v>
      </c>
      <c r="H17" s="31">
        <f>'Group Means'!I16/1000*Parameters!$C$15</f>
        <v>4.7683409436834094E-9</v>
      </c>
      <c r="I17" s="31">
        <f>'Group Means'!J16/1000*Parameters!$C$15</f>
        <v>9.3939117199391155E-9</v>
      </c>
      <c r="J17" s="31">
        <f>'Group Means'!K16/1000*Parameters!$C$15</f>
        <v>2.1417047184170473E-9</v>
      </c>
      <c r="K17" s="31">
        <f>'Group Means'!L16/1000*Parameters!$C$15</f>
        <v>2.4105022831050227E-9</v>
      </c>
      <c r="L17" s="31">
        <f>'Group Means'!M16/1000*Parameters!$C$15</f>
        <v>2.4494672754946728E-9</v>
      </c>
      <c r="M17" s="31">
        <f>'Group Means'!N16/1000*Parameters!$C$15</f>
        <v>3.9624048706240481E-9</v>
      </c>
      <c r="N17" s="31">
        <f>'Group Means'!O16/1000*Parameters!$C$15</f>
        <v>3.5295281582952817E-9</v>
      </c>
      <c r="O17" s="31">
        <f>'Group Means'!P16/1000*Parameters!$C$15</f>
        <v>5.6001522070015216E-9</v>
      </c>
    </row>
    <row r="18" spans="1:15" ht="15" customHeight="1" x14ac:dyDescent="0.25">
      <c r="A18" s="17" t="s">
        <v>57</v>
      </c>
      <c r="B18" s="31">
        <f>'Group Means'!C17/1000*Parameters!$C$15</f>
        <v>7.7398782343987816E-9</v>
      </c>
      <c r="C18" s="31">
        <f>'Group Means'!D17/1000*Parameters!$C$15</f>
        <v>1.0901826484018263E-8</v>
      </c>
      <c r="D18" s="31">
        <f>'Group Means'!E17/1000*Parameters!$C$15</f>
        <v>5.1954337899543378E-9</v>
      </c>
      <c r="E18" s="31">
        <f>'Group Means'!F17/1000*Parameters!$C$15</f>
        <v>6.2136986301369857E-9</v>
      </c>
      <c r="F18" s="31">
        <f>'Group Means'!G17/1000*Parameters!$C$15</f>
        <v>9.8529680365296809E-9</v>
      </c>
      <c r="G18" s="31">
        <f>'Group Means'!H17/1000*Parameters!$C$15</f>
        <v>2.3854794520547947E-8</v>
      </c>
      <c r="H18" s="31">
        <f>'Group Means'!I17/1000*Parameters!$C$15</f>
        <v>5.6701674277016733E-9</v>
      </c>
      <c r="I18" s="31">
        <f>'Group Means'!J17/1000*Parameters!$C$15</f>
        <v>1.1200304414003043E-8</v>
      </c>
      <c r="J18" s="31">
        <f>'Group Means'!K17/1000*Parameters!$C$15</f>
        <v>6.8493150684931499E-10</v>
      </c>
      <c r="K18" s="31">
        <f>'Group Means'!L17/1000*Parameters!$C$15</f>
        <v>3.1165905631659051E-9</v>
      </c>
      <c r="L18" s="31">
        <f>'Group Means'!M17/1000*Parameters!$C$15</f>
        <v>1.4538812785388124E-9</v>
      </c>
      <c r="M18" s="31">
        <f>'Group Means'!N17/1000*Parameters!$C$15</f>
        <v>2.9109589041095889E-9</v>
      </c>
      <c r="N18" s="31">
        <f>'Group Means'!O17/1000*Parameters!$C$15</f>
        <v>1.3788432267884323E-9</v>
      </c>
      <c r="O18" s="31">
        <f>'Group Means'!P17/1000*Parameters!$C$15</f>
        <v>3.5765601217656005E-9</v>
      </c>
    </row>
    <row r="19" spans="1:15" ht="15" customHeight="1" x14ac:dyDescent="0.25">
      <c r="A19" s="17" t="s">
        <v>70</v>
      </c>
      <c r="B19" s="31">
        <f>'Group Means'!C18/1000*Parameters!$C$15</f>
        <v>1.3460730593607306E-8</v>
      </c>
      <c r="C19" s="31">
        <f>'Group Means'!D18/1000*Parameters!$C$15</f>
        <v>1.4988401826484018E-8</v>
      </c>
      <c r="D19" s="31">
        <f>'Group Means'!E18/1000*Parameters!$C$15</f>
        <v>9.8865753424657534E-9</v>
      </c>
      <c r="E19" s="31">
        <f>'Group Means'!F18/1000*Parameters!$C$15</f>
        <v>9.4931506849315083E-9</v>
      </c>
      <c r="F19" s="31">
        <f>'Group Means'!G18/1000*Parameters!$C$15</f>
        <v>1.2483196347031961E-8</v>
      </c>
      <c r="G19" s="31">
        <f>'Group Means'!H18/1000*Parameters!$C$15</f>
        <v>3.1763926940639262E-8</v>
      </c>
      <c r="H19" s="31">
        <f>'Group Means'!I18/1000*Parameters!$C$15</f>
        <v>9.6533333333333314E-9</v>
      </c>
      <c r="I19" s="31">
        <f>'Group Means'!J18/1000*Parameters!$C$15</f>
        <v>1.9044657534246572E-8</v>
      </c>
      <c r="J19" s="31">
        <f>'Group Means'!K18/1000*Parameters!$C$15</f>
        <v>4.2040182648401827E-9</v>
      </c>
      <c r="K19" s="31">
        <f>'Group Means'!L18/1000*Parameters!$C$15</f>
        <v>1.0501369863013697E-8</v>
      </c>
      <c r="L19" s="31">
        <f>'Group Means'!M18/1000*Parameters!$C$15</f>
        <v>5.2787214611872143E-9</v>
      </c>
      <c r="M19" s="31">
        <f>'Group Means'!N18/1000*Parameters!$C$15</f>
        <v>8.2359817351598141E-9</v>
      </c>
      <c r="N19" s="31">
        <f>'Group Means'!O18/1000*Parameters!$C$15</f>
        <v>5.7015525114155242E-9</v>
      </c>
      <c r="O19" s="31">
        <f>'Group Means'!P18/1000*Parameters!$C$15</f>
        <v>9.8930593607305901E-9</v>
      </c>
    </row>
    <row r="20" spans="1:15" ht="15" customHeight="1" x14ac:dyDescent="0.25">
      <c r="A20" s="17" t="s">
        <v>127</v>
      </c>
      <c r="B20" s="31">
        <f>'Group Means'!C19/1000*Parameters!$C$15</f>
        <v>9.5813615608136165E-9</v>
      </c>
      <c r="C20" s="31">
        <f>'Group Means'!D19/1000*Parameters!$C$15</f>
        <v>1.2609630552096308E-8</v>
      </c>
      <c r="D20" s="31">
        <f>'Group Means'!E19/1000*Parameters!$C$15</f>
        <v>7.3178497301784958E-9</v>
      </c>
      <c r="E20" s="31">
        <f>'Group Means'!F19/1000*Parameters!$C$15</f>
        <v>7.6156081361560804E-9</v>
      </c>
      <c r="F20" s="31">
        <f>'Group Means'!G19/1000*Parameters!$C$15</f>
        <v>1.1425902864259028E-8</v>
      </c>
      <c r="G20" s="31">
        <f>'Group Means'!H19/1000*Parameters!$C$15</f>
        <v>2.5667496886674963E-8</v>
      </c>
      <c r="H20" s="31">
        <f>'Group Means'!I19/1000*Parameters!$C$15</f>
        <v>7.2347447073474488E-9</v>
      </c>
      <c r="I20" s="31">
        <f>'Group Means'!J19/1000*Parameters!$C$15</f>
        <v>1.427326691573267E-8</v>
      </c>
      <c r="J20" s="31">
        <f>'Group Means'!K19/1000*Parameters!$C$15</f>
        <v>2.6818181818181818E-9</v>
      </c>
      <c r="K20" s="31">
        <f>'Group Means'!L19/1000*Parameters!$C$15</f>
        <v>6.2807388958073884E-9</v>
      </c>
      <c r="L20" s="31">
        <f>'Group Means'!M19/1000*Parameters!$C$15</f>
        <v>3.4639684516396845E-9</v>
      </c>
      <c r="M20" s="31">
        <f>'Group Means'!N19/1000*Parameters!$C$15</f>
        <v>5.6181818181818173E-9</v>
      </c>
      <c r="N20" s="31">
        <f>'Group Means'!O19/1000*Parameters!$C$15</f>
        <v>3.9302615193026137E-9</v>
      </c>
      <c r="O20" s="31">
        <f>'Group Means'!P19/1000*Parameters!$C$15</f>
        <v>6.9995848899958484E-9</v>
      </c>
    </row>
    <row r="23" spans="1:15" ht="15" customHeight="1" x14ac:dyDescent="0.25">
      <c r="A23" s="17" t="s">
        <v>318</v>
      </c>
    </row>
    <row r="24" spans="1:15" ht="23.25" customHeight="1" x14ac:dyDescent="0.25">
      <c r="A24" s="6" t="s">
        <v>130</v>
      </c>
      <c r="B24" s="6" t="s">
        <v>25</v>
      </c>
      <c r="C24" s="6" t="s">
        <v>26</v>
      </c>
      <c r="D24" s="6" t="s">
        <v>27</v>
      </c>
      <c r="E24" s="6" t="s">
        <v>28</v>
      </c>
      <c r="F24" s="6" t="s">
        <v>29</v>
      </c>
      <c r="G24" s="6" t="s">
        <v>30</v>
      </c>
      <c r="H24" s="6" t="s">
        <v>31</v>
      </c>
      <c r="I24" s="6" t="s">
        <v>32</v>
      </c>
      <c r="J24" s="6" t="s">
        <v>33</v>
      </c>
      <c r="K24" s="6" t="s">
        <v>34</v>
      </c>
      <c r="L24" s="6" t="s">
        <v>35</v>
      </c>
      <c r="M24" s="6" t="s">
        <v>36</v>
      </c>
      <c r="N24" s="6" t="s">
        <v>37</v>
      </c>
      <c r="O24" s="6" t="s">
        <v>38</v>
      </c>
    </row>
    <row r="25" spans="1:15" ht="15" customHeight="1" x14ac:dyDescent="0.25">
      <c r="A25" s="10" t="s">
        <v>45</v>
      </c>
      <c r="B25" s="31">
        <f>'Group Means'!C5/1000*Parameters!$C$16*Toxicity!$D$5</f>
        <v>4.5824876712328766E-10</v>
      </c>
      <c r="C25" s="31">
        <f>'Group Means'!D5/1000*Parameters!$C$16*Toxicity!$D$6</f>
        <v>1.0512830136986302E-9</v>
      </c>
      <c r="D25" s="31">
        <f>'Group Means'!E5/1000*Parameters!$C$16*Toxicity!$D$7</f>
        <v>6.2025369863013694E-10</v>
      </c>
      <c r="E25" s="31">
        <f>'Group Means'!F5/1000*Parameters!$C$16*Toxicity!$D$8</f>
        <v>6.2025369863013705E-10</v>
      </c>
      <c r="F25" s="31">
        <f>'Group Means'!G5/1000*Parameters!$C$16*Toxicity!$D$9</f>
        <v>1.3318947945205479E-9</v>
      </c>
      <c r="G25" s="31">
        <f>'Group Means'!H5/1000*Parameters!$C$16*Toxicity!$D$10</f>
        <v>1.7846231506849314E-9</v>
      </c>
      <c r="H25" s="31">
        <f>'Group Means'!I5/1000*Parameters!$C$16*Toxicity!$D$11</f>
        <v>5.5328000000000008E-10</v>
      </c>
      <c r="I25" s="31">
        <f>'Group Means'!J5/1000*Parameters!$C$16*Toxicity!$D$12</f>
        <v>1.09001698630137E-9</v>
      </c>
      <c r="J25" s="31">
        <f>'Group Means'!K5/1000*Parameters!$C$16*Toxicity!$D$13</f>
        <v>1.0931506849315068E-10</v>
      </c>
      <c r="K25" s="31">
        <f>'Group Means'!L5/1000*Parameters!$C$16*Toxicity!$D$14</f>
        <v>1.0931506849315068E-10</v>
      </c>
      <c r="L25" s="31">
        <f>'Group Means'!M5/1000*Parameters!$C$16*Toxicity!$D$15</f>
        <v>2.7328767123287673E-10</v>
      </c>
      <c r="M25" s="31">
        <f>'Group Means'!N5/1000*Parameters!$C$16*Toxicity!$D$16</f>
        <v>5.7117123287671239E-10</v>
      </c>
      <c r="N25" s="31">
        <f>'Group Means'!O5/1000*Parameters!$C$16*Toxicity!$D$17</f>
        <v>2.7328767123287673E-10</v>
      </c>
      <c r="O25" s="31">
        <f>'Group Means'!P5/1000*Parameters!$C$16*Toxicity!$D$18</f>
        <v>1.2062917808219181E-9</v>
      </c>
    </row>
    <row r="26" spans="1:15" ht="15" customHeight="1" x14ac:dyDescent="0.25">
      <c r="A26" s="10" t="s">
        <v>49</v>
      </c>
      <c r="B26" s="31">
        <f>'Group Means'!C6/1000*Parameters!$C$16*Toxicity!$D$5</f>
        <v>8.1986301369863015E-11</v>
      </c>
      <c r="C26" s="31">
        <f>'Group Means'!D6/1000*Parameters!$C$16*Toxicity!$D$6</f>
        <v>7.6673589041095891E-10</v>
      </c>
      <c r="D26" s="31">
        <f>'Group Means'!E6/1000*Parameters!$C$16*Toxicity!$D$7</f>
        <v>8.1986301369863015E-11</v>
      </c>
      <c r="E26" s="31">
        <f>'Group Means'!F6/1000*Parameters!$C$16*Toxicity!$D$8</f>
        <v>8.1986301369863015E-11</v>
      </c>
      <c r="F26" s="31">
        <f>'Group Means'!G6/1000*Parameters!$C$16*Toxicity!$D$9</f>
        <v>1.1906597260273972E-9</v>
      </c>
      <c r="G26" s="31">
        <f>'Group Means'!H6/1000*Parameters!$C$16*Toxicity!$D$10</f>
        <v>1.3668209589041095E-9</v>
      </c>
      <c r="H26" s="31">
        <f>'Group Means'!I6/1000*Parameters!$C$16*Toxicity!$D$11</f>
        <v>1.0931506849315068E-10</v>
      </c>
      <c r="I26" s="31">
        <f>'Group Means'!J6/1000*Parameters!$C$16*Toxicity!$D$12</f>
        <v>2.1535068493150687E-10</v>
      </c>
      <c r="J26" s="31">
        <f>'Group Means'!K6/1000*Parameters!$C$16*Toxicity!$D$13</f>
        <v>1.0931506849315068E-10</v>
      </c>
      <c r="K26" s="31">
        <f>'Group Means'!L6/1000*Parameters!$C$16*Toxicity!$D$14</f>
        <v>1.0931506849315068E-10</v>
      </c>
      <c r="L26" s="31">
        <f>'Group Means'!M6/1000*Parameters!$C$16*Toxicity!$D$15</f>
        <v>2.7328767123287673E-10</v>
      </c>
      <c r="M26" s="31">
        <f>'Group Means'!N6/1000*Parameters!$C$16*Toxicity!$D$16</f>
        <v>2.7328767123287673E-10</v>
      </c>
      <c r="N26" s="31">
        <f>'Group Means'!O6/1000*Parameters!$C$16*Toxicity!$D$17</f>
        <v>2.7328767123287673E-10</v>
      </c>
      <c r="O26" s="31">
        <f>'Group Means'!P6/1000*Parameters!$C$16*Toxicity!$D$18</f>
        <v>2.7328767123287673E-10</v>
      </c>
    </row>
    <row r="27" spans="1:15" ht="15" customHeight="1" x14ac:dyDescent="0.25">
      <c r="A27" s="10" t="s">
        <v>53</v>
      </c>
      <c r="B27" s="31">
        <f>'Group Means'!C7/1000*Parameters!$C$16*Toxicity!$D$5</f>
        <v>1.2399061643835617E-9</v>
      </c>
      <c r="C27" s="31">
        <f>'Group Means'!D7/1000*Parameters!$C$16*Toxicity!$D$6</f>
        <v>1.8996772602739726E-9</v>
      </c>
      <c r="D27" s="31">
        <f>'Group Means'!E7/1000*Parameters!$C$16*Toxicity!$D$7</f>
        <v>1.1503771232876714E-9</v>
      </c>
      <c r="E27" s="31">
        <f>'Group Means'!F7/1000*Parameters!$C$16*Toxicity!$D$8</f>
        <v>1.4122413698630139E-9</v>
      </c>
      <c r="F27" s="31">
        <f>'Group Means'!G7/1000*Parameters!$C$16*Toxicity!$D$9</f>
        <v>1.5125379452054796E-9</v>
      </c>
      <c r="G27" s="31">
        <f>'Group Means'!H7/1000*Parameters!$C$16*Toxicity!$D$10</f>
        <v>3.067982054794521E-9</v>
      </c>
      <c r="H27" s="31">
        <f>'Group Means'!I7/1000*Parameters!$C$16*Toxicity!$D$11</f>
        <v>1.620486575342466E-9</v>
      </c>
      <c r="I27" s="31">
        <f>'Group Means'!J7/1000*Parameters!$C$16*Toxicity!$D$12</f>
        <v>3.1924372602739725E-9</v>
      </c>
      <c r="J27" s="31">
        <f>'Group Means'!K7/1000*Parameters!$C$16*Toxicity!$D$13</f>
        <v>8.0681808219178103E-10</v>
      </c>
      <c r="K27" s="31">
        <f>'Group Means'!L7/1000*Parameters!$C$16*Toxicity!$D$14</f>
        <v>9.3551835616438359E-10</v>
      </c>
      <c r="L27" s="31">
        <f>'Group Means'!M7/1000*Parameters!$C$16*Toxicity!$D$15</f>
        <v>2.3854369863013703E-9</v>
      </c>
      <c r="M27" s="31">
        <f>'Group Means'!N7/1000*Parameters!$C$16*Toxicity!$D$16</f>
        <v>3.8985397260273972E-9</v>
      </c>
      <c r="N27" s="31">
        <f>'Group Means'!O7/1000*Parameters!$C$16*Toxicity!$D$17</f>
        <v>3.6782698630136991E-9</v>
      </c>
      <c r="O27" s="31">
        <f>'Group Means'!P7/1000*Parameters!$C$16*Toxicity!$D$18</f>
        <v>5.223802739726029E-9</v>
      </c>
    </row>
    <row r="28" spans="1:15" ht="15" customHeight="1" x14ac:dyDescent="0.25">
      <c r="A28" s="10" t="s">
        <v>58</v>
      </c>
      <c r="B28" s="31">
        <f>'Group Means'!C8/1000*Parameters!$C$16*Toxicity!$D$5</f>
        <v>7.0475424657534227E-10</v>
      </c>
      <c r="C28" s="31">
        <f>'Group Means'!D8/1000*Parameters!$C$16*Toxicity!$D$6</f>
        <v>1.0040042465753424E-9</v>
      </c>
      <c r="D28" s="31">
        <f>'Group Means'!E8/1000*Parameters!$C$16*Toxicity!$D$7</f>
        <v>8.1986301369863015E-11</v>
      </c>
      <c r="E28" s="31">
        <f>'Group Means'!F8/1000*Parameters!$C$16*Toxicity!$D$8</f>
        <v>8.9583698630136995E-10</v>
      </c>
      <c r="F28" s="31">
        <f>'Group Means'!G8/1000*Parameters!$C$16*Toxicity!$D$9</f>
        <v>1.073692602739726E-9</v>
      </c>
      <c r="G28" s="31">
        <f>'Group Means'!H8/1000*Parameters!$C$16*Toxicity!$D$10</f>
        <v>2.1316438356164387E-9</v>
      </c>
      <c r="H28" s="31">
        <f>'Group Means'!I8/1000*Parameters!$C$16*Toxicity!$D$11</f>
        <v>6.7768054794520545E-10</v>
      </c>
      <c r="I28" s="31">
        <f>'Group Means'!J8/1000*Parameters!$C$16*Toxicity!$D$12</f>
        <v>1.3348827397260277E-9</v>
      </c>
      <c r="J28" s="31">
        <f>'Group Means'!K8/1000*Parameters!$C$16*Toxicity!$D$13</f>
        <v>1.0931506849315068E-10</v>
      </c>
      <c r="K28" s="31">
        <f>'Group Means'!L8/1000*Parameters!$C$16*Toxicity!$D$14</f>
        <v>1.0931506849315068E-10</v>
      </c>
      <c r="L28" s="31">
        <f>'Group Means'!M8/1000*Parameters!$C$16*Toxicity!$D$15</f>
        <v>6.4568767123287675E-10</v>
      </c>
      <c r="M28" s="31">
        <f>'Group Means'!N8/1000*Parameters!$C$16*Toxicity!$D$16</f>
        <v>1.8348534246575344E-9</v>
      </c>
      <c r="N28" s="31">
        <f>'Group Means'!O8/1000*Parameters!$C$16*Toxicity!$D$17</f>
        <v>2.7328767123287673E-10</v>
      </c>
      <c r="O28" s="31">
        <f>'Group Means'!P8/1000*Parameters!$C$16*Toxicity!$D$18</f>
        <v>2.7328767123287673E-10</v>
      </c>
    </row>
    <row r="29" spans="1:15" ht="15" customHeight="1" x14ac:dyDescent="0.25">
      <c r="A29" s="10" t="s">
        <v>62</v>
      </c>
      <c r="B29" s="31">
        <f>'Group Means'!C9/1000*Parameters!$C$16*Toxicity!$D$5</f>
        <v>9.9279945205479456E-10</v>
      </c>
      <c r="C29" s="31">
        <f>'Group Means'!D9/1000*Parameters!$C$16*Toxicity!$D$6</f>
        <v>1.4226809589041098E-9</v>
      </c>
      <c r="D29" s="31">
        <f>'Group Means'!E9/1000*Parameters!$C$16*Toxicity!$D$7</f>
        <v>8.2297849315068482E-10</v>
      </c>
      <c r="E29" s="31">
        <f>'Group Means'!F9/1000*Parameters!$C$16*Toxicity!$D$8</f>
        <v>5.5630438356164389E-10</v>
      </c>
      <c r="F29" s="31">
        <f>'Group Means'!G9/1000*Parameters!$C$16*Toxicity!$D$9</f>
        <v>1.2114295890410957E-9</v>
      </c>
      <c r="G29" s="31">
        <f>'Group Means'!H9/1000*Parameters!$C$16*Toxicity!$D$10</f>
        <v>3.0974424657534252E-9</v>
      </c>
      <c r="H29" s="31">
        <f>'Group Means'!I9/1000*Parameters!$C$16*Toxicity!$D$11</f>
        <v>8.7677972602739747E-10</v>
      </c>
      <c r="I29" s="31">
        <f>'Group Means'!J9/1000*Parameters!$C$16*Toxicity!$D$12</f>
        <v>1.7272509589041099E-9</v>
      </c>
      <c r="J29" s="31">
        <f>'Group Means'!K9/1000*Parameters!$C$16*Toxicity!$D$13</f>
        <v>1.0931506849315068E-10</v>
      </c>
      <c r="K29" s="31">
        <f>'Group Means'!L9/1000*Parameters!$C$16*Toxicity!$D$14</f>
        <v>6.5013315068493158E-10</v>
      </c>
      <c r="L29" s="31">
        <f>'Group Means'!M9/1000*Parameters!$C$16*Toxicity!$D$15</f>
        <v>2.7328767123287673E-10</v>
      </c>
      <c r="M29" s="31">
        <f>'Group Means'!N9/1000*Parameters!$C$16*Toxicity!$D$16</f>
        <v>1.3762767123287673E-9</v>
      </c>
      <c r="N29" s="31">
        <f>'Group Means'!O9/1000*Parameters!$C$16*Toxicity!$D$17</f>
        <v>6.4805616438356186E-10</v>
      </c>
      <c r="O29" s="31">
        <f>'Group Means'!P9/1000*Parameters!$C$16*Toxicity!$D$18</f>
        <v>2.0749821917808217E-9</v>
      </c>
    </row>
    <row r="30" spans="1:15" ht="15" customHeight="1" x14ac:dyDescent="0.25">
      <c r="A30" s="10" t="s">
        <v>66</v>
      </c>
      <c r="B30" s="31">
        <f>'Group Means'!C10/1000*Parameters!$C$16*Toxicity!$D$5</f>
        <v>1.0818365753424656E-9</v>
      </c>
      <c r="C30" s="31">
        <f>'Group Means'!D10/1000*Parameters!$C$16*Toxicity!$D$6</f>
        <v>1.4881606849315074E-9</v>
      </c>
      <c r="D30" s="31">
        <f>'Group Means'!E10/1000*Parameters!$C$16*Toxicity!$D$7</f>
        <v>9.6071547945205457E-10</v>
      </c>
      <c r="E30" s="31">
        <f>'Group Means'!F10/1000*Parameters!$C$16*Toxicity!$D$8</f>
        <v>7.7919780821917819E-10</v>
      </c>
      <c r="F30" s="31">
        <f>'Group Means'!G10/1000*Parameters!$C$16*Toxicity!$D$9</f>
        <v>1.2530786301369864E-9</v>
      </c>
      <c r="G30" s="31">
        <f>'Group Means'!H10/1000*Parameters!$C$16*Toxicity!$D$10</f>
        <v>3.3371704109589045E-9</v>
      </c>
      <c r="H30" s="31">
        <f>'Group Means'!I10/1000*Parameters!$C$16*Toxicity!$D$11</f>
        <v>1.1604158904109589E-9</v>
      </c>
      <c r="I30" s="31">
        <f>'Group Means'!J10/1000*Parameters!$C$16*Toxicity!$D$12</f>
        <v>2.3005720547945211E-9</v>
      </c>
      <c r="J30" s="31">
        <f>'Group Means'!K10/1000*Parameters!$C$16*Toxicity!$D$13</f>
        <v>1.0931506849315068E-10</v>
      </c>
      <c r="K30" s="31">
        <f>'Group Means'!L10/1000*Parameters!$C$16*Toxicity!$D$14</f>
        <v>7.3277534246575349E-10</v>
      </c>
      <c r="L30" s="31">
        <f>'Group Means'!M10/1000*Parameters!$C$16*Toxicity!$D$15</f>
        <v>8.2132054794520559E-10</v>
      </c>
      <c r="M30" s="31">
        <f>'Group Means'!N10/1000*Parameters!$C$16*Toxicity!$D$16</f>
        <v>2.7328767123287673E-10</v>
      </c>
      <c r="N30" s="31">
        <f>'Group Means'!O10/1000*Parameters!$C$16*Toxicity!$D$17</f>
        <v>7.2913150684931511E-10</v>
      </c>
      <c r="O30" s="31">
        <f>'Group Means'!P10/1000*Parameters!$C$16*Toxicity!$D$18</f>
        <v>1.9328726027397262E-9</v>
      </c>
    </row>
    <row r="31" spans="1:15" ht="15" customHeight="1" x14ac:dyDescent="0.25">
      <c r="A31" s="10" t="s">
        <v>71</v>
      </c>
      <c r="B31" s="31">
        <f>'Group Means'!C11/1000*Parameters!$C$16*Toxicity!$D$5</f>
        <v>1.3689526027397261E-9</v>
      </c>
      <c r="C31" s="31">
        <f>'Group Means'!D11/1000*Parameters!$C$16*Toxicity!$D$6</f>
        <v>1.4625809589041096E-9</v>
      </c>
      <c r="D31" s="31">
        <f>'Group Means'!E11/1000*Parameters!$C$16*Toxicity!$D$7</f>
        <v>8.1986301369863015E-11</v>
      </c>
      <c r="E31" s="31">
        <f>'Group Means'!F11/1000*Parameters!$C$16*Toxicity!$D$8</f>
        <v>8.2357972602739728E-10</v>
      </c>
      <c r="F31" s="31">
        <f>'Group Means'!G11/1000*Parameters!$C$16*Toxicity!$D$9</f>
        <v>1.2460278082191778E-9</v>
      </c>
      <c r="G31" s="31">
        <f>'Group Means'!H11/1000*Parameters!$C$16*Toxicity!$D$10</f>
        <v>3.2598846575342472E-9</v>
      </c>
      <c r="H31" s="31">
        <f>'Group Means'!I11/1000*Parameters!$C$16*Toxicity!$D$11</f>
        <v>1.4842800000000004E-9</v>
      </c>
      <c r="I31" s="31">
        <f>'Group Means'!J11/1000*Parameters!$C$16*Toxicity!$D$12</f>
        <v>2.9240323287671238E-9</v>
      </c>
      <c r="J31" s="31">
        <f>'Group Means'!K11/1000*Parameters!$C$16*Toxicity!$D$13</f>
        <v>5.9890082191780833E-10</v>
      </c>
      <c r="K31" s="31">
        <f>'Group Means'!L11/1000*Parameters!$C$16*Toxicity!$D$14</f>
        <v>6.9815890410958916E-10</v>
      </c>
      <c r="L31" s="31">
        <f>'Group Means'!M11/1000*Parameters!$C$16*Toxicity!$D$15</f>
        <v>9.4630410958904141E-10</v>
      </c>
      <c r="M31" s="31">
        <f>'Group Means'!N11/1000*Parameters!$C$16*Toxicity!$D$16</f>
        <v>2.0172273972602745E-9</v>
      </c>
      <c r="N31" s="31">
        <f>'Group Means'!O11/1000*Parameters!$C$16*Toxicity!$D$17</f>
        <v>2.7328767123287673E-10</v>
      </c>
      <c r="O31" s="31">
        <f>'Group Means'!P11/1000*Parameters!$C$16*Toxicity!$D$18</f>
        <v>1.7335547945205482E-9</v>
      </c>
    </row>
    <row r="32" spans="1:15" ht="15" customHeight="1" x14ac:dyDescent="0.25">
      <c r="A32" s="10" t="s">
        <v>75</v>
      </c>
      <c r="B32" s="31">
        <f>'Group Means'!C12/1000*Parameters!$C$16*Toxicity!$D$5</f>
        <v>1.5113901369863013E-9</v>
      </c>
      <c r="C32" s="31">
        <f>'Group Means'!D12/1000*Parameters!$C$16*Toxicity!$D$6</f>
        <v>1.4292945205479451E-9</v>
      </c>
      <c r="D32" s="31">
        <f>'Group Means'!E12/1000*Parameters!$C$16*Toxicity!$D$7</f>
        <v>1.3966639726027394E-9</v>
      </c>
      <c r="E32" s="31">
        <f>'Group Means'!F12/1000*Parameters!$C$16*Toxicity!$D$8</f>
        <v>8.4107013698630131E-10</v>
      </c>
      <c r="F32" s="31">
        <f>'Group Means'!G12/1000*Parameters!$C$16*Toxicity!$D$9</f>
        <v>1.3332612328767126E-9</v>
      </c>
      <c r="G32" s="31">
        <f>'Group Means'!H12/1000*Parameters!$C$16*Toxicity!$D$10</f>
        <v>3.4345154794520549E-9</v>
      </c>
      <c r="H32" s="31">
        <f>'Group Means'!I12/1000*Parameters!$C$16*Toxicity!$D$11</f>
        <v>1.2767271232876713E-9</v>
      </c>
      <c r="I32" s="31">
        <f>'Group Means'!J12/1000*Parameters!$C$16*Toxicity!$D$12</f>
        <v>2.5150482191780822E-9</v>
      </c>
      <c r="J32" s="31">
        <f>'Group Means'!K12/1000*Parameters!$C$16*Toxicity!$D$13</f>
        <v>5.0940821917808225E-10</v>
      </c>
      <c r="K32" s="31">
        <f>'Group Means'!L12/1000*Parameters!$C$16*Toxicity!$D$14</f>
        <v>1.1993320547945209E-9</v>
      </c>
      <c r="L32" s="31">
        <f>'Group Means'!M12/1000*Parameters!$C$16*Toxicity!$D$15</f>
        <v>1.1458041095890412E-9</v>
      </c>
      <c r="M32" s="31">
        <f>'Group Means'!N12/1000*Parameters!$C$16*Toxicity!$D$16</f>
        <v>2.0573095890410961E-9</v>
      </c>
      <c r="N32" s="31">
        <f>'Group Means'!O12/1000*Parameters!$C$16*Toxicity!$D$17</f>
        <v>1.8179095890410963E-9</v>
      </c>
      <c r="O32" s="31">
        <f>'Group Means'!P12/1000*Parameters!$C$16*Toxicity!$D$18</f>
        <v>3.1336986301369864E-9</v>
      </c>
    </row>
    <row r="33" spans="1:19" ht="15" customHeight="1" x14ac:dyDescent="0.25">
      <c r="A33" s="10" t="s">
        <v>79</v>
      </c>
      <c r="B33" s="31">
        <f>'Group Means'!C13/1000*Parameters!$C$16*Toxicity!$D$5</f>
        <v>1.5505249315068495E-9</v>
      </c>
      <c r="C33" s="31">
        <f>'Group Means'!D13/1000*Parameters!$C$16*Toxicity!$D$6</f>
        <v>1.6454104109589041E-9</v>
      </c>
      <c r="D33" s="31">
        <f>'Group Means'!E13/1000*Parameters!$C$16*Toxicity!$D$7</f>
        <v>1.0471290410958904E-9</v>
      </c>
      <c r="E33" s="31">
        <f>'Group Means'!F13/1000*Parameters!$C$16*Toxicity!$D$8</f>
        <v>1.4202213698630137E-9</v>
      </c>
      <c r="F33" s="31">
        <f>'Group Means'!G13/1000*Parameters!$C$16*Toxicity!$D$9</f>
        <v>1.5184956164383563E-9</v>
      </c>
      <c r="G33" s="31">
        <f>'Group Means'!H13/1000*Parameters!$C$16*Toxicity!$D$10</f>
        <v>3.4811383561643833E-9</v>
      </c>
      <c r="H33" s="31">
        <f>'Group Means'!I13/1000*Parameters!$C$16*Toxicity!$D$11</f>
        <v>1.6308350684931508E-9</v>
      </c>
      <c r="I33" s="31">
        <f>'Group Means'!J13/1000*Parameters!$C$16*Toxicity!$D$12</f>
        <v>3.2129156164383568E-9</v>
      </c>
      <c r="J33" s="31">
        <f>'Group Means'!K13/1000*Parameters!$C$16*Toxicity!$D$13</f>
        <v>4.9439561643835632E-10</v>
      </c>
      <c r="K33" s="31">
        <f>'Group Means'!L13/1000*Parameters!$C$16*Toxicity!$D$14</f>
        <v>1.321837808219178E-9</v>
      </c>
      <c r="L33" s="31">
        <f>'Group Means'!M13/1000*Parameters!$C$16*Toxicity!$D$15</f>
        <v>1.8204602739726032E-9</v>
      </c>
      <c r="M33" s="31">
        <f>'Group Means'!N13/1000*Parameters!$C$16*Toxicity!$D$16</f>
        <v>2.5395712328767129E-9</v>
      </c>
      <c r="N33" s="31">
        <f>'Group Means'!O13/1000*Parameters!$C$16*Toxicity!$D$17</f>
        <v>1.5663027397260281E-9</v>
      </c>
      <c r="O33" s="31">
        <f>'Group Means'!P13/1000*Parameters!$C$16*Toxicity!$D$18</f>
        <v>2.9553328767123293E-9</v>
      </c>
    </row>
    <row r="34" spans="1:19" ht="15" customHeight="1" x14ac:dyDescent="0.25">
      <c r="A34" s="10" t="s">
        <v>83</v>
      </c>
      <c r="B34" s="31">
        <f>'Group Means'!C14/1000*Parameters!$C$16*Toxicity!$D$5</f>
        <v>1.6371024657534246E-9</v>
      </c>
      <c r="C34" s="31">
        <f>'Group Means'!D14/1000*Parameters!$C$16*Toxicity!$D$6</f>
        <v>2.1617601369863014E-9</v>
      </c>
      <c r="D34" s="31">
        <f>'Group Means'!E14/1000*Parameters!$C$16*Toxicity!$D$7</f>
        <v>1.5033554794520553E-9</v>
      </c>
      <c r="E34" s="31">
        <f>'Group Means'!F14/1000*Parameters!$C$16*Toxicity!$D$8</f>
        <v>1.0699212328767123E-9</v>
      </c>
      <c r="F34" s="31">
        <f>'Group Means'!G14/1000*Parameters!$C$16*Toxicity!$D$9</f>
        <v>1.5036834246575346E-9</v>
      </c>
      <c r="G34" s="31">
        <f>'Group Means'!H14/1000*Parameters!$C$16*Toxicity!$D$10</f>
        <v>3.9236457534246581E-9</v>
      </c>
      <c r="H34" s="31">
        <f>'Group Means'!I14/1000*Parameters!$C$16*Toxicity!$D$11</f>
        <v>1.4725468493150685E-9</v>
      </c>
      <c r="I34" s="31">
        <f>'Group Means'!J14/1000*Parameters!$C$16*Toxicity!$D$12</f>
        <v>2.9155786301369864E-9</v>
      </c>
      <c r="J34" s="31">
        <f>'Group Means'!K14/1000*Parameters!$C$16*Toxicity!$D$13</f>
        <v>7.7577260273972611E-10</v>
      </c>
      <c r="K34" s="31">
        <f>'Group Means'!L14/1000*Parameters!$C$16*Toxicity!$D$14</f>
        <v>1.8037715068493147E-9</v>
      </c>
      <c r="L34" s="31">
        <f>'Group Means'!M14/1000*Parameters!$C$16*Toxicity!$D$15</f>
        <v>2.363209589041096E-9</v>
      </c>
      <c r="M34" s="31">
        <f>'Group Means'!N14/1000*Parameters!$C$16*Toxicity!$D$16</f>
        <v>3.9519219178082195E-9</v>
      </c>
      <c r="N34" s="31">
        <f>'Group Means'!O14/1000*Parameters!$C$16*Toxicity!$D$17</f>
        <v>2.7095561643835619E-9</v>
      </c>
      <c r="O34" s="31">
        <f>'Group Means'!P14/1000*Parameters!$C$16*Toxicity!$D$18</f>
        <v>4.5037808219178094E-9</v>
      </c>
    </row>
    <row r="35" spans="1:19" ht="15" customHeight="1" x14ac:dyDescent="0.25">
      <c r="A35" s="10" t="s">
        <v>87</v>
      </c>
      <c r="B35" s="31">
        <f>'Group Means'!C15/1000*Parameters!$C$16*Toxicity!$D$5</f>
        <v>1.9882771232876716E-9</v>
      </c>
      <c r="C35" s="31">
        <f>'Group Means'!D15/1000*Parameters!$C$16*Toxicity!$D$6</f>
        <v>2.2715124657534249E-9</v>
      </c>
      <c r="D35" s="31">
        <f>'Group Means'!E15/1000*Parameters!$C$16*Toxicity!$D$7</f>
        <v>1.8879805479452057E-9</v>
      </c>
      <c r="E35" s="31">
        <f>'Group Means'!F15/1000*Parameters!$C$16*Toxicity!$D$8</f>
        <v>1.5268582191780823E-9</v>
      </c>
      <c r="F35" s="31">
        <f>'Group Means'!G15/1000*Parameters!$C$16*Toxicity!$D$9</f>
        <v>1.8697249315068491E-9</v>
      </c>
      <c r="G35" s="31">
        <f>'Group Means'!H15/1000*Parameters!$C$16*Toxicity!$D$10</f>
        <v>4.9115260273972607E-9</v>
      </c>
      <c r="H35" s="31">
        <f>'Group Means'!I15/1000*Parameters!$C$16*Toxicity!$D$11</f>
        <v>1.8389709589041096E-9</v>
      </c>
      <c r="I35" s="31">
        <f>'Group Means'!J15/1000*Parameters!$C$16*Toxicity!$D$12</f>
        <v>3.63006191780822E-9</v>
      </c>
      <c r="J35" s="31">
        <f>'Group Means'!K15/1000*Parameters!$C$16*Toxicity!$D$13</f>
        <v>9.7632931506849327E-10</v>
      </c>
      <c r="K35" s="31">
        <f>'Group Means'!L15/1000*Parameters!$C$16*Toxicity!$D$14</f>
        <v>3.3569928767123293E-9</v>
      </c>
      <c r="L35" s="31">
        <f>'Group Means'!M15/1000*Parameters!$C$16*Toxicity!$D$15</f>
        <v>4.2552712328767131E-9</v>
      </c>
      <c r="M35" s="31">
        <f>'Group Means'!N15/1000*Parameters!$C$16*Toxicity!$D$16</f>
        <v>5.8647534246575335E-9</v>
      </c>
      <c r="N35" s="31">
        <f>'Group Means'!O15/1000*Parameters!$C$16*Toxicity!$D$17</f>
        <v>5.0075410958904122E-9</v>
      </c>
      <c r="O35" s="31">
        <f>'Group Means'!P15/1000*Parameters!$C$16*Toxicity!$D$18</f>
        <v>7.410286301369865E-9</v>
      </c>
    </row>
    <row r="36" spans="1:19" ht="15" customHeight="1" x14ac:dyDescent="0.25">
      <c r="A36" s="17" t="s">
        <v>44</v>
      </c>
      <c r="B36" s="31">
        <f>'Group Means'!C16/1000*Parameters!$C$16*Toxicity!$D$5</f>
        <v>5.933804109589042E-10</v>
      </c>
      <c r="C36" s="31">
        <f>'Group Means'!D16/1000*Parameters!$C$16*Toxicity!$D$6</f>
        <v>1.2392320547945207E-9</v>
      </c>
      <c r="D36" s="31">
        <f>'Group Means'!E16/1000*Parameters!$C$16*Toxicity!$D$7</f>
        <v>6.1753904109589032E-10</v>
      </c>
      <c r="E36" s="31">
        <f>'Group Means'!F16/1000*Parameters!$C$16*Toxicity!$D$8</f>
        <v>7.0482712328767135E-10</v>
      </c>
      <c r="F36" s="31">
        <f>'Group Means'!G16/1000*Parameters!$C$16*Toxicity!$D$9</f>
        <v>1.3450308219178083E-9</v>
      </c>
      <c r="G36" s="31">
        <f>'Group Means'!H16/1000*Parameters!$C$16*Toxicity!$D$10</f>
        <v>2.0731420547945208E-9</v>
      </c>
      <c r="H36" s="31">
        <f>'Group Means'!I16/1000*Parameters!$C$16*Toxicity!$D$11</f>
        <v>7.6102721461187229E-10</v>
      </c>
      <c r="I36" s="31">
        <f>'Group Means'!J16/1000*Parameters!$C$16*Toxicity!$D$12</f>
        <v>1.4992683105022829E-9</v>
      </c>
      <c r="J36" s="31">
        <f>'Group Means'!K16/1000*Parameters!$C$16*Toxicity!$D$13</f>
        <v>3.4181607305936077E-10</v>
      </c>
      <c r="K36" s="31">
        <f>'Group Means'!L16/1000*Parameters!$C$16*Toxicity!$D$14</f>
        <v>3.8471616438356171E-10</v>
      </c>
      <c r="L36" s="31">
        <f>'Group Means'!M16/1000*Parameters!$C$16*Toxicity!$D$15</f>
        <v>9.7733744292237454E-10</v>
      </c>
      <c r="M36" s="31">
        <f>'Group Means'!N16/1000*Parameters!$C$16*Toxicity!$D$16</f>
        <v>1.5809995433789954E-9</v>
      </c>
      <c r="N36" s="31">
        <f>'Group Means'!O16/1000*Parameters!$C$16*Toxicity!$D$17</f>
        <v>1.4082817351598177E-9</v>
      </c>
      <c r="O36" s="31">
        <f>'Group Means'!P16/1000*Parameters!$C$16*Toxicity!$D$18</f>
        <v>2.2344607305936075E-9</v>
      </c>
    </row>
    <row r="37" spans="1:19" ht="15" customHeight="1" x14ac:dyDescent="0.25">
      <c r="A37" s="17" t="s">
        <v>57</v>
      </c>
      <c r="B37" s="31">
        <f>'Group Means'!C17/1000*Parameters!$C$16*Toxicity!$D$5</f>
        <v>9.2646342465753418E-10</v>
      </c>
      <c r="C37" s="31">
        <f>'Group Means'!D17/1000*Parameters!$C$16*Toxicity!$D$6</f>
        <v>1.3049486301369863E-9</v>
      </c>
      <c r="D37" s="31">
        <f>'Group Means'!E17/1000*Parameters!$C$16*Toxicity!$D$7</f>
        <v>6.2189342465753437E-10</v>
      </c>
      <c r="E37" s="31">
        <f>'Group Means'!F17/1000*Parameters!$C$16*Toxicity!$D$8</f>
        <v>7.4377972602739731E-10</v>
      </c>
      <c r="F37" s="31">
        <f>'Group Means'!G17/1000*Parameters!$C$16*Toxicity!$D$9</f>
        <v>1.179400273972603E-9</v>
      </c>
      <c r="G37" s="31">
        <f>'Group Means'!H17/1000*Parameters!$C$16*Toxicity!$D$10</f>
        <v>2.8554189041095893E-9</v>
      </c>
      <c r="H37" s="31">
        <f>'Group Means'!I17/1000*Parameters!$C$16*Toxicity!$D$11</f>
        <v>9.0495872146118718E-10</v>
      </c>
      <c r="I37" s="31">
        <f>'Group Means'!J17/1000*Parameters!$C$16*Toxicity!$D$12</f>
        <v>1.787568584474886E-9</v>
      </c>
      <c r="J37" s="31">
        <f>'Group Means'!K17/1000*Parameters!$C$16*Toxicity!$D$13</f>
        <v>1.0931506849315068E-10</v>
      </c>
      <c r="K37" s="31">
        <f>'Group Means'!L17/1000*Parameters!$C$16*Toxicity!$D$14</f>
        <v>4.9740785388127855E-10</v>
      </c>
      <c r="L37" s="31">
        <f>'Group Means'!M17/1000*Parameters!$C$16*Toxicity!$D$15</f>
        <v>5.8009863013698627E-10</v>
      </c>
      <c r="M37" s="31">
        <f>'Group Means'!N17/1000*Parameters!$C$16*Toxicity!$D$16</f>
        <v>1.1614726027397261E-9</v>
      </c>
      <c r="N37" s="31">
        <f>'Group Means'!O17/1000*Parameters!$C$16*Toxicity!$D$17</f>
        <v>5.5015844748858455E-10</v>
      </c>
      <c r="O37" s="31">
        <f>'Group Means'!P17/1000*Parameters!$C$16*Toxicity!$D$18</f>
        <v>1.4270474885844749E-9</v>
      </c>
    </row>
    <row r="38" spans="1:19" ht="15" customHeight="1" x14ac:dyDescent="0.25">
      <c r="A38" s="17" t="s">
        <v>70</v>
      </c>
      <c r="B38" s="31">
        <f>'Group Means'!C18/1000*Parameters!$C$16*Toxicity!$D$5</f>
        <v>1.6112494520547948E-9</v>
      </c>
      <c r="C38" s="31">
        <f>'Group Means'!D18/1000*Parameters!$C$16*Toxicity!$D$6</f>
        <v>1.794111698630137E-9</v>
      </c>
      <c r="D38" s="31">
        <f>'Group Means'!E18/1000*Parameters!$C$16*Toxicity!$D$7</f>
        <v>1.1834230684931508E-9</v>
      </c>
      <c r="E38" s="31">
        <f>'Group Means'!F18/1000*Parameters!$C$16*Toxicity!$D$8</f>
        <v>1.1363301369863016E-9</v>
      </c>
      <c r="F38" s="31">
        <f>'Group Means'!G18/1000*Parameters!$C$16*Toxicity!$D$9</f>
        <v>1.494238602739726E-9</v>
      </c>
      <c r="G38" s="31">
        <f>'Group Means'!H18/1000*Parameters!$C$16*Toxicity!$D$10</f>
        <v>3.8021420547945205E-9</v>
      </c>
      <c r="H38" s="31">
        <f>'Group Means'!I18/1000*Parameters!$C$16*Toxicity!$D$11</f>
        <v>1.5406719999999998E-9</v>
      </c>
      <c r="I38" s="31">
        <f>'Group Means'!J18/1000*Parameters!$C$16*Toxicity!$D$12</f>
        <v>3.0395273424657537E-9</v>
      </c>
      <c r="J38" s="31">
        <f>'Group Means'!K18/1000*Parameters!$C$16*Toxicity!$D$13</f>
        <v>6.7096131506849334E-10</v>
      </c>
      <c r="K38" s="31">
        <f>'Group Means'!L18/1000*Parameters!$C$16*Toxicity!$D$14</f>
        <v>1.6760186301369861E-9</v>
      </c>
      <c r="L38" s="31">
        <f>'Group Means'!M18/1000*Parameters!$C$16*Toxicity!$D$15</f>
        <v>2.1062098630136987E-9</v>
      </c>
      <c r="M38" s="31">
        <f>'Group Means'!N18/1000*Parameters!$C$16*Toxicity!$D$16</f>
        <v>3.2861567123287663E-9</v>
      </c>
      <c r="N38" s="31">
        <f>'Group Means'!O18/1000*Parameters!$C$16*Toxicity!$D$17</f>
        <v>2.2749194520547949E-9</v>
      </c>
      <c r="O38" s="31">
        <f>'Group Means'!P18/1000*Parameters!$C$16*Toxicity!$D$18</f>
        <v>3.9473306849315065E-9</v>
      </c>
    </row>
    <row r="39" spans="1:19" ht="15" customHeight="1" x14ac:dyDescent="0.25">
      <c r="A39" s="17" t="s">
        <v>127</v>
      </c>
      <c r="B39" s="31">
        <f>'Group Means'!C19/1000*Parameters!$C$16*Toxicity!$D$5</f>
        <v>1.1468889788293901E-9</v>
      </c>
      <c r="C39" s="31">
        <f>'Group Means'!D19/1000*Parameters!$C$16*Toxicity!$D$6</f>
        <v>1.509372777085928E-9</v>
      </c>
      <c r="D39" s="31">
        <f>'Group Means'!E19/1000*Parameters!$C$16*Toxicity!$D$7</f>
        <v>8.7594661270236613E-10</v>
      </c>
      <c r="E39" s="31">
        <f>'Group Means'!F19/1000*Parameters!$C$16*Toxicity!$D$8</f>
        <v>9.1158829389788276E-10</v>
      </c>
      <c r="F39" s="31">
        <f>'Group Means'!G19/1000*Parameters!$C$16*Toxicity!$D$9</f>
        <v>1.3676805728518059E-9</v>
      </c>
      <c r="G39" s="31">
        <f>'Group Means'!H19/1000*Parameters!$C$16*Toxicity!$D$10</f>
        <v>3.0723993773349932E-9</v>
      </c>
      <c r="H39" s="31">
        <f>'Group Means'!I19/1000*Parameters!$C$16*Toxicity!$D$11</f>
        <v>1.1546652552926529E-9</v>
      </c>
      <c r="I39" s="31">
        <f>'Group Means'!J19/1000*Parameters!$C$16*Toxicity!$D$12</f>
        <v>2.2780133997509346E-9</v>
      </c>
      <c r="J39" s="31">
        <f>'Group Means'!K19/1000*Parameters!$C$16*Toxicity!$D$13</f>
        <v>4.2801818181818186E-10</v>
      </c>
      <c r="K39" s="31">
        <f>'Group Means'!L19/1000*Parameters!$C$16*Toxicity!$D$14</f>
        <v>1.0024059277708592E-9</v>
      </c>
      <c r="L39" s="31">
        <f>'Group Means'!M19/1000*Parameters!$C$16*Toxicity!$D$15</f>
        <v>1.3821234122042344E-9</v>
      </c>
      <c r="M39" s="31">
        <f>'Group Means'!N19/1000*Parameters!$C$16*Toxicity!$D$16</f>
        <v>2.2416545454545456E-9</v>
      </c>
      <c r="N39" s="31">
        <f>'Group Means'!O19/1000*Parameters!$C$16*Toxicity!$D$17</f>
        <v>1.5681743462017433E-9</v>
      </c>
      <c r="O39" s="31">
        <f>'Group Means'!P19/1000*Parameters!$C$16*Toxicity!$D$18</f>
        <v>2.7928343711083438E-9</v>
      </c>
    </row>
    <row r="42" spans="1:19" ht="15" customHeight="1" x14ac:dyDescent="0.25">
      <c r="A42" s="17" t="s">
        <v>319</v>
      </c>
    </row>
    <row r="43" spans="1:19" ht="23.25" customHeight="1" x14ac:dyDescent="0.25">
      <c r="A43" s="6" t="s">
        <v>130</v>
      </c>
      <c r="B43" s="6" t="s">
        <v>25</v>
      </c>
      <c r="C43" s="6" t="s">
        <v>26</v>
      </c>
      <c r="D43" s="6" t="s">
        <v>27</v>
      </c>
      <c r="E43" s="6" t="s">
        <v>28</v>
      </c>
      <c r="F43" s="6" t="s">
        <v>29</v>
      </c>
      <c r="G43" s="6" t="s">
        <v>30</v>
      </c>
      <c r="H43" s="6" t="s">
        <v>31</v>
      </c>
      <c r="I43" s="6" t="s">
        <v>32</v>
      </c>
      <c r="J43" s="6" t="s">
        <v>33</v>
      </c>
      <c r="K43" s="6" t="s">
        <v>34</v>
      </c>
      <c r="L43" s="6" t="s">
        <v>35</v>
      </c>
      <c r="M43" s="6" t="s">
        <v>36</v>
      </c>
      <c r="N43" s="6" t="s">
        <v>37</v>
      </c>
      <c r="O43" s="6" t="s">
        <v>38</v>
      </c>
      <c r="P43" s="6" t="s">
        <v>320</v>
      </c>
      <c r="Q43" s="6" t="s">
        <v>321</v>
      </c>
      <c r="R43" s="6" t="s">
        <v>322</v>
      </c>
      <c r="S43" s="6" t="s">
        <v>323</v>
      </c>
    </row>
    <row r="44" spans="1:19" ht="15" customHeight="1" x14ac:dyDescent="0.25">
      <c r="A44" s="10" t="s">
        <v>45</v>
      </c>
      <c r="B44" s="31">
        <f>(B6+B25)/Toxicity!$B$5</f>
        <v>8.5731185388127843E-6</v>
      </c>
      <c r="C44" s="31">
        <f>(C6+C25)/Toxicity!$B$6</f>
        <v>1.966786283105023E-5</v>
      </c>
      <c r="D44" s="31">
        <f>(D6+D25)/Toxicity!$B$7</f>
        <v>1.1603977716894976E-5</v>
      </c>
      <c r="E44" s="31">
        <f>(E6+E25)/Toxicity!$B$8</f>
        <v>1.160397771689498E-5</v>
      </c>
      <c r="F44" s="31">
        <f>(F6+F25)/Toxicity!$B$9</f>
        <v>2.4917670867579905E-5</v>
      </c>
      <c r="G44" s="31">
        <f>(G6+G25)/Toxicity!$B$10</f>
        <v>3.3387511141552509E-5</v>
      </c>
      <c r="H44" s="31">
        <f>(H6+H25)/Toxicity!$B$11</f>
        <v>1.3399822222222223E-5</v>
      </c>
      <c r="I44" s="31">
        <f>(I6+I25)/Toxicity!$B$12</f>
        <v>2.6398991171993914E-5</v>
      </c>
      <c r="J44" s="31">
        <f>(J6+J25)/Toxicity!$B$13</f>
        <v>2.6474885844748858E-6</v>
      </c>
      <c r="K44" s="31">
        <f>(K6+K25)/Toxicity!$B$14</f>
        <v>2.6474885844748858E-6</v>
      </c>
      <c r="L44" s="31">
        <f>(L6+L25)/Toxicity!$B$15</f>
        <v>3.1940639269406388E-5</v>
      </c>
      <c r="M44" s="31">
        <f>(M6+M25)/Toxicity!$B$16</f>
        <v>4.005356164383561E-5</v>
      </c>
      <c r="N44" s="31">
        <f>(N6+N25)/Toxicity!$B$17</f>
        <v>1.9164383561643835E-6</v>
      </c>
      <c r="O44" s="31">
        <f>(O6+O25)/Toxicity!$B$18</f>
        <v>3.2535226554267655E-4</v>
      </c>
      <c r="P44" s="31">
        <f>B6/Toxicity!$B$5+C6/Toxicity!$B$6+D6/Toxicity!$B$7+E6/Toxicity!$B$8+F6/Toxicity!$B$9+G6/Toxicity!$B$10+H6/Toxicity!$B$11+I6/Toxicity!$B$12+J6/Toxicity!$B$13+K6/Toxicity!$B$14+L6/Toxicity!$B$15+M6/Toxicity!$B$16+N6/Toxicity!$B$17+O6/Toxicity!$B$18</f>
        <v>4.2230001170823087E-4</v>
      </c>
      <c r="Q44" s="31">
        <f>B25/Toxicity!$B$5+C25/Toxicity!$B$6+D25/Toxicity!$B$7+E25/Toxicity!$B$8+F25/Toxicity!$B$9+G25/Toxicity!$B$10+H25/Toxicity!$B$11+I25/Toxicity!$B$12+J25/Toxicity!$B$13+K25/Toxicity!$B$14+L25/Toxicity!$B$15+M25/Toxicity!$B$16+N25/Toxicity!$B$17+O25/Toxicity!$B$18</f>
        <v>1.3181080247980334E-4</v>
      </c>
      <c r="R44" s="32">
        <f t="shared" ref="R44:R58" si="0">SUM(B44:O44)</f>
        <v>5.5411081418803429E-4</v>
      </c>
      <c r="S44" s="15" t="str">
        <f t="shared" ref="S44:S58" si="1">IF(R44&lt;1,"Yes — no appreciable hazard","No — hazard")</f>
        <v>Yes — no appreciable hazard</v>
      </c>
    </row>
    <row r="45" spans="1:19" ht="15" customHeight="1" x14ac:dyDescent="0.25">
      <c r="A45" s="10" t="s">
        <v>49</v>
      </c>
      <c r="B45" s="31">
        <f>(B7+B26)/Toxicity!$B$5</f>
        <v>1.5338356164383559E-6</v>
      </c>
      <c r="C45" s="31">
        <f>(C7+C26)/Toxicity!$B$6</f>
        <v>1.4344430684931507E-5</v>
      </c>
      <c r="D45" s="31">
        <f>(D7+D26)/Toxicity!$B$7</f>
        <v>1.5338356164383559E-6</v>
      </c>
      <c r="E45" s="31">
        <f>(E7+E26)/Toxicity!$B$8</f>
        <v>1.5338356164383559E-6</v>
      </c>
      <c r="F45" s="31">
        <f>(F7+F26)/Toxicity!$B$9</f>
        <v>2.2275383378995426E-5</v>
      </c>
      <c r="G45" s="31">
        <f>(G7+G26)/Toxicity!$B$10</f>
        <v>2.5571084840182646E-5</v>
      </c>
      <c r="H45" s="31">
        <f>(H7+H26)/Toxicity!$B$11</f>
        <v>2.6474885844748858E-6</v>
      </c>
      <c r="I45" s="31">
        <f>(I7+I26)/Toxicity!$B$12</f>
        <v>5.2155525114155254E-6</v>
      </c>
      <c r="J45" s="31">
        <f>(J7+J26)/Toxicity!$B$13</f>
        <v>2.6474885844748858E-6</v>
      </c>
      <c r="K45" s="31">
        <f>(K7+K26)/Toxicity!$B$14</f>
        <v>2.6474885844748858E-6</v>
      </c>
      <c r="L45" s="31">
        <f>(L7+L26)/Toxicity!$B$15</f>
        <v>3.1940639269406388E-5</v>
      </c>
      <c r="M45" s="31">
        <f>(M7+M26)/Toxicity!$B$16</f>
        <v>1.9164383561643833E-5</v>
      </c>
      <c r="N45" s="31">
        <f>(N7+N26)/Toxicity!$B$17</f>
        <v>1.9164383561643835E-6</v>
      </c>
      <c r="O45" s="31">
        <f>(O7+O26)/Toxicity!$B$18</f>
        <v>7.3709167544783991E-5</v>
      </c>
      <c r="P45" s="31">
        <f>B7/Toxicity!$B$5+C7/Toxicity!$B$6+D7/Toxicity!$B$7+E7/Toxicity!$B$8+F7/Toxicity!$B$9+G7/Toxicity!$B$10+H7/Toxicity!$B$11+I7/Toxicity!$B$12+J7/Toxicity!$B$13+K7/Toxicity!$B$14+L7/Toxicity!$B$15+M7/Toxicity!$B$16+N7/Toxicity!$B$17+O7/Toxicity!$B$18</f>
        <v>1.6158566912539513E-4</v>
      </c>
      <c r="Q45" s="31">
        <f>B26/Toxicity!$B$5+C26/Toxicity!$B$6+D26/Toxicity!$B$7+E26/Toxicity!$B$8+F26/Toxicity!$B$9+G26/Toxicity!$B$10+H26/Toxicity!$B$11+I26/Toxicity!$B$12+J26/Toxicity!$B$13+K26/Toxicity!$B$14+L26/Toxicity!$B$15+M26/Toxicity!$B$16+N26/Toxicity!$B$17+O26/Toxicity!$B$18</f>
        <v>4.5095383624868283E-5</v>
      </c>
      <c r="R45" s="32">
        <f t="shared" si="0"/>
        <v>2.0668105275026342E-4</v>
      </c>
      <c r="S45" s="15" t="str">
        <f t="shared" si="1"/>
        <v>Yes — no appreciable hazard</v>
      </c>
    </row>
    <row r="46" spans="1:19" ht="15" customHeight="1" x14ac:dyDescent="0.25">
      <c r="A46" s="10" t="s">
        <v>53</v>
      </c>
      <c r="B46" s="31">
        <f>(B8+B27)/Toxicity!$B$5</f>
        <v>2.319670730593607E-5</v>
      </c>
      <c r="C46" s="31">
        <f>(C8+C27)/Toxicity!$B$6</f>
        <v>3.5539993789954327E-5</v>
      </c>
      <c r="D46" s="31">
        <f>(D8+D27)/Toxicity!$B$7</f>
        <v>2.1521758812785389E-5</v>
      </c>
      <c r="E46" s="31">
        <f>(E8+E27)/Toxicity!$B$8</f>
        <v>2.6420829771689494E-5</v>
      </c>
      <c r="F46" s="31">
        <f>(F8+F27)/Toxicity!$B$9</f>
        <v>2.8297222009132422E-5</v>
      </c>
      <c r="G46" s="31">
        <f>(G8+G27)/Toxicity!$B$10</f>
        <v>5.7397151324200911E-5</v>
      </c>
      <c r="H46" s="31">
        <f>(H8+H27)/Toxicity!$B$11</f>
        <v>3.924637077625571E-5</v>
      </c>
      <c r="I46" s="31">
        <f>(I8+I27)/Toxicity!$B$12</f>
        <v>7.7317256621004549E-5</v>
      </c>
      <c r="J46" s="31">
        <f>(J8+J27)/Toxicity!$B$13</f>
        <v>1.9540230745814311E-5</v>
      </c>
      <c r="K46" s="31">
        <f>(K8+K27)/Toxicity!$B$14</f>
        <v>2.2657207305936072E-5</v>
      </c>
      <c r="L46" s="31">
        <f>(L8+L27)/Toxicity!$B$15</f>
        <v>2.7879919330289191E-4</v>
      </c>
      <c r="M46" s="31">
        <f>(M8+M27)/Toxicity!$B$16</f>
        <v>2.7338631963470317E-4</v>
      </c>
      <c r="N46" s="31">
        <f>(N8+N27)/Toxicity!$B$17</f>
        <v>2.5793982648401825E-5</v>
      </c>
      <c r="O46" s="31">
        <f>(O8+O27)/Toxicity!$B$18</f>
        <v>1.4089261678960311E-3</v>
      </c>
      <c r="P46" s="31">
        <f>B8/Toxicity!$B$5+C8/Toxicity!$B$6+D8/Toxicity!$B$7+E8/Toxicity!$B$8+F8/Toxicity!$B$9+G8/Toxicity!$B$10+H8/Toxicity!$B$11+I8/Toxicity!$B$12+J8/Toxicity!$B$13+K8/Toxicity!$B$14+L8/Toxicity!$B$15+M8/Toxicity!$B$16+N8/Toxicity!$B$17+O8/Toxicity!$B$18</f>
        <v>1.7289512000936657E-3</v>
      </c>
      <c r="Q46" s="31">
        <f>B27/Toxicity!$B$5+C27/Toxicity!$B$6+D27/Toxicity!$B$7+E27/Toxicity!$B$8+F27/Toxicity!$B$9+G27/Toxicity!$B$10+H27/Toxicity!$B$11+I27/Toxicity!$B$12+J27/Toxicity!$B$13+K27/Toxicity!$B$14+L27/Toxicity!$B$15+M27/Toxicity!$B$16+N27/Toxicity!$B$17+O27/Toxicity!$B$18</f>
        <v>6.0908919185107143E-4</v>
      </c>
      <c r="R46" s="32">
        <f t="shared" si="0"/>
        <v>2.3380403919447375E-3</v>
      </c>
      <c r="S46" s="15" t="str">
        <f t="shared" si="1"/>
        <v>Yes — no appreciable hazard</v>
      </c>
    </row>
    <row r="47" spans="1:19" ht="15" customHeight="1" x14ac:dyDescent="0.25">
      <c r="A47" s="10" t="s">
        <v>58</v>
      </c>
      <c r="B47" s="31">
        <f>(B9+B28)/Toxicity!$B$5</f>
        <v>1.3184850958904105E-5</v>
      </c>
      <c r="C47" s="31">
        <f>(C9+C28)/Toxicity!$B$6</f>
        <v>1.8783350958904109E-5</v>
      </c>
      <c r="D47" s="31">
        <f>(D9+D28)/Toxicity!$B$7</f>
        <v>1.5338356164383559E-6</v>
      </c>
      <c r="E47" s="31">
        <f>(E9+E28)/Toxicity!$B$8</f>
        <v>1.6759710502283106E-5</v>
      </c>
      <c r="F47" s="31">
        <f>(F9+F28)/Toxicity!$B$9</f>
        <v>2.0087111232876709E-5</v>
      </c>
      <c r="G47" s="31">
        <f>(G9+G28)/Toxicity!$B$10</f>
        <v>3.9879726027397255E-5</v>
      </c>
      <c r="H47" s="31">
        <f>(H9+H28)/Toxicity!$B$11</f>
        <v>1.641266423135464E-5</v>
      </c>
      <c r="I47" s="31">
        <f>(I9+I28)/Toxicity!$B$12</f>
        <v>3.2329365601217657E-5</v>
      </c>
      <c r="J47" s="31">
        <f>(J9+J28)/Toxicity!$B$13</f>
        <v>2.6474885844748858E-6</v>
      </c>
      <c r="K47" s="31">
        <f>(K9+K28)/Toxicity!$B$14</f>
        <v>2.6474885844748858E-6</v>
      </c>
      <c r="L47" s="31">
        <f>(L9+L28)/Toxicity!$B$15</f>
        <v>7.546508371385083E-5</v>
      </c>
      <c r="M47" s="31">
        <f>(M9+M28)/Toxicity!$B$16</f>
        <v>1.2866967123287669E-4</v>
      </c>
      <c r="N47" s="31">
        <f>(N9+N28)/Toxicity!$B$17</f>
        <v>1.9164383561643835E-6</v>
      </c>
      <c r="O47" s="31">
        <f>(O9+O28)/Toxicity!$B$18</f>
        <v>7.3709167544783991E-5</v>
      </c>
      <c r="P47" s="31">
        <f>B9/Toxicity!$B$5+C9/Toxicity!$B$6+D9/Toxicity!$B$7+E9/Toxicity!$B$8+F9/Toxicity!$B$9+G9/Toxicity!$B$10+H9/Toxicity!$B$11+I9/Toxicity!$B$12+J9/Toxicity!$B$13+K9/Toxicity!$B$14+L9/Toxicity!$B$15+M9/Toxicity!$B$16+N9/Toxicity!$B$17+O9/Toxicity!$B$18</f>
        <v>3.4501611052569951E-4</v>
      </c>
      <c r="Q47" s="31">
        <f>B28/Toxicity!$B$5+C28/Toxicity!$B$6+D28/Toxicity!$B$7+E28/Toxicity!$B$8+F28/Toxicity!$B$9+G28/Toxicity!$B$10+H28/Toxicity!$B$11+I28/Toxicity!$B$12+J28/Toxicity!$B$13+K28/Toxicity!$B$14+L28/Toxicity!$B$15+M28/Toxicity!$B$16+N28/Toxicity!$B$17+O28/Toxicity!$B$18</f>
        <v>9.9009842620302079E-5</v>
      </c>
      <c r="R47" s="32">
        <f t="shared" si="0"/>
        <v>4.4402595314600171E-4</v>
      </c>
      <c r="S47" s="15" t="str">
        <f t="shared" si="1"/>
        <v>Yes — no appreciable hazard</v>
      </c>
    </row>
    <row r="48" spans="1:19" ht="15" customHeight="1" x14ac:dyDescent="0.25">
      <c r="A48" s="10" t="s">
        <v>62</v>
      </c>
      <c r="B48" s="31">
        <f>(B10+B29)/Toxicity!$B$5</f>
        <v>1.8573726757990864E-5</v>
      </c>
      <c r="C48" s="31">
        <f>(C10+C29)/Toxicity!$B$6</f>
        <v>2.6616138173515981E-5</v>
      </c>
      <c r="D48" s="31">
        <f>(D10+D29)/Toxicity!$B$7</f>
        <v>1.5396641917808215E-5</v>
      </c>
      <c r="E48" s="31">
        <f>(E10+E29)/Toxicity!$B$8</f>
        <v>1.0407585936073058E-5</v>
      </c>
      <c r="F48" s="31">
        <f>(F10+F29)/Toxicity!$B$9</f>
        <v>2.2663955068493143E-5</v>
      </c>
      <c r="G48" s="31">
        <f>(G10+G29)/Toxicity!$B$10</f>
        <v>5.7948309589041091E-5</v>
      </c>
      <c r="H48" s="31">
        <f>(H10+H29)/Toxicity!$B$11</f>
        <v>2.1234623439878238E-5</v>
      </c>
      <c r="I48" s="31">
        <f>(I10+I29)/Toxicity!$B$12</f>
        <v>4.1832084627092852E-5</v>
      </c>
      <c r="J48" s="31">
        <f>(J10+J29)/Toxicity!$B$13</f>
        <v>2.6474885844748858E-6</v>
      </c>
      <c r="K48" s="31">
        <f>(K10+K29)/Toxicity!$B$14</f>
        <v>1.5745497108066969E-5</v>
      </c>
      <c r="L48" s="31">
        <f>(L10+L29)/Toxicity!$B$15</f>
        <v>3.1940639269406388E-5</v>
      </c>
      <c r="M48" s="31">
        <f>(M10+M29)/Toxicity!$B$16</f>
        <v>9.6511835616438347E-5</v>
      </c>
      <c r="N48" s="31">
        <f>(N10+N29)/Toxicity!$B$17</f>
        <v>4.5445141552511419E-6</v>
      </c>
      <c r="O48" s="31">
        <f>(O10+O29)/Toxicity!$B$18</f>
        <v>5.596491394450298E-4</v>
      </c>
      <c r="P48" s="31">
        <f>B10/Toxicity!$B$5+C10/Toxicity!$B$6+D10/Toxicity!$B$7+E10/Toxicity!$B$8+F10/Toxicity!$B$9+G10/Toxicity!$B$10+H10/Toxicity!$B$11+I10/Toxicity!$B$12+J10/Toxicity!$B$13+K10/Toxicity!$B$14+L10/Toxicity!$B$15+M10/Toxicity!$B$16+N10/Toxicity!$B$17+O10/Toxicity!$B$18</f>
        <v>7.0074806228778816E-4</v>
      </c>
      <c r="Q48" s="31">
        <f>B29/Toxicity!$B$5+C29/Toxicity!$B$6+D29/Toxicity!$B$7+E29/Toxicity!$B$8+F29/Toxicity!$B$9+G29/Toxicity!$B$10+H29/Toxicity!$B$11+I29/Toxicity!$B$12+J29/Toxicity!$B$13+K29/Toxicity!$B$14+L29/Toxicity!$B$15+M29/Toxicity!$B$16+N29/Toxicity!$B$17+O29/Toxicity!$B$18</f>
        <v>2.2496411740077275E-4</v>
      </c>
      <c r="R48" s="32">
        <f t="shared" si="0"/>
        <v>9.2571217968856099E-4</v>
      </c>
      <c r="S48" s="15" t="str">
        <f t="shared" si="1"/>
        <v>Yes — no appreciable hazard</v>
      </c>
    </row>
    <row r="49" spans="1:19" ht="15" customHeight="1" x14ac:dyDescent="0.25">
      <c r="A49" s="10" t="s">
        <v>66</v>
      </c>
      <c r="B49" s="31">
        <f>(B11+B30)/Toxicity!$B$5</f>
        <v>2.0239472237442917E-5</v>
      </c>
      <c r="C49" s="31">
        <f>(C11+C30)/Toxicity!$B$6</f>
        <v>2.784116155251142E-5</v>
      </c>
      <c r="D49" s="31">
        <f>(D11+D30)/Toxicity!$B$7</f>
        <v>1.7973485753424648E-5</v>
      </c>
      <c r="E49" s="31">
        <f>(E11+E30)/Toxicity!$B$8</f>
        <v>1.4577573698630138E-5</v>
      </c>
      <c r="F49" s="31">
        <f>(F11+F30)/Toxicity!$B$9</f>
        <v>2.3443143561643834E-5</v>
      </c>
      <c r="G49" s="31">
        <f>(G11+G30)/Toxicity!$B$10</f>
        <v>6.2433244931506856E-5</v>
      </c>
      <c r="H49" s="31">
        <f>(H11+H30)/Toxicity!$B$11</f>
        <v>2.8103973820395736E-5</v>
      </c>
      <c r="I49" s="31">
        <f>(I11+I30)/Toxicity!$B$12</f>
        <v>5.5717279756468813E-5</v>
      </c>
      <c r="J49" s="31">
        <f>(J11+J30)/Toxicity!$B$13</f>
        <v>2.6474885844748858E-6</v>
      </c>
      <c r="K49" s="31">
        <f>(K11+K30)/Toxicity!$B$14</f>
        <v>1.7746998477929988E-5</v>
      </c>
      <c r="L49" s="31">
        <f>(L11+L30)/Toxicity!$B$15</f>
        <v>9.5992267884322674E-5</v>
      </c>
      <c r="M49" s="31">
        <f>(M11+M30)/Toxicity!$B$16</f>
        <v>1.9164383561643833E-5</v>
      </c>
      <c r="N49" s="31">
        <f>(N11+N30)/Toxicity!$B$17</f>
        <v>5.1130575342465744E-6</v>
      </c>
      <c r="O49" s="31">
        <f>(O11+O30)/Toxicity!$B$18</f>
        <v>5.2132037232174215E-4</v>
      </c>
      <c r="P49" s="31">
        <f>B11/Toxicity!$B$5+C11/Toxicity!$B$6+D11/Toxicity!$B$7+E11/Toxicity!$B$8+F11/Toxicity!$B$9+G11/Toxicity!$B$10+H11/Toxicity!$B$11+I11/Toxicity!$B$12+J11/Toxicity!$B$13+K11/Toxicity!$B$14+L11/Toxicity!$B$15+M11/Toxicity!$B$16+N11/Toxicity!$B$17+O11/Toxicity!$B$18</f>
        <v>6.9718611403816869E-4</v>
      </c>
      <c r="Q49" s="31">
        <f>B30/Toxicity!$B$5+C30/Toxicity!$B$6+D30/Toxicity!$B$7+E30/Toxicity!$B$8+F30/Toxicity!$B$9+G30/Toxicity!$B$10+H30/Toxicity!$B$11+I30/Toxicity!$B$12+J30/Toxicity!$B$13+K30/Toxicity!$B$14+L30/Toxicity!$B$15+M30/Toxicity!$B$16+N30/Toxicity!$B$17+O30/Toxicity!$B$18</f>
        <v>2.151277896382157E-4</v>
      </c>
      <c r="R49" s="32">
        <f t="shared" si="0"/>
        <v>9.1231390367638447E-4</v>
      </c>
      <c r="S49" s="15" t="str">
        <f t="shared" si="1"/>
        <v>Yes — no appreciable hazard</v>
      </c>
    </row>
    <row r="50" spans="1:19" ht="15" customHeight="1" x14ac:dyDescent="0.25">
      <c r="A50" s="10" t="s">
        <v>71</v>
      </c>
      <c r="B50" s="31">
        <f>(B12+B31)/Toxicity!$B$5</f>
        <v>2.5610964566210047E-5</v>
      </c>
      <c r="C50" s="31">
        <f>(C12+C31)/Toxicity!$B$6</f>
        <v>2.7362604840182645E-5</v>
      </c>
      <c r="D50" s="31">
        <f>(D12+D31)/Toxicity!$B$7</f>
        <v>1.5338356164383559E-6</v>
      </c>
      <c r="E50" s="31">
        <f>(E12+E31)/Toxicity!$B$8</f>
        <v>1.5407890045662101E-5</v>
      </c>
      <c r="F50" s="31">
        <f>(F12+F31)/Toxicity!$B$9</f>
        <v>2.331123369863013E-5</v>
      </c>
      <c r="G50" s="31">
        <f>(G12+G31)/Toxicity!$B$10</f>
        <v>6.0987349223744294E-5</v>
      </c>
      <c r="H50" s="31">
        <f>(H12+H31)/Toxicity!$B$11</f>
        <v>3.5947600000000008E-5</v>
      </c>
      <c r="I50" s="31">
        <f>(I12+I31)/Toxicity!$B$12</f>
        <v>7.0816789649923894E-5</v>
      </c>
      <c r="J50" s="31">
        <f>(J12+J31)/Toxicity!$B$13</f>
        <v>1.4504707458143075E-5</v>
      </c>
      <c r="K50" s="31">
        <f>(K12+K31)/Toxicity!$B$14</f>
        <v>1.690862709284627E-5</v>
      </c>
      <c r="L50" s="31">
        <f>(L12+L31)/Toxicity!$B$15</f>
        <v>1.1059978691019787E-4</v>
      </c>
      <c r="M50" s="31">
        <f>(M12+M31)/Toxicity!$B$16</f>
        <v>1.4145870319634703E-4</v>
      </c>
      <c r="N50" s="31">
        <f>(N12+N31)/Toxicity!$B$17</f>
        <v>1.9164383561643835E-6</v>
      </c>
      <c r="O50" s="31">
        <f>(O12+O31)/Toxicity!$B$18</f>
        <v>4.6756181945907977E-4</v>
      </c>
      <c r="P50" s="31">
        <f>B12/Toxicity!$B$5+C12/Toxicity!$B$6+D12/Toxicity!$B$7+E12/Toxicity!$B$8+F12/Toxicity!$B$9+G12/Toxicity!$B$10+H12/Toxicity!$B$11+I12/Toxicity!$B$12+J12/Toxicity!$B$13+K12/Toxicity!$B$14+L12/Toxicity!$B$15+M12/Toxicity!$B$16+N12/Toxicity!$B$17+O12/Toxicity!$B$18</f>
        <v>7.726394567380869E-4</v>
      </c>
      <c r="Q50" s="31">
        <f>B31/Toxicity!$B$5+C31/Toxicity!$B$6+D31/Toxicity!$B$7+E31/Toxicity!$B$8+F31/Toxicity!$B$9+G31/Toxicity!$B$10+H31/Toxicity!$B$11+I31/Toxicity!$B$12+J31/Toxicity!$B$13+K31/Toxicity!$B$14+L31/Toxicity!$B$15+M31/Toxicity!$B$16+N31/Toxicity!$B$17+O31/Toxicity!$B$18</f>
        <v>2.41288893375483E-4</v>
      </c>
      <c r="R50" s="32">
        <f t="shared" si="0"/>
        <v>1.01392835011357E-3</v>
      </c>
      <c r="S50" s="15" t="str">
        <f t="shared" si="1"/>
        <v>Yes — no appreciable hazard</v>
      </c>
    </row>
    <row r="51" spans="1:19" ht="15" customHeight="1" x14ac:dyDescent="0.25">
      <c r="A51" s="10" t="s">
        <v>75</v>
      </c>
      <c r="B51" s="31">
        <f>(B13+B32)/Toxicity!$B$5</f>
        <v>2.8275748310502281E-5</v>
      </c>
      <c r="C51" s="31">
        <f>(C13+C32)/Toxicity!$B$6</f>
        <v>2.6739867579908674E-5</v>
      </c>
      <c r="D51" s="31">
        <f>(D13+D32)/Toxicity!$B$7</f>
        <v>2.6129401004566199E-5</v>
      </c>
      <c r="E51" s="31">
        <f>(E13+E32)/Toxicity!$B$8</f>
        <v>1.5735108310502281E-5</v>
      </c>
      <c r="F51" s="31">
        <f>(F13+F32)/Toxicity!$B$9</f>
        <v>2.4943234794520548E-5</v>
      </c>
      <c r="G51" s="31">
        <f>(G13+G32)/Toxicity!$B$10</f>
        <v>6.4254419086757984E-5</v>
      </c>
      <c r="H51" s="31">
        <f>(H13+H32)/Toxicity!$B$11</f>
        <v>3.092090167427702E-5</v>
      </c>
      <c r="I51" s="31">
        <f>(I13+I32)/Toxicity!$B$12</f>
        <v>6.0911652359208523E-5</v>
      </c>
      <c r="J51" s="31">
        <f>(J13+J32)/Toxicity!$B$13</f>
        <v>1.233729680365297E-5</v>
      </c>
      <c r="K51" s="31">
        <f>(K13+K32)/Toxicity!$B$14</f>
        <v>2.9046479756468804E-5</v>
      </c>
      <c r="L51" s="31">
        <f>(L13+L32)/Toxicity!$B$15</f>
        <v>1.3391645357686453E-4</v>
      </c>
      <c r="M51" s="31">
        <f>(M13+M32)/Toxicity!$B$16</f>
        <v>1.4426947945205478E-4</v>
      </c>
      <c r="N51" s="31">
        <f>(N13+N32)/Toxicity!$B$17</f>
        <v>1.2748147945205478E-5</v>
      </c>
      <c r="O51" s="31">
        <f>(O13+O32)/Toxicity!$B$18</f>
        <v>8.4519845451352309E-4</v>
      </c>
      <c r="P51" s="31">
        <f>B13/Toxicity!$B$5+C13/Toxicity!$B$6+D13/Toxicity!$B$7+E13/Toxicity!$B$8+F13/Toxicity!$B$9+G13/Toxicity!$B$10+H13/Toxicity!$B$11+I13/Toxicity!$B$12+J13/Toxicity!$B$13+K13/Toxicity!$B$14+L13/Toxicity!$B$15+M13/Toxicity!$B$16+N13/Toxicity!$B$17+O13/Toxicity!$B$18</f>
        <v>1.0931699800960076E-3</v>
      </c>
      <c r="Q51" s="31">
        <f>B32/Toxicity!$B$5+C32/Toxicity!$B$6+D32/Toxicity!$B$7+E32/Toxicity!$B$8+F32/Toxicity!$B$9+G32/Toxicity!$B$10+H32/Toxicity!$B$11+I32/Toxicity!$B$12+J32/Toxicity!$B$13+K32/Toxicity!$B$14+L32/Toxicity!$B$15+M32/Toxicity!$B$16+N32/Toxicity!$B$17+O32/Toxicity!$B$18</f>
        <v>3.6225666507200564E-4</v>
      </c>
      <c r="R51" s="32">
        <f t="shared" si="0"/>
        <v>1.4554266451680131E-3</v>
      </c>
      <c r="S51" s="15" t="str">
        <f t="shared" si="1"/>
        <v>Yes — no appreciable hazard</v>
      </c>
    </row>
    <row r="52" spans="1:19" ht="15" customHeight="1" x14ac:dyDescent="0.25">
      <c r="A52" s="10" t="s">
        <v>79</v>
      </c>
      <c r="B52" s="31">
        <f>(B14+B33)/Toxicity!$B$5</f>
        <v>2.900789917808219E-5</v>
      </c>
      <c r="C52" s="31">
        <f>(C14+C33)/Toxicity!$B$6</f>
        <v>3.0783058264840177E-5</v>
      </c>
      <c r="D52" s="31">
        <f>(D14+D33)/Toxicity!$B$7</f>
        <v>1.9590148493150685E-5</v>
      </c>
      <c r="E52" s="31">
        <f>(E14+E33)/Toxicity!$B$8</f>
        <v>2.657012310502283E-5</v>
      </c>
      <c r="F52" s="31">
        <f>(F14+F33)/Toxicity!$B$9</f>
        <v>2.8408680730593608E-5</v>
      </c>
      <c r="G52" s="31">
        <f>(G14+G33)/Toxicity!$B$10</f>
        <v>6.5126660273972595E-5</v>
      </c>
      <c r="H52" s="31">
        <f>(H14+H33)/Toxicity!$B$11</f>
        <v>3.9496999695585999E-5</v>
      </c>
      <c r="I52" s="31">
        <f>(I14+I33)/Toxicity!$B$12</f>
        <v>7.7813219482496192E-5</v>
      </c>
      <c r="J52" s="31">
        <f>(J14+J33)/Toxicity!$B$13</f>
        <v>1.1973708371385086E-5</v>
      </c>
      <c r="K52" s="31">
        <f>(K14+K33)/Toxicity!$B$14</f>
        <v>3.2013431963470317E-5</v>
      </c>
      <c r="L52" s="31">
        <f>(L14+L33)/Toxicity!$B$15</f>
        <v>2.1276724505327248E-4</v>
      </c>
      <c r="M52" s="31">
        <f>(M14+M33)/Toxicity!$B$16</f>
        <v>1.7808822831050228E-4</v>
      </c>
      <c r="N52" s="31">
        <f>(N14+N33)/Toxicity!$B$17</f>
        <v>1.0983747031963472E-5</v>
      </c>
      <c r="O52" s="31">
        <f>(O14+O33)/Toxicity!$B$18</f>
        <v>7.9709093782929412E-4</v>
      </c>
      <c r="P52" s="31">
        <f>B14/Toxicity!$B$5+C14/Toxicity!$B$6+D14/Toxicity!$B$7+E14/Toxicity!$B$8+F14/Toxicity!$B$9+G14/Toxicity!$B$10+H14/Toxicity!$B$11+I14/Toxicity!$B$12+J14/Toxicity!$B$13+K14/Toxicity!$B$14+L14/Toxicity!$B$15+M14/Toxicity!$B$16+N14/Toxicity!$B$17+O14/Toxicity!$B$18</f>
        <v>1.1742489638215665E-3</v>
      </c>
      <c r="Q52" s="31">
        <f>B33/Toxicity!$B$5+C33/Toxicity!$B$6+D33/Toxicity!$B$7+E33/Toxicity!$B$8+F33/Toxicity!$B$9+G33/Toxicity!$B$10+H33/Toxicity!$B$11+I33/Toxicity!$B$12+J33/Toxicity!$B$13+K33/Toxicity!$B$14+L33/Toxicity!$B$15+M33/Toxicity!$B$16+N33/Toxicity!$B$17+O33/Toxicity!$B$18</f>
        <v>3.8546512396206542E-4</v>
      </c>
      <c r="R52" s="32">
        <f t="shared" si="0"/>
        <v>1.5597140877836322E-3</v>
      </c>
      <c r="S52" s="15" t="str">
        <f t="shared" si="1"/>
        <v>Yes — no appreciable hazard</v>
      </c>
    </row>
    <row r="53" spans="1:19" ht="15" customHeight="1" x14ac:dyDescent="0.25">
      <c r="A53" s="10" t="s">
        <v>83</v>
      </c>
      <c r="B53" s="31">
        <f>(B15+B34)/Toxicity!$B$5</f>
        <v>3.0627629589041088E-5</v>
      </c>
      <c r="C53" s="31">
        <f>(C15+C34)/Toxicity!$B$6</f>
        <v>4.0443154977168941E-5</v>
      </c>
      <c r="D53" s="31">
        <f>(D15+D34)/Toxicity!$B$7</f>
        <v>2.8125432420091327E-5</v>
      </c>
      <c r="E53" s="31">
        <f>(E15+E34)/Toxicity!$B$8</f>
        <v>2.0016554794520545E-5</v>
      </c>
      <c r="F53" s="31">
        <f>(F15+F34)/Toxicity!$B$9</f>
        <v>2.8131567762557077E-5</v>
      </c>
      <c r="G53" s="31">
        <f>(G15+G34)/Toxicity!$B$10</f>
        <v>7.3405282374429224E-5</v>
      </c>
      <c r="H53" s="31">
        <f>(H15+H34)/Toxicity!$B$11</f>
        <v>3.5663436225266359E-5</v>
      </c>
      <c r="I53" s="31">
        <f>(I15+I34)/Toxicity!$B$12</f>
        <v>7.0612050532724497E-5</v>
      </c>
      <c r="J53" s="31">
        <f>(J15+J34)/Toxicity!$B$13</f>
        <v>1.8788343987823439E-5</v>
      </c>
      <c r="K53" s="31">
        <f>(K15+K34)/Toxicity!$B$14</f>
        <v>4.3685326636225255E-5</v>
      </c>
      <c r="L53" s="31">
        <f>(L15+L34)/Toxicity!$B$15</f>
        <v>2.7620135464231352E-4</v>
      </c>
      <c r="M53" s="31">
        <f>(M15+M34)/Toxicity!$B$16</f>
        <v>2.7712976255707763E-4</v>
      </c>
      <c r="N53" s="31">
        <f>(N15+N34)/Toxicity!$B$17</f>
        <v>1.9000847488584475E-5</v>
      </c>
      <c r="O53" s="31">
        <f>(O15+O34)/Toxicity!$B$18</f>
        <v>1.2147270811380402E-3</v>
      </c>
      <c r="P53" s="31">
        <f>B15/Toxicity!$B$5+C15/Toxicity!$B$6+D15/Toxicity!$B$7+E15/Toxicity!$B$8+F15/Toxicity!$B$9+G15/Toxicity!$B$10+H15/Toxicity!$B$11+I15/Toxicity!$B$12+J15/Toxicity!$B$13+K15/Toxicity!$B$14+L15/Toxicity!$B$15+M15/Toxicity!$B$16+N15/Toxicity!$B$17+O15/Toxicity!$B$18</f>
        <v>1.6200574405807284E-3</v>
      </c>
      <c r="Q53" s="31">
        <f>B34/Toxicity!$B$5+C34/Toxicity!$B$6+D34/Toxicity!$B$7+E34/Toxicity!$B$8+F34/Toxicity!$B$9+G34/Toxicity!$B$10+H34/Toxicity!$B$11+I34/Toxicity!$B$12+J34/Toxicity!$B$13+K34/Toxicity!$B$14+L34/Toxicity!$B$15+M34/Toxicity!$B$16+N34/Toxicity!$B$17+O34/Toxicity!$B$18</f>
        <v>5.5650038454513535E-4</v>
      </c>
      <c r="R53" s="32">
        <f t="shared" si="0"/>
        <v>2.1765578251258634E-3</v>
      </c>
      <c r="S53" s="15" t="str">
        <f t="shared" si="1"/>
        <v>Yes — no appreciable hazard</v>
      </c>
    </row>
    <row r="54" spans="1:19" ht="15" customHeight="1" x14ac:dyDescent="0.25">
      <c r="A54" s="10" t="s">
        <v>87</v>
      </c>
      <c r="B54" s="31">
        <f>(B16+B35)/Toxicity!$B$5</f>
        <v>3.7197558812785382E-5</v>
      </c>
      <c r="C54" s="31">
        <f>(C16+C35)/Toxicity!$B$6</f>
        <v>4.2496449589041093E-5</v>
      </c>
      <c r="D54" s="31">
        <f>(D16+D35)/Toxicity!$B$7</f>
        <v>3.5321166575342471E-5</v>
      </c>
      <c r="E54" s="31">
        <f>(E16+E35)/Toxicity!$B$8</f>
        <v>2.8565131963470321E-5</v>
      </c>
      <c r="F54" s="31">
        <f>(F16+F35)/Toxicity!$B$9</f>
        <v>3.4979632511415516E-5</v>
      </c>
      <c r="G54" s="31">
        <f>(G16+G35)/Toxicity!$B$10</f>
        <v>9.1886978995433773E-5</v>
      </c>
      <c r="H54" s="31">
        <f>(H16+H35)/Toxicity!$B$11</f>
        <v>4.4537817960426182E-5</v>
      </c>
      <c r="I54" s="31">
        <f>(I16+I35)/Toxicity!$B$12</f>
        <v>8.7916035920852369E-5</v>
      </c>
      <c r="J54" s="31">
        <f>(J16+J35)/Toxicity!$B$13</f>
        <v>2.364560304414003E-5</v>
      </c>
      <c r="K54" s="31">
        <f>(K16+K35)/Toxicity!$B$14</f>
        <v>8.1302609436834089E-5</v>
      </c>
      <c r="L54" s="31">
        <f>(L16+L35)/Toxicity!$B$15</f>
        <v>4.9733704718417046E-4</v>
      </c>
      <c r="M54" s="31">
        <f>(M16+M35)/Toxicity!$B$16</f>
        <v>4.1126767123287656E-4</v>
      </c>
      <c r="N54" s="31">
        <f>(N16+N35)/Toxicity!$B$17</f>
        <v>3.5115538812785389E-5</v>
      </c>
      <c r="O54" s="31">
        <f>(O16+O35)/Toxicity!$B$18</f>
        <v>1.998648647699333E-3</v>
      </c>
      <c r="P54" s="31">
        <f>B16/Toxicity!$B$5+C16/Toxicity!$B$6+D16/Toxicity!$B$7+E16/Toxicity!$B$8+F16/Toxicity!$B$9+G16/Toxicity!$B$10+H16/Toxicity!$B$11+I16/Toxicity!$B$12+J16/Toxicity!$B$13+K16/Toxicity!$B$14+L16/Toxicity!$B$15+M16/Toxicity!$B$16+N16/Toxicity!$B$17+O16/Toxicity!$B$18</f>
        <v>2.5494570659173399E-3</v>
      </c>
      <c r="Q54" s="31">
        <f>B35/Toxicity!$B$5+C35/Toxicity!$B$6+D35/Toxicity!$B$7+E35/Toxicity!$B$8+F35/Toxicity!$B$9+G35/Toxicity!$B$10+H35/Toxicity!$B$11+I35/Toxicity!$B$12+J35/Toxicity!$B$13+K35/Toxicity!$B$14+L35/Toxicity!$B$15+M35/Toxicity!$B$16+N35/Toxicity!$B$17+O35/Toxicity!$B$18</f>
        <v>9.0076082382156675E-4</v>
      </c>
      <c r="R54" s="32">
        <f t="shared" si="0"/>
        <v>3.4502178897389069E-3</v>
      </c>
      <c r="S54" s="15" t="str">
        <f t="shared" si="1"/>
        <v>Yes — no appreciable hazard</v>
      </c>
    </row>
    <row r="55" spans="1:19" ht="15" customHeight="1" x14ac:dyDescent="0.25">
      <c r="A55" s="17" t="s">
        <v>44</v>
      </c>
      <c r="B55" s="31">
        <f>(B17+B36)/Toxicity!$B$5</f>
        <v>1.1101220487062406E-5</v>
      </c>
      <c r="C55" s="31">
        <f>(C17+C36)/Toxicity!$B$6</f>
        <v>2.3184095768645361E-5</v>
      </c>
      <c r="D55" s="31">
        <f>(D17+D36)/Toxicity!$B$7</f>
        <v>1.1553190715372905E-5</v>
      </c>
      <c r="E55" s="31">
        <f>(E17+E36)/Toxicity!$B$8</f>
        <v>1.3186214368340945E-5</v>
      </c>
      <c r="F55" s="31">
        <f>(F17+F36)/Toxicity!$B$9</f>
        <v>2.5163425418569251E-5</v>
      </c>
      <c r="G55" s="31">
        <f>(G17+G36)/Toxicity!$B$10</f>
        <v>3.8785249101978691E-5</v>
      </c>
      <c r="H55" s="31">
        <f>(H17+H36)/Toxicity!$B$11</f>
        <v>1.8431227194317606E-5</v>
      </c>
      <c r="I55" s="31">
        <f>(I17+I36)/Toxicity!$B$12</f>
        <v>3.6310600101471326E-5</v>
      </c>
      <c r="J55" s="31">
        <f>(J17+J36)/Toxicity!$B$13</f>
        <v>8.2784026382546933E-6</v>
      </c>
      <c r="K55" s="31">
        <f>(K17+K36)/Toxicity!$B$14</f>
        <v>9.3173948249619489E-6</v>
      </c>
      <c r="L55" s="31">
        <f>(L17+L36)/Toxicity!$B$15</f>
        <v>1.142268239472349E-4</v>
      </c>
      <c r="M55" s="31">
        <f>(M17+M36)/Toxicity!$B$16</f>
        <v>1.1086808828006086E-4</v>
      </c>
      <c r="N55" s="31">
        <f>(N17+N36)/Toxicity!$B$17</f>
        <v>9.8756197869101991E-6</v>
      </c>
      <c r="O55" s="31">
        <f>(O17+O36)/Toxicity!$B$18</f>
        <v>6.0266253366116377E-4</v>
      </c>
      <c r="P55" s="31">
        <f>B17/Toxicity!$B$5+C17/Toxicity!$B$6+D17/Toxicity!$B$7+E17/Toxicity!$B$8+F17/Toxicity!$B$9+G17/Toxicity!$B$10+H17/Toxicity!$B$11+I17/Toxicity!$B$12+J17/Toxicity!$B$13+K17/Toxicity!$B$14+L17/Toxicity!$B$15+M17/Toxicity!$B$16+N17/Toxicity!$B$17+O17/Toxicity!$B$18</f>
        <v>7.7094562697576394E-4</v>
      </c>
      <c r="Q55" s="31">
        <f>B36/Toxicity!$B$5+C36/Toxicity!$B$6+D36/Toxicity!$B$7+E36/Toxicity!$B$8+F36/Toxicity!$B$9+G36/Toxicity!$B$10+H36/Toxicity!$B$11+I36/Toxicity!$B$12+J36/Toxicity!$B$13+K36/Toxicity!$B$14+L36/Toxicity!$B$15+M36/Toxicity!$B$16+N36/Toxicity!$B$17+O36/Toxicity!$B$18</f>
        <v>2.6199845931858094E-4</v>
      </c>
      <c r="R55" s="32">
        <f t="shared" si="0"/>
        <v>1.032944086294345E-3</v>
      </c>
      <c r="S55" s="15" t="str">
        <f t="shared" si="1"/>
        <v>Yes — no appreciable hazard</v>
      </c>
    </row>
    <row r="56" spans="1:19" ht="15" customHeight="1" x14ac:dyDescent="0.25">
      <c r="A56" s="17" t="s">
        <v>57</v>
      </c>
      <c r="B56" s="31">
        <f>(B18+B37)/Toxicity!$B$5</f>
        <v>1.7332683318112633E-5</v>
      </c>
      <c r="C56" s="31">
        <f>(C18+C37)/Toxicity!$B$6</f>
        <v>2.44135502283105E-5</v>
      </c>
      <c r="D56" s="31">
        <f>(D18+D37)/Toxicity!$B$7</f>
        <v>1.1634654429223744E-5</v>
      </c>
      <c r="E56" s="31">
        <f>(E18+E37)/Toxicity!$B$8</f>
        <v>1.3914956712328767E-5</v>
      </c>
      <c r="F56" s="31">
        <f>(F18+F37)/Toxicity!$B$9</f>
        <v>2.2064736621004568E-5</v>
      </c>
      <c r="G56" s="31">
        <f>(G18+G37)/Toxicity!$B$10</f>
        <v>5.342042684931507E-5</v>
      </c>
      <c r="H56" s="31">
        <f>(H18+H37)/Toxicity!$B$11</f>
        <v>2.1917087163876205E-5</v>
      </c>
      <c r="I56" s="31">
        <f>(I18+I37)/Toxicity!$B$12</f>
        <v>4.3292909994926436E-5</v>
      </c>
      <c r="J56" s="31">
        <f>(J18+J37)/Toxicity!$B$13</f>
        <v>2.6474885844748858E-6</v>
      </c>
      <c r="K56" s="31">
        <f>(K18+K37)/Toxicity!$B$14</f>
        <v>1.204666139015728E-5</v>
      </c>
      <c r="L56" s="31">
        <f>(L18+L37)/Toxicity!$B$15</f>
        <v>6.7799330289193286E-5</v>
      </c>
      <c r="M56" s="31">
        <f>(M18+M37)/Toxicity!$B$16</f>
        <v>8.1448630136986302E-5</v>
      </c>
      <c r="N56" s="31">
        <f>(N18+N37)/Toxicity!$B$17</f>
        <v>3.8580033485540333E-6</v>
      </c>
      <c r="O56" s="31">
        <f>(O18+O37)/Toxicity!$B$18</f>
        <v>3.8489289310385196E-4</v>
      </c>
      <c r="P56" s="31">
        <f>B18/Toxicity!$B$5+C18/Toxicity!$B$6+D18/Toxicity!$B$7+E18/Toxicity!$B$8+F18/Toxicity!$B$9+G18/Toxicity!$B$10+H18/Toxicity!$B$11+I18/Toxicity!$B$12+J18/Toxicity!$B$13+K18/Toxicity!$B$14+L18/Toxicity!$B$15+M18/Toxicity!$B$16+N18/Toxicity!$B$17+O18/Toxicity!$B$18</f>
        <v>5.8098342895055214E-4</v>
      </c>
      <c r="Q56" s="31">
        <f>B37/Toxicity!$B$5+C37/Toxicity!$B$6+D37/Toxicity!$B$7+E37/Toxicity!$B$8+F37/Toxicity!$B$9+G37/Toxicity!$B$10+H37/Toxicity!$B$11+I37/Toxicity!$B$12+J37/Toxicity!$B$13+K37/Toxicity!$B$14+L37/Toxicity!$B$15+M37/Toxicity!$B$16+N37/Toxicity!$B$17+O37/Toxicity!$B$18</f>
        <v>1.7970058321976348E-4</v>
      </c>
      <c r="R56" s="32">
        <f t="shared" si="0"/>
        <v>7.6068401217031572E-4</v>
      </c>
      <c r="S56" s="15" t="str">
        <f t="shared" si="1"/>
        <v>Yes — no appreciable hazard</v>
      </c>
    </row>
    <row r="57" spans="1:19" ht="15" customHeight="1" x14ac:dyDescent="0.25">
      <c r="A57" s="17" t="s">
        <v>70</v>
      </c>
      <c r="B57" s="31">
        <f>(B19+B38)/Toxicity!$B$5</f>
        <v>3.0143960091324201E-5</v>
      </c>
      <c r="C57" s="31">
        <f>(C19+C38)/Toxicity!$B$6</f>
        <v>3.356502705022831E-5</v>
      </c>
      <c r="D57" s="31">
        <f>(D19+D38)/Toxicity!$B$7</f>
        <v>2.2139996821917808E-5</v>
      </c>
      <c r="E57" s="31">
        <f>(E19+E38)/Toxicity!$B$8</f>
        <v>2.1258961643835619E-5</v>
      </c>
      <c r="F57" s="31">
        <f>(F19+F38)/Toxicity!$B$9</f>
        <v>2.7954869899543373E-5</v>
      </c>
      <c r="G57" s="31">
        <f>(G19+G38)/Toxicity!$B$10</f>
        <v>7.1132137990867562E-5</v>
      </c>
      <c r="H57" s="31">
        <f>(H19+H38)/Toxicity!$B$11</f>
        <v>3.7313351111111106E-5</v>
      </c>
      <c r="I57" s="31">
        <f>(I19+I38)/Toxicity!$B$12</f>
        <v>7.3613949589041095E-5</v>
      </c>
      <c r="J57" s="31">
        <f>(J19+J38)/Toxicity!$B$13</f>
        <v>1.6249931933028923E-5</v>
      </c>
      <c r="K57" s="31">
        <f>(K19+K38)/Toxicity!$B$14</f>
        <v>4.059129497716895E-5</v>
      </c>
      <c r="L57" s="31">
        <f>(L19+L38)/Toxicity!$B$15</f>
        <v>2.4616437747336376E-4</v>
      </c>
      <c r="M57" s="31">
        <f>(M19+M38)/Toxicity!$B$16</f>
        <v>2.3044276894977161E-4</v>
      </c>
      <c r="N57" s="31">
        <f>(N19+N38)/Toxicity!$B$17</f>
        <v>1.5952943926940638E-5</v>
      </c>
      <c r="O57" s="31">
        <f>(O19+O38)/Toxicity!$B$18</f>
        <v>1.0646453881278536E-3</v>
      </c>
      <c r="P57" s="31">
        <f>B19/Toxicity!$B$5+C19/Toxicity!$B$6+D19/Toxicity!$B$7+E19/Toxicity!$B$8+F19/Toxicity!$B$9+G19/Toxicity!$B$10+H19/Toxicity!$B$11+I19/Toxicity!$B$12+J19/Toxicity!$B$13+K19/Toxicity!$B$14+L19/Toxicity!$B$15+M19/Toxicity!$B$16+N19/Toxicity!$B$17+O19/Toxicity!$B$18</f>
        <v>1.4419145814307454E-3</v>
      </c>
      <c r="Q57" s="31">
        <f>B38/Toxicity!$B$5+C38/Toxicity!$B$6+D38/Toxicity!$B$7+E38/Toxicity!$B$8+F38/Toxicity!$B$9+G38/Toxicity!$B$10+H38/Toxicity!$B$11+I38/Toxicity!$B$12+J38/Toxicity!$B$13+K38/Toxicity!$B$14+L38/Toxicity!$B$15+M38/Toxicity!$B$16+N38/Toxicity!$B$17+O38/Toxicity!$B$18</f>
        <v>4.8925437815525109E-4</v>
      </c>
      <c r="R57" s="32">
        <f t="shared" si="0"/>
        <v>1.9311689595859964E-3</v>
      </c>
      <c r="S57" s="15" t="str">
        <f t="shared" si="1"/>
        <v>Yes — no appreciable hazard</v>
      </c>
    </row>
    <row r="58" spans="1:19" ht="15" customHeight="1" x14ac:dyDescent="0.25">
      <c r="A58" s="17" t="s">
        <v>127</v>
      </c>
      <c r="B58" s="31">
        <f>(B20+B39)/Toxicity!$B$5</f>
        <v>2.1456501079286014E-5</v>
      </c>
      <c r="C58" s="31">
        <f>(C20+C39)/Toxicity!$B$6</f>
        <v>2.8238006658364469E-5</v>
      </c>
      <c r="D58" s="31">
        <f>(D20+D39)/Toxicity!$B$7</f>
        <v>1.6387592685761727E-5</v>
      </c>
      <c r="E58" s="31">
        <f>(E20+E39)/Toxicity!$B$8</f>
        <v>1.7054392860107926E-5</v>
      </c>
      <c r="F58" s="31">
        <f>(F20+F39)/Toxicity!$B$9</f>
        <v>2.558716687422167E-5</v>
      </c>
      <c r="G58" s="31">
        <f>(G20+G39)/Toxicity!$B$10</f>
        <v>5.7479792528019912E-5</v>
      </c>
      <c r="H58" s="31">
        <f>(H20+H39)/Toxicity!$B$11</f>
        <v>2.7964699875467007E-5</v>
      </c>
      <c r="I58" s="31">
        <f>(I20+I39)/Toxicity!$B$12</f>
        <v>5.5170934384945355E-5</v>
      </c>
      <c r="J58" s="31">
        <f>(J20+J39)/Toxicity!$B$13</f>
        <v>1.0366121212121214E-5</v>
      </c>
      <c r="K58" s="31">
        <f>(K20+K39)/Toxicity!$B$14</f>
        <v>2.4277149411927493E-5</v>
      </c>
      <c r="L58" s="31">
        <f>(L20+L39)/Toxicity!$B$15</f>
        <v>1.6153639546146397E-4</v>
      </c>
      <c r="M58" s="31">
        <f>(M20+M39)/Toxicity!$B$16</f>
        <v>1.5719672727272725E-4</v>
      </c>
      <c r="N58" s="31">
        <f>(N20+N39)/Toxicity!$B$17</f>
        <v>1.0996871731008714E-5</v>
      </c>
      <c r="O58" s="31">
        <f>(O20+O39)/Toxicity!$B$18</f>
        <v>7.5326302008493795E-4</v>
      </c>
      <c r="P58" s="31">
        <f>B20/Toxicity!$B$5+C20/Toxicity!$B$6+D20/Toxicity!$B$7+E20/Toxicity!$B$8+F20/Toxicity!$B$9+G20/Toxicity!$B$10+H20/Toxicity!$B$11+I20/Toxicity!$B$12+J20/Toxicity!$B$13+K20/Toxicity!$B$14+L20/Toxicity!$B$15+M20/Toxicity!$B$16+N20/Toxicity!$B$17+O20/Toxicity!$B$18</f>
        <v>1.0241236431756979E-3</v>
      </c>
      <c r="Q58" s="31">
        <f>B39/Toxicity!$B$5+C39/Toxicity!$B$6+D39/Toxicity!$B$7+E39/Toxicity!$B$8+F39/Toxicity!$B$9+G39/Toxicity!$B$10+H39/Toxicity!$B$11+I39/Toxicity!$B$12+J39/Toxicity!$B$13+K39/Toxicity!$B$14+L39/Toxicity!$B$15+M39/Toxicity!$B$16+N39/Toxicity!$B$17+O39/Toxicity!$B$18</f>
        <v>3.4285172894466269E-4</v>
      </c>
      <c r="R58" s="32">
        <f t="shared" si="0"/>
        <v>1.3669753721203609E-3</v>
      </c>
      <c r="S58" s="15" t="str">
        <f t="shared" si="1"/>
        <v>Yes — no appreciable hazard</v>
      </c>
    </row>
    <row r="61" spans="1:19" ht="15" customHeight="1" x14ac:dyDescent="0.25">
      <c r="A61" s="17" t="s">
        <v>324</v>
      </c>
    </row>
    <row r="62" spans="1:19" ht="23.25" customHeight="1" x14ac:dyDescent="0.25">
      <c r="A62" s="6" t="s">
        <v>130</v>
      </c>
      <c r="B62" s="6" t="s">
        <v>25</v>
      </c>
      <c r="C62" s="6" t="s">
        <v>26</v>
      </c>
      <c r="D62" s="6" t="s">
        <v>27</v>
      </c>
      <c r="E62" s="6" t="s">
        <v>28</v>
      </c>
      <c r="F62" s="6" t="s">
        <v>29</v>
      </c>
      <c r="G62" s="6" t="s">
        <v>30</v>
      </c>
      <c r="H62" s="6" t="s">
        <v>31</v>
      </c>
      <c r="I62" s="6" t="s">
        <v>32</v>
      </c>
      <c r="J62" s="6" t="s">
        <v>33</v>
      </c>
      <c r="K62" s="6" t="s">
        <v>34</v>
      </c>
      <c r="L62" s="6" t="s">
        <v>35</v>
      </c>
      <c r="M62" s="6" t="s">
        <v>36</v>
      </c>
      <c r="N62" s="6" t="s">
        <v>37</v>
      </c>
      <c r="O62" s="6" t="s">
        <v>38</v>
      </c>
    </row>
    <row r="63" spans="1:19" ht="15" customHeight="1" x14ac:dyDescent="0.25">
      <c r="A63" s="10" t="s">
        <v>45</v>
      </c>
      <c r="B63" s="31">
        <f>'Group Means'!C5/1000*Parameters!$C$17</f>
        <v>3.8283105022831047E-9</v>
      </c>
      <c r="C63" s="31">
        <f>'Group Means'!D5/1000*Parameters!$C$17</f>
        <v>8.7826484018264847E-9</v>
      </c>
      <c r="D63" s="31">
        <f>'Group Means'!E5/1000*Parameters!$C$17</f>
        <v>5.1817351598173505E-9</v>
      </c>
      <c r="E63" s="31">
        <f>'Group Means'!F5/1000*Parameters!$C$17</f>
        <v>5.1817351598173522E-9</v>
      </c>
      <c r="F63" s="31">
        <f>'Group Means'!G5/1000*Parameters!$C$17</f>
        <v>1.1126940639269404E-8</v>
      </c>
      <c r="G63" s="31">
        <f>'Group Means'!H5/1000*Parameters!$C$17</f>
        <v>1.4909132420091321E-8</v>
      </c>
      <c r="H63" s="31">
        <f>'Group Means'!I5/1000*Parameters!$C$17</f>
        <v>3.4666666666666663E-9</v>
      </c>
      <c r="I63" s="31">
        <f>'Group Means'!J5/1000*Parameters!$C$17</f>
        <v>6.8296803652968034E-9</v>
      </c>
      <c r="J63" s="31">
        <f>'Group Means'!K5/1000*Parameters!$C$17</f>
        <v>6.8493150684931499E-10</v>
      </c>
      <c r="K63" s="31">
        <f>'Group Means'!L5/1000*Parameters!$C$17</f>
        <v>6.8493150684931499E-10</v>
      </c>
      <c r="L63" s="31">
        <f>'Group Means'!M5/1000*Parameters!$C$17</f>
        <v>6.8493150684931499E-10</v>
      </c>
      <c r="M63" s="31">
        <f>'Group Means'!N5/1000*Parameters!$C$17</f>
        <v>1.4315068493150682E-9</v>
      </c>
      <c r="N63" s="31">
        <f>'Group Means'!O5/1000*Parameters!$C$17</f>
        <v>6.8493150684931499E-10</v>
      </c>
      <c r="O63" s="31">
        <f>'Group Means'!P5/1000*Parameters!$C$17</f>
        <v>3.0232876712328767E-9</v>
      </c>
    </row>
    <row r="64" spans="1:19" ht="15" customHeight="1" x14ac:dyDescent="0.25">
      <c r="A64" s="10" t="s">
        <v>49</v>
      </c>
      <c r="B64" s="31">
        <f>'Group Means'!C6/1000*Parameters!$C$17</f>
        <v>6.8493150684931499E-10</v>
      </c>
      <c r="C64" s="31">
        <f>'Group Means'!D6/1000*Parameters!$C$17</f>
        <v>6.4054794520547943E-9</v>
      </c>
      <c r="D64" s="31">
        <f>'Group Means'!E6/1000*Parameters!$C$17</f>
        <v>6.8493150684931499E-10</v>
      </c>
      <c r="E64" s="31">
        <f>'Group Means'!F6/1000*Parameters!$C$17</f>
        <v>6.8493150684931499E-10</v>
      </c>
      <c r="F64" s="31">
        <f>'Group Means'!G6/1000*Parameters!$C$17</f>
        <v>9.9470319634703177E-9</v>
      </c>
      <c r="G64" s="31">
        <f>'Group Means'!H6/1000*Parameters!$C$17</f>
        <v>1.1418721461187213E-8</v>
      </c>
      <c r="H64" s="31">
        <f>'Group Means'!I6/1000*Parameters!$C$17</f>
        <v>6.8493150684931499E-10</v>
      </c>
      <c r="I64" s="31">
        <f>'Group Means'!J6/1000*Parameters!$C$17</f>
        <v>1.3493150684931505E-9</v>
      </c>
      <c r="J64" s="31">
        <f>'Group Means'!K6/1000*Parameters!$C$17</f>
        <v>6.8493150684931499E-10</v>
      </c>
      <c r="K64" s="31">
        <f>'Group Means'!L6/1000*Parameters!$C$17</f>
        <v>6.8493150684931499E-10</v>
      </c>
      <c r="L64" s="31">
        <f>'Group Means'!M6/1000*Parameters!$C$17</f>
        <v>6.8493150684931499E-10</v>
      </c>
      <c r="M64" s="31">
        <f>'Group Means'!N6/1000*Parameters!$C$17</f>
        <v>6.8493150684931499E-10</v>
      </c>
      <c r="N64" s="31">
        <f>'Group Means'!O6/1000*Parameters!$C$17</f>
        <v>6.8493150684931499E-10</v>
      </c>
      <c r="O64" s="31">
        <f>'Group Means'!P6/1000*Parameters!$C$17</f>
        <v>6.8493150684931499E-10</v>
      </c>
    </row>
    <row r="65" spans="1:15" ht="15" customHeight="1" x14ac:dyDescent="0.25">
      <c r="A65" s="10" t="s">
        <v>53</v>
      </c>
      <c r="B65" s="31">
        <f>'Group Means'!C7/1000*Parameters!$C$17</f>
        <v>1.0358447488584474E-8</v>
      </c>
      <c r="C65" s="31">
        <f>'Group Means'!D7/1000*Parameters!$C$17</f>
        <v>1.5870319634703193E-8</v>
      </c>
      <c r="D65" s="31">
        <f>'Group Means'!E7/1000*Parameters!$C$17</f>
        <v>9.6105022831050223E-9</v>
      </c>
      <c r="E65" s="31">
        <f>'Group Means'!F7/1000*Parameters!$C$17</f>
        <v>1.1798173515981735E-8</v>
      </c>
      <c r="F65" s="31">
        <f>'Group Means'!G7/1000*Parameters!$C$17</f>
        <v>1.2636073059360731E-8</v>
      </c>
      <c r="G65" s="31">
        <f>'Group Means'!H7/1000*Parameters!$C$17</f>
        <v>2.5630593607305936E-8</v>
      </c>
      <c r="H65" s="31">
        <f>'Group Means'!I7/1000*Parameters!$C$17</f>
        <v>1.0153424657534246E-8</v>
      </c>
      <c r="I65" s="31">
        <f>'Group Means'!J7/1000*Parameters!$C$17</f>
        <v>2.0002739726027392E-8</v>
      </c>
      <c r="J65" s="31">
        <f>'Group Means'!K7/1000*Parameters!$C$17</f>
        <v>5.0552511415525117E-9</v>
      </c>
      <c r="K65" s="31">
        <f>'Group Means'!L7/1000*Parameters!$C$17</f>
        <v>5.8616438356164372E-9</v>
      </c>
      <c r="L65" s="31">
        <f>'Group Means'!M7/1000*Parameters!$C$17</f>
        <v>5.9785388127853878E-9</v>
      </c>
      <c r="M65" s="31">
        <f>'Group Means'!N7/1000*Parameters!$C$17</f>
        <v>9.7707762557077622E-9</v>
      </c>
      <c r="N65" s="31">
        <f>'Group Means'!O7/1000*Parameters!$C$17</f>
        <v>9.2187214611872135E-9</v>
      </c>
      <c r="O65" s="31">
        <f>'Group Means'!P7/1000*Parameters!$C$17</f>
        <v>1.3092237442922374E-8</v>
      </c>
    </row>
    <row r="66" spans="1:15" ht="15" customHeight="1" x14ac:dyDescent="0.25">
      <c r="A66" s="10" t="s">
        <v>58</v>
      </c>
      <c r="B66" s="31">
        <f>'Group Means'!C8/1000*Parameters!$C$17</f>
        <v>5.8876712328767101E-9</v>
      </c>
      <c r="C66" s="31">
        <f>'Group Means'!D8/1000*Parameters!$C$17</f>
        <v>8.3876712328767118E-9</v>
      </c>
      <c r="D66" s="31">
        <f>'Group Means'!E8/1000*Parameters!$C$17</f>
        <v>6.8493150684931499E-10</v>
      </c>
      <c r="E66" s="31">
        <f>'Group Means'!F8/1000*Parameters!$C$17</f>
        <v>7.4840182648401821E-9</v>
      </c>
      <c r="F66" s="31">
        <f>'Group Means'!G8/1000*Parameters!$C$17</f>
        <v>8.9698630136986284E-9</v>
      </c>
      <c r="G66" s="31">
        <f>'Group Means'!H8/1000*Parameters!$C$17</f>
        <v>1.7808219178082189E-8</v>
      </c>
      <c r="H66" s="31">
        <f>'Group Means'!I8/1000*Parameters!$C$17</f>
        <v>4.2461187214611863E-9</v>
      </c>
      <c r="I66" s="31">
        <f>'Group Means'!J8/1000*Parameters!$C$17</f>
        <v>8.3639269406392689E-9</v>
      </c>
      <c r="J66" s="31">
        <f>'Group Means'!K8/1000*Parameters!$C$17</f>
        <v>6.8493150684931499E-10</v>
      </c>
      <c r="K66" s="31">
        <f>'Group Means'!L8/1000*Parameters!$C$17</f>
        <v>6.8493150684931499E-10</v>
      </c>
      <c r="L66" s="31">
        <f>'Group Means'!M8/1000*Parameters!$C$17</f>
        <v>1.6182648401826481E-9</v>
      </c>
      <c r="M66" s="31">
        <f>'Group Means'!N8/1000*Parameters!$C$17</f>
        <v>4.5986301369863007E-9</v>
      </c>
      <c r="N66" s="31">
        <f>'Group Means'!O8/1000*Parameters!$C$17</f>
        <v>6.8493150684931499E-10</v>
      </c>
      <c r="O66" s="31">
        <f>'Group Means'!P8/1000*Parameters!$C$17</f>
        <v>6.8493150684931499E-10</v>
      </c>
    </row>
    <row r="67" spans="1:15" ht="15" customHeight="1" x14ac:dyDescent="0.25">
      <c r="A67" s="10" t="s">
        <v>62</v>
      </c>
      <c r="B67" s="31">
        <f>'Group Means'!C9/1000*Parameters!$C$17</f>
        <v>8.2940639269406375E-9</v>
      </c>
      <c r="C67" s="31">
        <f>'Group Means'!D9/1000*Parameters!$C$17</f>
        <v>1.1885388127853881E-8</v>
      </c>
      <c r="D67" s="31">
        <f>'Group Means'!E9/1000*Parameters!$C$17</f>
        <v>6.8753424657534227E-9</v>
      </c>
      <c r="E67" s="31">
        <f>'Group Means'!F9/1000*Parameters!$C$17</f>
        <v>4.6474885844748857E-9</v>
      </c>
      <c r="F67" s="31">
        <f>'Group Means'!G9/1000*Parameters!$C$17</f>
        <v>1.0120547945205477E-8</v>
      </c>
      <c r="G67" s="31">
        <f>'Group Means'!H9/1000*Parameters!$C$17</f>
        <v>2.5876712328767122E-8</v>
      </c>
      <c r="H67" s="31">
        <f>'Group Means'!I9/1000*Parameters!$C$17</f>
        <v>5.4936073059360731E-9</v>
      </c>
      <c r="I67" s="31">
        <f>'Group Means'!J9/1000*Parameters!$C$17</f>
        <v>1.0822374429223745E-8</v>
      </c>
      <c r="J67" s="31">
        <f>'Group Means'!K9/1000*Parameters!$C$17</f>
        <v>6.8493150684931499E-10</v>
      </c>
      <c r="K67" s="31">
        <f>'Group Means'!L9/1000*Parameters!$C$17</f>
        <v>4.0735159817351591E-9</v>
      </c>
      <c r="L67" s="31">
        <f>'Group Means'!M9/1000*Parameters!$C$17</f>
        <v>6.8493150684931499E-10</v>
      </c>
      <c r="M67" s="31">
        <f>'Group Means'!N9/1000*Parameters!$C$17</f>
        <v>3.4493150684931507E-9</v>
      </c>
      <c r="N67" s="31">
        <f>'Group Means'!O9/1000*Parameters!$C$17</f>
        <v>1.6242009132420093E-9</v>
      </c>
      <c r="O67" s="31">
        <f>'Group Means'!P9/1000*Parameters!$C$17</f>
        <v>5.2004566210045652E-9</v>
      </c>
    </row>
    <row r="68" spans="1:15" ht="15" customHeight="1" x14ac:dyDescent="0.25">
      <c r="A68" s="10" t="s">
        <v>66</v>
      </c>
      <c r="B68" s="31">
        <f>'Group Means'!C10/1000*Parameters!$C$17</f>
        <v>9.0378995433789931E-9</v>
      </c>
      <c r="C68" s="31">
        <f>'Group Means'!D10/1000*Parameters!$C$17</f>
        <v>1.2432420091324204E-8</v>
      </c>
      <c r="D68" s="31">
        <f>'Group Means'!E10/1000*Parameters!$C$17</f>
        <v>8.0260273972602709E-9</v>
      </c>
      <c r="E68" s="31">
        <f>'Group Means'!F10/1000*Parameters!$C$17</f>
        <v>6.5095890410958902E-9</v>
      </c>
      <c r="F68" s="31">
        <f>'Group Means'!G10/1000*Parameters!$C$17</f>
        <v>1.0468493150684929E-8</v>
      </c>
      <c r="G68" s="31">
        <f>'Group Means'!H10/1000*Parameters!$C$17</f>
        <v>2.7879452054794521E-8</v>
      </c>
      <c r="H68" s="31">
        <f>'Group Means'!I10/1000*Parameters!$C$17</f>
        <v>7.2707762557077613E-9</v>
      </c>
      <c r="I68" s="31">
        <f>'Group Means'!J10/1000*Parameters!$C$17</f>
        <v>1.441461187214612E-8</v>
      </c>
      <c r="J68" s="31">
        <f>'Group Means'!K10/1000*Parameters!$C$17</f>
        <v>6.8493150684931499E-10</v>
      </c>
      <c r="K68" s="31">
        <f>'Group Means'!L10/1000*Parameters!$C$17</f>
        <v>4.5913242009132416E-9</v>
      </c>
      <c r="L68" s="31">
        <f>'Group Means'!M10/1000*Parameters!$C$17</f>
        <v>2.0584474885844746E-9</v>
      </c>
      <c r="M68" s="31">
        <f>'Group Means'!N10/1000*Parameters!$C$17</f>
        <v>6.8493150684931499E-10</v>
      </c>
      <c r="N68" s="31">
        <f>'Group Means'!O10/1000*Parameters!$C$17</f>
        <v>1.8273972602739723E-9</v>
      </c>
      <c r="O68" s="31">
        <f>'Group Means'!P10/1000*Parameters!$C$17</f>
        <v>4.8442922374429218E-9</v>
      </c>
    </row>
    <row r="69" spans="1:15" ht="15" customHeight="1" x14ac:dyDescent="0.25">
      <c r="A69" s="10" t="s">
        <v>71</v>
      </c>
      <c r="B69" s="31">
        <f>'Group Means'!C11/1000*Parameters!$C$17</f>
        <v>1.1436529680365297E-8</v>
      </c>
      <c r="C69" s="31">
        <f>'Group Means'!D11/1000*Parameters!$C$17</f>
        <v>1.2218721461187212E-8</v>
      </c>
      <c r="D69" s="31">
        <f>'Group Means'!E11/1000*Parameters!$C$17</f>
        <v>6.8493150684931499E-10</v>
      </c>
      <c r="E69" s="31">
        <f>'Group Means'!F11/1000*Parameters!$C$17</f>
        <v>6.8803652968036526E-9</v>
      </c>
      <c r="F69" s="31">
        <f>'Group Means'!G11/1000*Parameters!$C$17</f>
        <v>1.0409589041095888E-8</v>
      </c>
      <c r="G69" s="31">
        <f>'Group Means'!H11/1000*Parameters!$C$17</f>
        <v>2.72337899543379E-8</v>
      </c>
      <c r="H69" s="31">
        <f>'Group Means'!I11/1000*Parameters!$C$17</f>
        <v>9.3000000000000006E-9</v>
      </c>
      <c r="I69" s="31">
        <f>'Group Means'!J11/1000*Parameters!$C$17</f>
        <v>1.8321004566210043E-8</v>
      </c>
      <c r="J69" s="31">
        <f>'Group Means'!K11/1000*Parameters!$C$17</f>
        <v>3.7525114155251134E-9</v>
      </c>
      <c r="K69" s="31">
        <f>'Group Means'!L11/1000*Parameters!$C$17</f>
        <v>4.3744292237442918E-9</v>
      </c>
      <c r="L69" s="31">
        <f>'Group Means'!M11/1000*Parameters!$C$17</f>
        <v>2.371689497716895E-9</v>
      </c>
      <c r="M69" s="31">
        <f>'Group Means'!N11/1000*Parameters!$C$17</f>
        <v>5.0557077625570775E-9</v>
      </c>
      <c r="N69" s="31">
        <f>'Group Means'!O11/1000*Parameters!$C$17</f>
        <v>6.8493150684931499E-10</v>
      </c>
      <c r="O69" s="31">
        <f>'Group Means'!P11/1000*Parameters!$C$17</f>
        <v>4.3447488584474881E-9</v>
      </c>
    </row>
    <row r="70" spans="1:15" ht="15" customHeight="1" x14ac:dyDescent="0.25">
      <c r="A70" s="10" t="s">
        <v>75</v>
      </c>
      <c r="B70" s="31">
        <f>'Group Means'!C12/1000*Parameters!$C$17</f>
        <v>1.2626484018264838E-8</v>
      </c>
      <c r="C70" s="31">
        <f>'Group Means'!D12/1000*Parameters!$C$17</f>
        <v>1.1940639269406391E-8</v>
      </c>
      <c r="D70" s="31">
        <f>'Group Means'!E12/1000*Parameters!$C$17</f>
        <v>1.1668036529680361E-8</v>
      </c>
      <c r="E70" s="31">
        <f>'Group Means'!F12/1000*Parameters!$C$17</f>
        <v>7.0264840182648394E-9</v>
      </c>
      <c r="F70" s="31">
        <f>'Group Means'!G12/1000*Parameters!$C$17</f>
        <v>1.1138356164383563E-8</v>
      </c>
      <c r="G70" s="31">
        <f>'Group Means'!H12/1000*Parameters!$C$17</f>
        <v>2.8692694063926939E-8</v>
      </c>
      <c r="H70" s="31">
        <f>'Group Means'!I12/1000*Parameters!$C$17</f>
        <v>7.999543378995433E-9</v>
      </c>
      <c r="I70" s="31">
        <f>'Group Means'!J12/1000*Parameters!$C$17</f>
        <v>1.5758447488584474E-8</v>
      </c>
      <c r="J70" s="31">
        <f>'Group Means'!K12/1000*Parameters!$C$17</f>
        <v>3.1917808219178082E-9</v>
      </c>
      <c r="K70" s="31">
        <f>'Group Means'!L12/1000*Parameters!$C$17</f>
        <v>7.5146118721461191E-9</v>
      </c>
      <c r="L70" s="31">
        <f>'Group Means'!M12/1000*Parameters!$C$17</f>
        <v>2.8716894977168945E-9</v>
      </c>
      <c r="M70" s="31">
        <f>'Group Means'!N12/1000*Parameters!$C$17</f>
        <v>5.1561643835616434E-9</v>
      </c>
      <c r="N70" s="31">
        <f>'Group Means'!O12/1000*Parameters!$C$17</f>
        <v>4.556164383561643E-9</v>
      </c>
      <c r="O70" s="31">
        <f>'Group Means'!P12/1000*Parameters!$C$17</f>
        <v>7.8538812785388128E-9</v>
      </c>
    </row>
    <row r="71" spans="1:15" ht="15" customHeight="1" x14ac:dyDescent="0.25">
      <c r="A71" s="10" t="s">
        <v>79</v>
      </c>
      <c r="B71" s="31">
        <f>'Group Means'!C13/1000*Parameters!$C$17</f>
        <v>1.2953424657534246E-8</v>
      </c>
      <c r="C71" s="31">
        <f>'Group Means'!D13/1000*Parameters!$C$17</f>
        <v>1.3746118721461185E-8</v>
      </c>
      <c r="D71" s="31">
        <f>'Group Means'!E13/1000*Parameters!$C$17</f>
        <v>8.7479452054794519E-9</v>
      </c>
      <c r="E71" s="31">
        <f>'Group Means'!F13/1000*Parameters!$C$17</f>
        <v>1.18648401826484E-8</v>
      </c>
      <c r="F71" s="31">
        <f>'Group Means'!G13/1000*Parameters!$C$17</f>
        <v>1.2685844748858447E-8</v>
      </c>
      <c r="G71" s="31">
        <f>'Group Means'!H13/1000*Parameters!$C$17</f>
        <v>2.9082191780821914E-8</v>
      </c>
      <c r="H71" s="31">
        <f>'Group Means'!I13/1000*Parameters!$C$17</f>
        <v>1.0218264840182648E-8</v>
      </c>
      <c r="I71" s="31">
        <f>'Group Means'!J13/1000*Parameters!$C$17</f>
        <v>2.0131050228310501E-8</v>
      </c>
      <c r="J71" s="31">
        <f>'Group Means'!K13/1000*Parameters!$C$17</f>
        <v>3.0977168949771688E-9</v>
      </c>
      <c r="K71" s="31">
        <f>'Group Means'!L13/1000*Parameters!$C$17</f>
        <v>8.282191780821916E-9</v>
      </c>
      <c r="L71" s="31">
        <f>'Group Means'!M13/1000*Parameters!$C$17</f>
        <v>4.5625570776255713E-9</v>
      </c>
      <c r="M71" s="31">
        <f>'Group Means'!N13/1000*Parameters!$C$17</f>
        <v>6.3648401826484016E-9</v>
      </c>
      <c r="N71" s="31">
        <f>'Group Means'!O13/1000*Parameters!$C$17</f>
        <v>3.9255707762557081E-9</v>
      </c>
      <c r="O71" s="31">
        <f>'Group Means'!P13/1000*Parameters!$C$17</f>
        <v>7.4068493150684933E-9</v>
      </c>
    </row>
    <row r="72" spans="1:15" ht="15" customHeight="1" x14ac:dyDescent="0.25">
      <c r="A72" s="10" t="s">
        <v>83</v>
      </c>
      <c r="B72" s="31">
        <f>'Group Means'!C14/1000*Parameters!$C$17</f>
        <v>1.3676712328767121E-8</v>
      </c>
      <c r="C72" s="31">
        <f>'Group Means'!D14/1000*Parameters!$C$17</f>
        <v>1.8059817351598171E-8</v>
      </c>
      <c r="D72" s="31">
        <f>'Group Means'!E14/1000*Parameters!$C$17</f>
        <v>1.2559360730593608E-8</v>
      </c>
      <c r="E72" s="31">
        <f>'Group Means'!F14/1000*Parameters!$C$17</f>
        <v>8.9383561643835597E-9</v>
      </c>
      <c r="F72" s="31">
        <f>'Group Means'!G14/1000*Parameters!$C$17</f>
        <v>1.2562100456621005E-8</v>
      </c>
      <c r="G72" s="31">
        <f>'Group Means'!H14/1000*Parameters!$C$17</f>
        <v>3.2778995433789951E-8</v>
      </c>
      <c r="H72" s="31">
        <f>'Group Means'!I14/1000*Parameters!$C$17</f>
        <v>9.2264840182648392E-9</v>
      </c>
      <c r="I72" s="31">
        <f>'Group Means'!J14/1000*Parameters!$C$17</f>
        <v>1.8268036529680364E-8</v>
      </c>
      <c r="J72" s="31">
        <f>'Group Means'!K14/1000*Parameters!$C$17</f>
        <v>4.8607305936073057E-9</v>
      </c>
      <c r="K72" s="31">
        <f>'Group Means'!L14/1000*Parameters!$C$17</f>
        <v>1.1301826484018262E-8</v>
      </c>
      <c r="L72" s="31">
        <f>'Group Means'!M14/1000*Parameters!$C$17</f>
        <v>5.9228310502283095E-9</v>
      </c>
      <c r="M72" s="31">
        <f>'Group Means'!N14/1000*Parameters!$C$17</f>
        <v>9.9045662100456609E-9</v>
      </c>
      <c r="N72" s="31">
        <f>'Group Means'!O14/1000*Parameters!$C$17</f>
        <v>6.7908675799086757E-9</v>
      </c>
      <c r="O72" s="31">
        <f>'Group Means'!P14/1000*Parameters!$C$17</f>
        <v>1.1287671232876713E-8</v>
      </c>
    </row>
    <row r="73" spans="1:15" ht="15" customHeight="1" x14ac:dyDescent="0.25">
      <c r="A73" s="10" t="s">
        <v>87</v>
      </c>
      <c r="B73" s="31">
        <f>'Group Means'!C15/1000*Parameters!$C$17</f>
        <v>1.6610502283105022E-8</v>
      </c>
      <c r="C73" s="31">
        <f>'Group Means'!D15/1000*Parameters!$C$17</f>
        <v>1.8976712328767119E-8</v>
      </c>
      <c r="D73" s="31">
        <f>'Group Means'!E15/1000*Parameters!$C$17</f>
        <v>1.577260273972603E-8</v>
      </c>
      <c r="E73" s="31">
        <f>'Group Means'!F15/1000*Parameters!$C$17</f>
        <v>1.2755707762557079E-8</v>
      </c>
      <c r="F73" s="31">
        <f>'Group Means'!G15/1000*Parameters!$C$17</f>
        <v>1.562009132420091E-8</v>
      </c>
      <c r="G73" s="31">
        <f>'Group Means'!H15/1000*Parameters!$C$17</f>
        <v>4.1031963470319628E-8</v>
      </c>
      <c r="H73" s="31">
        <f>'Group Means'!I15/1000*Parameters!$C$17</f>
        <v>1.1522374429223743E-8</v>
      </c>
      <c r="I73" s="31">
        <f>'Group Means'!J15/1000*Parameters!$C$17</f>
        <v>2.2744748858447489E-8</v>
      </c>
      <c r="J73" s="31">
        <f>'Group Means'!K15/1000*Parameters!$C$17</f>
        <v>6.1173515981735148E-9</v>
      </c>
      <c r="K73" s="31">
        <f>'Group Means'!L15/1000*Parameters!$C$17</f>
        <v>2.1033789954337897E-8</v>
      </c>
      <c r="L73" s="31">
        <f>'Group Means'!M15/1000*Parameters!$C$17</f>
        <v>1.0664840182648401E-8</v>
      </c>
      <c r="M73" s="31">
        <f>'Group Means'!N15/1000*Parameters!$C$17</f>
        <v>1.4698630136986297E-8</v>
      </c>
      <c r="N73" s="31">
        <f>'Group Means'!O15/1000*Parameters!$C$17</f>
        <v>1.2550228310502282E-8</v>
      </c>
      <c r="O73" s="31">
        <f>'Group Means'!P15/1000*Parameters!$C$17</f>
        <v>1.8572146118721461E-8</v>
      </c>
    </row>
    <row r="74" spans="1:15" ht="15" customHeight="1" x14ac:dyDescent="0.25">
      <c r="A74" s="17" t="s">
        <v>44</v>
      </c>
      <c r="B74" s="31">
        <f>'Group Means'!C16/1000*Parameters!$C$17</f>
        <v>4.9572298325722986E-9</v>
      </c>
      <c r="C74" s="31">
        <f>'Group Means'!D16/1000*Parameters!$C$17</f>
        <v>1.0352815829528158E-8</v>
      </c>
      <c r="D74" s="31">
        <f>'Group Means'!E16/1000*Parameters!$C$17</f>
        <v>5.159056316590562E-9</v>
      </c>
      <c r="E74" s="31">
        <f>'Group Means'!F16/1000*Parameters!$C$17</f>
        <v>5.8882800608828012E-9</v>
      </c>
      <c r="F74" s="31">
        <f>'Group Means'!G16/1000*Parameters!$C$17</f>
        <v>1.1236681887366817E-8</v>
      </c>
      <c r="G74" s="31">
        <f>'Group Means'!H16/1000*Parameters!$C$17</f>
        <v>1.7319482496194825E-8</v>
      </c>
      <c r="H74" s="31">
        <f>'Group Means'!I16/1000*Parameters!$C$17</f>
        <v>4.7683409436834094E-9</v>
      </c>
      <c r="I74" s="31">
        <f>'Group Means'!J16/1000*Parameters!$C$17</f>
        <v>9.3939117199391155E-9</v>
      </c>
      <c r="J74" s="31">
        <f>'Group Means'!K16/1000*Parameters!$C$17</f>
        <v>2.1417047184170473E-9</v>
      </c>
      <c r="K74" s="31">
        <f>'Group Means'!L16/1000*Parameters!$C$17</f>
        <v>2.4105022831050227E-9</v>
      </c>
      <c r="L74" s="31">
        <f>'Group Means'!M16/1000*Parameters!$C$17</f>
        <v>2.4494672754946728E-9</v>
      </c>
      <c r="M74" s="31">
        <f>'Group Means'!N16/1000*Parameters!$C$17</f>
        <v>3.9624048706240481E-9</v>
      </c>
      <c r="N74" s="31">
        <f>'Group Means'!O16/1000*Parameters!$C$17</f>
        <v>3.5295281582952817E-9</v>
      </c>
      <c r="O74" s="31">
        <f>'Group Means'!P16/1000*Parameters!$C$17</f>
        <v>5.6001522070015216E-9</v>
      </c>
    </row>
    <row r="75" spans="1:15" ht="15" customHeight="1" x14ac:dyDescent="0.25">
      <c r="A75" s="17" t="s">
        <v>57</v>
      </c>
      <c r="B75" s="31">
        <f>'Group Means'!C17/1000*Parameters!$C$17</f>
        <v>7.7398782343987816E-9</v>
      </c>
      <c r="C75" s="31">
        <f>'Group Means'!D17/1000*Parameters!$C$17</f>
        <v>1.0901826484018263E-8</v>
      </c>
      <c r="D75" s="31">
        <f>'Group Means'!E17/1000*Parameters!$C$17</f>
        <v>5.1954337899543378E-9</v>
      </c>
      <c r="E75" s="31">
        <f>'Group Means'!F17/1000*Parameters!$C$17</f>
        <v>6.2136986301369857E-9</v>
      </c>
      <c r="F75" s="31">
        <f>'Group Means'!G17/1000*Parameters!$C$17</f>
        <v>9.8529680365296809E-9</v>
      </c>
      <c r="G75" s="31">
        <f>'Group Means'!H17/1000*Parameters!$C$17</f>
        <v>2.3854794520547947E-8</v>
      </c>
      <c r="H75" s="31">
        <f>'Group Means'!I17/1000*Parameters!$C$17</f>
        <v>5.6701674277016733E-9</v>
      </c>
      <c r="I75" s="31">
        <f>'Group Means'!J17/1000*Parameters!$C$17</f>
        <v>1.1200304414003043E-8</v>
      </c>
      <c r="J75" s="31">
        <f>'Group Means'!K17/1000*Parameters!$C$17</f>
        <v>6.8493150684931499E-10</v>
      </c>
      <c r="K75" s="31">
        <f>'Group Means'!L17/1000*Parameters!$C$17</f>
        <v>3.1165905631659051E-9</v>
      </c>
      <c r="L75" s="31">
        <f>'Group Means'!M17/1000*Parameters!$C$17</f>
        <v>1.4538812785388124E-9</v>
      </c>
      <c r="M75" s="31">
        <f>'Group Means'!N17/1000*Parameters!$C$17</f>
        <v>2.9109589041095889E-9</v>
      </c>
      <c r="N75" s="31">
        <f>'Group Means'!O17/1000*Parameters!$C$17</f>
        <v>1.3788432267884323E-9</v>
      </c>
      <c r="O75" s="31">
        <f>'Group Means'!P17/1000*Parameters!$C$17</f>
        <v>3.5765601217656005E-9</v>
      </c>
    </row>
    <row r="76" spans="1:15" ht="15" customHeight="1" x14ac:dyDescent="0.25">
      <c r="A76" s="17" t="s">
        <v>70</v>
      </c>
      <c r="B76" s="31">
        <f>'Group Means'!C18/1000*Parameters!$C$17</f>
        <v>1.3460730593607306E-8</v>
      </c>
      <c r="C76" s="31">
        <f>'Group Means'!D18/1000*Parameters!$C$17</f>
        <v>1.4988401826484018E-8</v>
      </c>
      <c r="D76" s="31">
        <f>'Group Means'!E18/1000*Parameters!$C$17</f>
        <v>9.8865753424657534E-9</v>
      </c>
      <c r="E76" s="31">
        <f>'Group Means'!F18/1000*Parameters!$C$17</f>
        <v>9.4931506849315083E-9</v>
      </c>
      <c r="F76" s="31">
        <f>'Group Means'!G18/1000*Parameters!$C$17</f>
        <v>1.2483196347031961E-8</v>
      </c>
      <c r="G76" s="31">
        <f>'Group Means'!H18/1000*Parameters!$C$17</f>
        <v>3.1763926940639262E-8</v>
      </c>
      <c r="H76" s="31">
        <f>'Group Means'!I18/1000*Parameters!$C$17</f>
        <v>9.6533333333333314E-9</v>
      </c>
      <c r="I76" s="31">
        <f>'Group Means'!J18/1000*Parameters!$C$17</f>
        <v>1.9044657534246572E-8</v>
      </c>
      <c r="J76" s="31">
        <f>'Group Means'!K18/1000*Parameters!$C$17</f>
        <v>4.2040182648401827E-9</v>
      </c>
      <c r="K76" s="31">
        <f>'Group Means'!L18/1000*Parameters!$C$17</f>
        <v>1.0501369863013697E-8</v>
      </c>
      <c r="L76" s="31">
        <f>'Group Means'!M18/1000*Parameters!$C$17</f>
        <v>5.2787214611872143E-9</v>
      </c>
      <c r="M76" s="31">
        <f>'Group Means'!N18/1000*Parameters!$C$17</f>
        <v>8.2359817351598141E-9</v>
      </c>
      <c r="N76" s="31">
        <f>'Group Means'!O18/1000*Parameters!$C$17</f>
        <v>5.7015525114155242E-9</v>
      </c>
      <c r="O76" s="31">
        <f>'Group Means'!P18/1000*Parameters!$C$17</f>
        <v>9.8930593607305901E-9</v>
      </c>
    </row>
    <row r="77" spans="1:15" ht="15" customHeight="1" x14ac:dyDescent="0.25">
      <c r="A77" s="17" t="s">
        <v>127</v>
      </c>
      <c r="B77" s="31">
        <f>'Group Means'!C19/1000*Parameters!$C$17</f>
        <v>9.5813615608136165E-9</v>
      </c>
      <c r="C77" s="31">
        <f>'Group Means'!D19/1000*Parameters!$C$17</f>
        <v>1.2609630552096308E-8</v>
      </c>
      <c r="D77" s="31">
        <f>'Group Means'!E19/1000*Parameters!$C$17</f>
        <v>7.3178497301784958E-9</v>
      </c>
      <c r="E77" s="31">
        <f>'Group Means'!F19/1000*Parameters!$C$17</f>
        <v>7.6156081361560804E-9</v>
      </c>
      <c r="F77" s="31">
        <f>'Group Means'!G19/1000*Parameters!$C$17</f>
        <v>1.1425902864259028E-8</v>
      </c>
      <c r="G77" s="31">
        <f>'Group Means'!H19/1000*Parameters!$C$17</f>
        <v>2.5667496886674963E-8</v>
      </c>
      <c r="H77" s="31">
        <f>'Group Means'!I19/1000*Parameters!$C$17</f>
        <v>7.2347447073474488E-9</v>
      </c>
      <c r="I77" s="31">
        <f>'Group Means'!J19/1000*Parameters!$C$17</f>
        <v>1.427326691573267E-8</v>
      </c>
      <c r="J77" s="31">
        <f>'Group Means'!K19/1000*Parameters!$C$17</f>
        <v>2.6818181818181818E-9</v>
      </c>
      <c r="K77" s="31">
        <f>'Group Means'!L19/1000*Parameters!$C$17</f>
        <v>6.2807388958073884E-9</v>
      </c>
      <c r="L77" s="31">
        <f>'Group Means'!M19/1000*Parameters!$C$17</f>
        <v>3.4639684516396845E-9</v>
      </c>
      <c r="M77" s="31">
        <f>'Group Means'!N19/1000*Parameters!$C$17</f>
        <v>5.6181818181818173E-9</v>
      </c>
      <c r="N77" s="31">
        <f>'Group Means'!O19/1000*Parameters!$C$17</f>
        <v>3.9302615193026137E-9</v>
      </c>
      <c r="O77" s="31">
        <f>'Group Means'!P19/1000*Parameters!$C$17</f>
        <v>6.9995848899958484E-9</v>
      </c>
    </row>
    <row r="80" spans="1:15" ht="15" customHeight="1" x14ac:dyDescent="0.25">
      <c r="A80" s="17" t="s">
        <v>325</v>
      </c>
    </row>
    <row r="81" spans="1:15" ht="23.25" customHeight="1" x14ac:dyDescent="0.25">
      <c r="A81" s="6" t="s">
        <v>130</v>
      </c>
      <c r="B81" s="6" t="s">
        <v>25</v>
      </c>
      <c r="C81" s="6" t="s">
        <v>26</v>
      </c>
      <c r="D81" s="6" t="s">
        <v>27</v>
      </c>
      <c r="E81" s="6" t="s">
        <v>28</v>
      </c>
      <c r="F81" s="6" t="s">
        <v>29</v>
      </c>
      <c r="G81" s="6" t="s">
        <v>30</v>
      </c>
      <c r="H81" s="6" t="s">
        <v>31</v>
      </c>
      <c r="I81" s="6" t="s">
        <v>32</v>
      </c>
      <c r="J81" s="6" t="s">
        <v>33</v>
      </c>
      <c r="K81" s="6" t="s">
        <v>34</v>
      </c>
      <c r="L81" s="6" t="s">
        <v>35</v>
      </c>
      <c r="M81" s="6" t="s">
        <v>36</v>
      </c>
      <c r="N81" s="6" t="s">
        <v>37</v>
      </c>
      <c r="O81" s="6" t="s">
        <v>38</v>
      </c>
    </row>
    <row r="82" spans="1:15" ht="15" customHeight="1" x14ac:dyDescent="0.25">
      <c r="A82" s="10" t="s">
        <v>45</v>
      </c>
      <c r="B82" s="31">
        <f>'Group Means'!C5/1000*Parameters!$C$18*Toxicity!$D$5</f>
        <v>4.5824876712328766E-10</v>
      </c>
      <c r="C82" s="31">
        <f>'Group Means'!D5/1000*Parameters!$C$18*Toxicity!$D$6</f>
        <v>1.0512830136986302E-9</v>
      </c>
      <c r="D82" s="31">
        <f>'Group Means'!E5/1000*Parameters!$C$18*Toxicity!$D$7</f>
        <v>6.2025369863013694E-10</v>
      </c>
      <c r="E82" s="31">
        <f>'Group Means'!F5/1000*Parameters!$C$18*Toxicity!$D$8</f>
        <v>6.2025369863013705E-10</v>
      </c>
      <c r="F82" s="31">
        <f>'Group Means'!G5/1000*Parameters!$C$18*Toxicity!$D$9</f>
        <v>1.3318947945205479E-9</v>
      </c>
      <c r="G82" s="31">
        <f>'Group Means'!H5/1000*Parameters!$C$18*Toxicity!$D$10</f>
        <v>1.7846231506849314E-9</v>
      </c>
      <c r="H82" s="31">
        <f>'Group Means'!I5/1000*Parameters!$C$18*Toxicity!$D$11</f>
        <v>5.5328000000000008E-10</v>
      </c>
      <c r="I82" s="31">
        <f>'Group Means'!J5/1000*Parameters!$C$18*Toxicity!$D$12</f>
        <v>1.09001698630137E-9</v>
      </c>
      <c r="J82" s="31">
        <f>'Group Means'!K5/1000*Parameters!$C$18*Toxicity!$D$13</f>
        <v>1.0931506849315068E-10</v>
      </c>
      <c r="K82" s="31">
        <f>'Group Means'!L5/1000*Parameters!$C$18*Toxicity!$D$14</f>
        <v>1.0931506849315068E-10</v>
      </c>
      <c r="L82" s="31">
        <f>'Group Means'!M5/1000*Parameters!$C$18*Toxicity!$D$15</f>
        <v>2.7328767123287673E-10</v>
      </c>
      <c r="M82" s="31">
        <f>'Group Means'!N5/1000*Parameters!$C$18*Toxicity!$D$16</f>
        <v>5.7117123287671239E-10</v>
      </c>
      <c r="N82" s="31">
        <f>'Group Means'!O5/1000*Parameters!$C$18*Toxicity!$D$17</f>
        <v>2.7328767123287673E-10</v>
      </c>
      <c r="O82" s="31">
        <f>'Group Means'!P5/1000*Parameters!$C$18*Toxicity!$D$18</f>
        <v>1.2062917808219181E-9</v>
      </c>
    </row>
    <row r="83" spans="1:15" ht="15" customHeight="1" x14ac:dyDescent="0.25">
      <c r="A83" s="10" t="s">
        <v>49</v>
      </c>
      <c r="B83" s="31">
        <f>'Group Means'!C6/1000*Parameters!$C$18*Toxicity!$D$5</f>
        <v>8.1986301369863015E-11</v>
      </c>
      <c r="C83" s="31">
        <f>'Group Means'!D6/1000*Parameters!$C$18*Toxicity!$D$6</f>
        <v>7.6673589041095891E-10</v>
      </c>
      <c r="D83" s="31">
        <f>'Group Means'!E6/1000*Parameters!$C$18*Toxicity!$D$7</f>
        <v>8.1986301369863015E-11</v>
      </c>
      <c r="E83" s="31">
        <f>'Group Means'!F6/1000*Parameters!$C$18*Toxicity!$D$8</f>
        <v>8.1986301369863015E-11</v>
      </c>
      <c r="F83" s="31">
        <f>'Group Means'!G6/1000*Parameters!$C$18*Toxicity!$D$9</f>
        <v>1.1906597260273972E-9</v>
      </c>
      <c r="G83" s="31">
        <f>'Group Means'!H6/1000*Parameters!$C$18*Toxicity!$D$10</f>
        <v>1.3668209589041095E-9</v>
      </c>
      <c r="H83" s="31">
        <f>'Group Means'!I6/1000*Parameters!$C$18*Toxicity!$D$11</f>
        <v>1.0931506849315068E-10</v>
      </c>
      <c r="I83" s="31">
        <f>'Group Means'!J6/1000*Parameters!$C$18*Toxicity!$D$12</f>
        <v>2.1535068493150687E-10</v>
      </c>
      <c r="J83" s="31">
        <f>'Group Means'!K6/1000*Parameters!$C$18*Toxicity!$D$13</f>
        <v>1.0931506849315068E-10</v>
      </c>
      <c r="K83" s="31">
        <f>'Group Means'!L6/1000*Parameters!$C$18*Toxicity!$D$14</f>
        <v>1.0931506849315068E-10</v>
      </c>
      <c r="L83" s="31">
        <f>'Group Means'!M6/1000*Parameters!$C$18*Toxicity!$D$15</f>
        <v>2.7328767123287673E-10</v>
      </c>
      <c r="M83" s="31">
        <f>'Group Means'!N6/1000*Parameters!$C$18*Toxicity!$D$16</f>
        <v>2.7328767123287673E-10</v>
      </c>
      <c r="N83" s="31">
        <f>'Group Means'!O6/1000*Parameters!$C$18*Toxicity!$D$17</f>
        <v>2.7328767123287673E-10</v>
      </c>
      <c r="O83" s="31">
        <f>'Group Means'!P6/1000*Parameters!$C$18*Toxicity!$D$18</f>
        <v>2.7328767123287673E-10</v>
      </c>
    </row>
    <row r="84" spans="1:15" ht="15" customHeight="1" x14ac:dyDescent="0.25">
      <c r="A84" s="10" t="s">
        <v>53</v>
      </c>
      <c r="B84" s="31">
        <f>'Group Means'!C7/1000*Parameters!$C$18*Toxicity!$D$5</f>
        <v>1.2399061643835617E-9</v>
      </c>
      <c r="C84" s="31">
        <f>'Group Means'!D7/1000*Parameters!$C$18*Toxicity!$D$6</f>
        <v>1.8996772602739726E-9</v>
      </c>
      <c r="D84" s="31">
        <f>'Group Means'!E7/1000*Parameters!$C$18*Toxicity!$D$7</f>
        <v>1.1503771232876714E-9</v>
      </c>
      <c r="E84" s="31">
        <f>'Group Means'!F7/1000*Parameters!$C$18*Toxicity!$D$8</f>
        <v>1.4122413698630139E-9</v>
      </c>
      <c r="F84" s="31">
        <f>'Group Means'!G7/1000*Parameters!$C$18*Toxicity!$D$9</f>
        <v>1.5125379452054796E-9</v>
      </c>
      <c r="G84" s="31">
        <f>'Group Means'!H7/1000*Parameters!$C$18*Toxicity!$D$10</f>
        <v>3.067982054794521E-9</v>
      </c>
      <c r="H84" s="31">
        <f>'Group Means'!I7/1000*Parameters!$C$18*Toxicity!$D$11</f>
        <v>1.620486575342466E-9</v>
      </c>
      <c r="I84" s="31">
        <f>'Group Means'!J7/1000*Parameters!$C$18*Toxicity!$D$12</f>
        <v>3.1924372602739725E-9</v>
      </c>
      <c r="J84" s="31">
        <f>'Group Means'!K7/1000*Parameters!$C$18*Toxicity!$D$13</f>
        <v>8.0681808219178103E-10</v>
      </c>
      <c r="K84" s="31">
        <f>'Group Means'!L7/1000*Parameters!$C$18*Toxicity!$D$14</f>
        <v>9.3551835616438359E-10</v>
      </c>
      <c r="L84" s="31">
        <f>'Group Means'!M7/1000*Parameters!$C$18*Toxicity!$D$15</f>
        <v>2.3854369863013703E-9</v>
      </c>
      <c r="M84" s="31">
        <f>'Group Means'!N7/1000*Parameters!$C$18*Toxicity!$D$16</f>
        <v>3.8985397260273972E-9</v>
      </c>
      <c r="N84" s="31">
        <f>'Group Means'!O7/1000*Parameters!$C$18*Toxicity!$D$17</f>
        <v>3.6782698630136991E-9</v>
      </c>
      <c r="O84" s="31">
        <f>'Group Means'!P7/1000*Parameters!$C$18*Toxicity!$D$18</f>
        <v>5.223802739726029E-9</v>
      </c>
    </row>
    <row r="85" spans="1:15" ht="15" customHeight="1" x14ac:dyDescent="0.25">
      <c r="A85" s="10" t="s">
        <v>58</v>
      </c>
      <c r="B85" s="31">
        <f>'Group Means'!C8/1000*Parameters!$C$18*Toxicity!$D$5</f>
        <v>7.0475424657534227E-10</v>
      </c>
      <c r="C85" s="31">
        <f>'Group Means'!D8/1000*Parameters!$C$18*Toxicity!$D$6</f>
        <v>1.0040042465753424E-9</v>
      </c>
      <c r="D85" s="31">
        <f>'Group Means'!E8/1000*Parameters!$C$18*Toxicity!$D$7</f>
        <v>8.1986301369863015E-11</v>
      </c>
      <c r="E85" s="31">
        <f>'Group Means'!F8/1000*Parameters!$C$18*Toxicity!$D$8</f>
        <v>8.9583698630136995E-10</v>
      </c>
      <c r="F85" s="31">
        <f>'Group Means'!G8/1000*Parameters!$C$18*Toxicity!$D$9</f>
        <v>1.073692602739726E-9</v>
      </c>
      <c r="G85" s="31">
        <f>'Group Means'!H8/1000*Parameters!$C$18*Toxicity!$D$10</f>
        <v>2.1316438356164387E-9</v>
      </c>
      <c r="H85" s="31">
        <f>'Group Means'!I8/1000*Parameters!$C$18*Toxicity!$D$11</f>
        <v>6.7768054794520545E-10</v>
      </c>
      <c r="I85" s="31">
        <f>'Group Means'!J8/1000*Parameters!$C$18*Toxicity!$D$12</f>
        <v>1.3348827397260277E-9</v>
      </c>
      <c r="J85" s="31">
        <f>'Group Means'!K8/1000*Parameters!$C$18*Toxicity!$D$13</f>
        <v>1.0931506849315068E-10</v>
      </c>
      <c r="K85" s="31">
        <f>'Group Means'!L8/1000*Parameters!$C$18*Toxicity!$D$14</f>
        <v>1.0931506849315068E-10</v>
      </c>
      <c r="L85" s="31">
        <f>'Group Means'!M8/1000*Parameters!$C$18*Toxicity!$D$15</f>
        <v>6.4568767123287675E-10</v>
      </c>
      <c r="M85" s="31">
        <f>'Group Means'!N8/1000*Parameters!$C$18*Toxicity!$D$16</f>
        <v>1.8348534246575344E-9</v>
      </c>
      <c r="N85" s="31">
        <f>'Group Means'!O8/1000*Parameters!$C$18*Toxicity!$D$17</f>
        <v>2.7328767123287673E-10</v>
      </c>
      <c r="O85" s="31">
        <f>'Group Means'!P8/1000*Parameters!$C$18*Toxicity!$D$18</f>
        <v>2.7328767123287673E-10</v>
      </c>
    </row>
    <row r="86" spans="1:15" ht="15" customHeight="1" x14ac:dyDescent="0.25">
      <c r="A86" s="10" t="s">
        <v>62</v>
      </c>
      <c r="B86" s="31">
        <f>'Group Means'!C9/1000*Parameters!$C$18*Toxicity!$D$5</f>
        <v>9.9279945205479456E-10</v>
      </c>
      <c r="C86" s="31">
        <f>'Group Means'!D9/1000*Parameters!$C$18*Toxicity!$D$6</f>
        <v>1.4226809589041098E-9</v>
      </c>
      <c r="D86" s="31">
        <f>'Group Means'!E9/1000*Parameters!$C$18*Toxicity!$D$7</f>
        <v>8.2297849315068482E-10</v>
      </c>
      <c r="E86" s="31">
        <f>'Group Means'!F9/1000*Parameters!$C$18*Toxicity!$D$8</f>
        <v>5.5630438356164389E-10</v>
      </c>
      <c r="F86" s="31">
        <f>'Group Means'!G9/1000*Parameters!$C$18*Toxicity!$D$9</f>
        <v>1.2114295890410957E-9</v>
      </c>
      <c r="G86" s="31">
        <f>'Group Means'!H9/1000*Parameters!$C$18*Toxicity!$D$10</f>
        <v>3.0974424657534252E-9</v>
      </c>
      <c r="H86" s="31">
        <f>'Group Means'!I9/1000*Parameters!$C$18*Toxicity!$D$11</f>
        <v>8.7677972602739747E-10</v>
      </c>
      <c r="I86" s="31">
        <f>'Group Means'!J9/1000*Parameters!$C$18*Toxicity!$D$12</f>
        <v>1.7272509589041099E-9</v>
      </c>
      <c r="J86" s="31">
        <f>'Group Means'!K9/1000*Parameters!$C$18*Toxicity!$D$13</f>
        <v>1.0931506849315068E-10</v>
      </c>
      <c r="K86" s="31">
        <f>'Group Means'!L9/1000*Parameters!$C$18*Toxicity!$D$14</f>
        <v>6.5013315068493158E-10</v>
      </c>
      <c r="L86" s="31">
        <f>'Group Means'!M9/1000*Parameters!$C$18*Toxicity!$D$15</f>
        <v>2.7328767123287673E-10</v>
      </c>
      <c r="M86" s="31">
        <f>'Group Means'!N9/1000*Parameters!$C$18*Toxicity!$D$16</f>
        <v>1.3762767123287673E-9</v>
      </c>
      <c r="N86" s="31">
        <f>'Group Means'!O9/1000*Parameters!$C$18*Toxicity!$D$17</f>
        <v>6.4805616438356186E-10</v>
      </c>
      <c r="O86" s="31">
        <f>'Group Means'!P9/1000*Parameters!$C$18*Toxicity!$D$18</f>
        <v>2.0749821917808217E-9</v>
      </c>
    </row>
    <row r="87" spans="1:15" ht="15" customHeight="1" x14ac:dyDescent="0.25">
      <c r="A87" s="10" t="s">
        <v>66</v>
      </c>
      <c r="B87" s="31">
        <f>'Group Means'!C10/1000*Parameters!$C$18*Toxicity!$D$5</f>
        <v>1.0818365753424656E-9</v>
      </c>
      <c r="C87" s="31">
        <f>'Group Means'!D10/1000*Parameters!$C$18*Toxicity!$D$6</f>
        <v>1.4881606849315074E-9</v>
      </c>
      <c r="D87" s="31">
        <f>'Group Means'!E10/1000*Parameters!$C$18*Toxicity!$D$7</f>
        <v>9.6071547945205457E-10</v>
      </c>
      <c r="E87" s="31">
        <f>'Group Means'!F10/1000*Parameters!$C$18*Toxicity!$D$8</f>
        <v>7.7919780821917819E-10</v>
      </c>
      <c r="F87" s="31">
        <f>'Group Means'!G10/1000*Parameters!$C$18*Toxicity!$D$9</f>
        <v>1.2530786301369864E-9</v>
      </c>
      <c r="G87" s="31">
        <f>'Group Means'!H10/1000*Parameters!$C$18*Toxicity!$D$10</f>
        <v>3.3371704109589045E-9</v>
      </c>
      <c r="H87" s="31">
        <f>'Group Means'!I10/1000*Parameters!$C$18*Toxicity!$D$11</f>
        <v>1.1604158904109589E-9</v>
      </c>
      <c r="I87" s="31">
        <f>'Group Means'!J10/1000*Parameters!$C$18*Toxicity!$D$12</f>
        <v>2.3005720547945211E-9</v>
      </c>
      <c r="J87" s="31">
        <f>'Group Means'!K10/1000*Parameters!$C$18*Toxicity!$D$13</f>
        <v>1.0931506849315068E-10</v>
      </c>
      <c r="K87" s="31">
        <f>'Group Means'!L10/1000*Parameters!$C$18*Toxicity!$D$14</f>
        <v>7.3277534246575349E-10</v>
      </c>
      <c r="L87" s="31">
        <f>'Group Means'!M10/1000*Parameters!$C$18*Toxicity!$D$15</f>
        <v>8.2132054794520559E-10</v>
      </c>
      <c r="M87" s="31">
        <f>'Group Means'!N10/1000*Parameters!$C$18*Toxicity!$D$16</f>
        <v>2.7328767123287673E-10</v>
      </c>
      <c r="N87" s="31">
        <f>'Group Means'!O10/1000*Parameters!$C$18*Toxicity!$D$17</f>
        <v>7.2913150684931511E-10</v>
      </c>
      <c r="O87" s="31">
        <f>'Group Means'!P10/1000*Parameters!$C$18*Toxicity!$D$18</f>
        <v>1.9328726027397262E-9</v>
      </c>
    </row>
    <row r="88" spans="1:15" ht="15" customHeight="1" x14ac:dyDescent="0.25">
      <c r="A88" s="10" t="s">
        <v>71</v>
      </c>
      <c r="B88" s="31">
        <f>'Group Means'!C11/1000*Parameters!$C$18*Toxicity!$D$5</f>
        <v>1.3689526027397261E-9</v>
      </c>
      <c r="C88" s="31">
        <f>'Group Means'!D11/1000*Parameters!$C$18*Toxicity!$D$6</f>
        <v>1.4625809589041096E-9</v>
      </c>
      <c r="D88" s="31">
        <f>'Group Means'!E11/1000*Parameters!$C$18*Toxicity!$D$7</f>
        <v>8.1986301369863015E-11</v>
      </c>
      <c r="E88" s="31">
        <f>'Group Means'!F11/1000*Parameters!$C$18*Toxicity!$D$8</f>
        <v>8.2357972602739728E-10</v>
      </c>
      <c r="F88" s="31">
        <f>'Group Means'!G11/1000*Parameters!$C$18*Toxicity!$D$9</f>
        <v>1.2460278082191778E-9</v>
      </c>
      <c r="G88" s="31">
        <f>'Group Means'!H11/1000*Parameters!$C$18*Toxicity!$D$10</f>
        <v>3.2598846575342472E-9</v>
      </c>
      <c r="H88" s="31">
        <f>'Group Means'!I11/1000*Parameters!$C$18*Toxicity!$D$11</f>
        <v>1.4842800000000004E-9</v>
      </c>
      <c r="I88" s="31">
        <f>'Group Means'!J11/1000*Parameters!$C$18*Toxicity!$D$12</f>
        <v>2.9240323287671238E-9</v>
      </c>
      <c r="J88" s="31">
        <f>'Group Means'!K11/1000*Parameters!$C$18*Toxicity!$D$13</f>
        <v>5.9890082191780833E-10</v>
      </c>
      <c r="K88" s="31">
        <f>'Group Means'!L11/1000*Parameters!$C$18*Toxicity!$D$14</f>
        <v>6.9815890410958916E-10</v>
      </c>
      <c r="L88" s="31">
        <f>'Group Means'!M11/1000*Parameters!$C$18*Toxicity!$D$15</f>
        <v>9.4630410958904141E-10</v>
      </c>
      <c r="M88" s="31">
        <f>'Group Means'!N11/1000*Parameters!$C$18*Toxicity!$D$16</f>
        <v>2.0172273972602745E-9</v>
      </c>
      <c r="N88" s="31">
        <f>'Group Means'!O11/1000*Parameters!$C$18*Toxicity!$D$17</f>
        <v>2.7328767123287673E-10</v>
      </c>
      <c r="O88" s="31">
        <f>'Group Means'!P11/1000*Parameters!$C$18*Toxicity!$D$18</f>
        <v>1.7335547945205482E-9</v>
      </c>
    </row>
    <row r="89" spans="1:15" ht="15" customHeight="1" x14ac:dyDescent="0.25">
      <c r="A89" s="10" t="s">
        <v>75</v>
      </c>
      <c r="B89" s="31">
        <f>'Group Means'!C12/1000*Parameters!$C$18*Toxicity!$D$5</f>
        <v>1.5113901369863013E-9</v>
      </c>
      <c r="C89" s="31">
        <f>'Group Means'!D12/1000*Parameters!$C$18*Toxicity!$D$6</f>
        <v>1.4292945205479451E-9</v>
      </c>
      <c r="D89" s="31">
        <f>'Group Means'!E12/1000*Parameters!$C$18*Toxicity!$D$7</f>
        <v>1.3966639726027394E-9</v>
      </c>
      <c r="E89" s="31">
        <f>'Group Means'!F12/1000*Parameters!$C$18*Toxicity!$D$8</f>
        <v>8.4107013698630131E-10</v>
      </c>
      <c r="F89" s="31">
        <f>'Group Means'!G12/1000*Parameters!$C$18*Toxicity!$D$9</f>
        <v>1.3332612328767126E-9</v>
      </c>
      <c r="G89" s="31">
        <f>'Group Means'!H12/1000*Parameters!$C$18*Toxicity!$D$10</f>
        <v>3.4345154794520549E-9</v>
      </c>
      <c r="H89" s="31">
        <f>'Group Means'!I12/1000*Parameters!$C$18*Toxicity!$D$11</f>
        <v>1.2767271232876713E-9</v>
      </c>
      <c r="I89" s="31">
        <f>'Group Means'!J12/1000*Parameters!$C$18*Toxicity!$D$12</f>
        <v>2.5150482191780822E-9</v>
      </c>
      <c r="J89" s="31">
        <f>'Group Means'!K12/1000*Parameters!$C$18*Toxicity!$D$13</f>
        <v>5.0940821917808225E-10</v>
      </c>
      <c r="K89" s="31">
        <f>'Group Means'!L12/1000*Parameters!$C$18*Toxicity!$D$14</f>
        <v>1.1993320547945209E-9</v>
      </c>
      <c r="L89" s="31">
        <f>'Group Means'!M12/1000*Parameters!$C$18*Toxicity!$D$15</f>
        <v>1.1458041095890412E-9</v>
      </c>
      <c r="M89" s="31">
        <f>'Group Means'!N12/1000*Parameters!$C$18*Toxicity!$D$16</f>
        <v>2.0573095890410961E-9</v>
      </c>
      <c r="N89" s="31">
        <f>'Group Means'!O12/1000*Parameters!$C$18*Toxicity!$D$17</f>
        <v>1.8179095890410963E-9</v>
      </c>
      <c r="O89" s="31">
        <f>'Group Means'!P12/1000*Parameters!$C$18*Toxicity!$D$18</f>
        <v>3.1336986301369864E-9</v>
      </c>
    </row>
    <row r="90" spans="1:15" ht="15" customHeight="1" x14ac:dyDescent="0.25">
      <c r="A90" s="10" t="s">
        <v>79</v>
      </c>
      <c r="B90" s="31">
        <f>'Group Means'!C13/1000*Parameters!$C$18*Toxicity!$D$5</f>
        <v>1.5505249315068495E-9</v>
      </c>
      <c r="C90" s="31">
        <f>'Group Means'!D13/1000*Parameters!$C$18*Toxicity!$D$6</f>
        <v>1.6454104109589041E-9</v>
      </c>
      <c r="D90" s="31">
        <f>'Group Means'!E13/1000*Parameters!$C$18*Toxicity!$D$7</f>
        <v>1.0471290410958904E-9</v>
      </c>
      <c r="E90" s="31">
        <f>'Group Means'!F13/1000*Parameters!$C$18*Toxicity!$D$8</f>
        <v>1.4202213698630137E-9</v>
      </c>
      <c r="F90" s="31">
        <f>'Group Means'!G13/1000*Parameters!$C$18*Toxicity!$D$9</f>
        <v>1.5184956164383563E-9</v>
      </c>
      <c r="G90" s="31">
        <f>'Group Means'!H13/1000*Parameters!$C$18*Toxicity!$D$10</f>
        <v>3.4811383561643833E-9</v>
      </c>
      <c r="H90" s="31">
        <f>'Group Means'!I13/1000*Parameters!$C$18*Toxicity!$D$11</f>
        <v>1.6308350684931508E-9</v>
      </c>
      <c r="I90" s="31">
        <f>'Group Means'!J13/1000*Parameters!$C$18*Toxicity!$D$12</f>
        <v>3.2129156164383568E-9</v>
      </c>
      <c r="J90" s="31">
        <f>'Group Means'!K13/1000*Parameters!$C$18*Toxicity!$D$13</f>
        <v>4.9439561643835632E-10</v>
      </c>
      <c r="K90" s="31">
        <f>'Group Means'!L13/1000*Parameters!$C$18*Toxicity!$D$14</f>
        <v>1.321837808219178E-9</v>
      </c>
      <c r="L90" s="31">
        <f>'Group Means'!M13/1000*Parameters!$C$18*Toxicity!$D$15</f>
        <v>1.8204602739726032E-9</v>
      </c>
      <c r="M90" s="31">
        <f>'Group Means'!N13/1000*Parameters!$C$18*Toxicity!$D$16</f>
        <v>2.5395712328767129E-9</v>
      </c>
      <c r="N90" s="31">
        <f>'Group Means'!O13/1000*Parameters!$C$18*Toxicity!$D$17</f>
        <v>1.5663027397260281E-9</v>
      </c>
      <c r="O90" s="31">
        <f>'Group Means'!P13/1000*Parameters!$C$18*Toxicity!$D$18</f>
        <v>2.9553328767123293E-9</v>
      </c>
    </row>
    <row r="91" spans="1:15" ht="15" customHeight="1" x14ac:dyDescent="0.25">
      <c r="A91" s="10" t="s">
        <v>83</v>
      </c>
      <c r="B91" s="31">
        <f>'Group Means'!C14/1000*Parameters!$C$18*Toxicity!$D$5</f>
        <v>1.6371024657534246E-9</v>
      </c>
      <c r="C91" s="31">
        <f>'Group Means'!D14/1000*Parameters!$C$18*Toxicity!$D$6</f>
        <v>2.1617601369863014E-9</v>
      </c>
      <c r="D91" s="31">
        <f>'Group Means'!E14/1000*Parameters!$C$18*Toxicity!$D$7</f>
        <v>1.5033554794520553E-9</v>
      </c>
      <c r="E91" s="31">
        <f>'Group Means'!F14/1000*Parameters!$C$18*Toxicity!$D$8</f>
        <v>1.0699212328767123E-9</v>
      </c>
      <c r="F91" s="31">
        <f>'Group Means'!G14/1000*Parameters!$C$18*Toxicity!$D$9</f>
        <v>1.5036834246575346E-9</v>
      </c>
      <c r="G91" s="31">
        <f>'Group Means'!H14/1000*Parameters!$C$18*Toxicity!$D$10</f>
        <v>3.9236457534246581E-9</v>
      </c>
      <c r="H91" s="31">
        <f>'Group Means'!I14/1000*Parameters!$C$18*Toxicity!$D$11</f>
        <v>1.4725468493150685E-9</v>
      </c>
      <c r="I91" s="31">
        <f>'Group Means'!J14/1000*Parameters!$C$18*Toxicity!$D$12</f>
        <v>2.9155786301369864E-9</v>
      </c>
      <c r="J91" s="31">
        <f>'Group Means'!K14/1000*Parameters!$C$18*Toxicity!$D$13</f>
        <v>7.7577260273972611E-10</v>
      </c>
      <c r="K91" s="31">
        <f>'Group Means'!L14/1000*Parameters!$C$18*Toxicity!$D$14</f>
        <v>1.8037715068493147E-9</v>
      </c>
      <c r="L91" s="31">
        <f>'Group Means'!M14/1000*Parameters!$C$18*Toxicity!$D$15</f>
        <v>2.363209589041096E-9</v>
      </c>
      <c r="M91" s="31">
        <f>'Group Means'!N14/1000*Parameters!$C$18*Toxicity!$D$16</f>
        <v>3.9519219178082195E-9</v>
      </c>
      <c r="N91" s="31">
        <f>'Group Means'!O14/1000*Parameters!$C$18*Toxicity!$D$17</f>
        <v>2.7095561643835619E-9</v>
      </c>
      <c r="O91" s="31">
        <f>'Group Means'!P14/1000*Parameters!$C$18*Toxicity!$D$18</f>
        <v>4.5037808219178094E-9</v>
      </c>
    </row>
    <row r="92" spans="1:15" ht="15" customHeight="1" x14ac:dyDescent="0.25">
      <c r="A92" s="10" t="s">
        <v>87</v>
      </c>
      <c r="B92" s="31">
        <f>'Group Means'!C15/1000*Parameters!$C$18*Toxicity!$D$5</f>
        <v>1.9882771232876716E-9</v>
      </c>
      <c r="C92" s="31">
        <f>'Group Means'!D15/1000*Parameters!$C$18*Toxicity!$D$6</f>
        <v>2.2715124657534249E-9</v>
      </c>
      <c r="D92" s="31">
        <f>'Group Means'!E15/1000*Parameters!$C$18*Toxicity!$D$7</f>
        <v>1.8879805479452057E-9</v>
      </c>
      <c r="E92" s="31">
        <f>'Group Means'!F15/1000*Parameters!$C$18*Toxicity!$D$8</f>
        <v>1.5268582191780823E-9</v>
      </c>
      <c r="F92" s="31">
        <f>'Group Means'!G15/1000*Parameters!$C$18*Toxicity!$D$9</f>
        <v>1.8697249315068491E-9</v>
      </c>
      <c r="G92" s="31">
        <f>'Group Means'!H15/1000*Parameters!$C$18*Toxicity!$D$10</f>
        <v>4.9115260273972607E-9</v>
      </c>
      <c r="H92" s="31">
        <f>'Group Means'!I15/1000*Parameters!$C$18*Toxicity!$D$11</f>
        <v>1.8389709589041096E-9</v>
      </c>
      <c r="I92" s="31">
        <f>'Group Means'!J15/1000*Parameters!$C$18*Toxicity!$D$12</f>
        <v>3.63006191780822E-9</v>
      </c>
      <c r="J92" s="31">
        <f>'Group Means'!K15/1000*Parameters!$C$18*Toxicity!$D$13</f>
        <v>9.7632931506849327E-10</v>
      </c>
      <c r="K92" s="31">
        <f>'Group Means'!L15/1000*Parameters!$C$18*Toxicity!$D$14</f>
        <v>3.3569928767123293E-9</v>
      </c>
      <c r="L92" s="31">
        <f>'Group Means'!M15/1000*Parameters!$C$18*Toxicity!$D$15</f>
        <v>4.2552712328767131E-9</v>
      </c>
      <c r="M92" s="31">
        <f>'Group Means'!N15/1000*Parameters!$C$18*Toxicity!$D$16</f>
        <v>5.8647534246575335E-9</v>
      </c>
      <c r="N92" s="31">
        <f>'Group Means'!O15/1000*Parameters!$C$18*Toxicity!$D$17</f>
        <v>5.0075410958904122E-9</v>
      </c>
      <c r="O92" s="31">
        <f>'Group Means'!P15/1000*Parameters!$C$18*Toxicity!$D$18</f>
        <v>7.410286301369865E-9</v>
      </c>
    </row>
    <row r="93" spans="1:15" ht="15" customHeight="1" x14ac:dyDescent="0.25">
      <c r="A93" s="17" t="s">
        <v>44</v>
      </c>
      <c r="B93" s="31">
        <f>'Group Means'!C16/1000*Parameters!$C$18*Toxicity!$D$5</f>
        <v>5.933804109589042E-10</v>
      </c>
      <c r="C93" s="31">
        <f>'Group Means'!D16/1000*Parameters!$C$18*Toxicity!$D$6</f>
        <v>1.2392320547945207E-9</v>
      </c>
      <c r="D93" s="31">
        <f>'Group Means'!E16/1000*Parameters!$C$18*Toxicity!$D$7</f>
        <v>6.1753904109589032E-10</v>
      </c>
      <c r="E93" s="31">
        <f>'Group Means'!F16/1000*Parameters!$C$18*Toxicity!$D$8</f>
        <v>7.0482712328767135E-10</v>
      </c>
      <c r="F93" s="31">
        <f>'Group Means'!G16/1000*Parameters!$C$18*Toxicity!$D$9</f>
        <v>1.3450308219178083E-9</v>
      </c>
      <c r="G93" s="31">
        <f>'Group Means'!H16/1000*Parameters!$C$18*Toxicity!$D$10</f>
        <v>2.0731420547945208E-9</v>
      </c>
      <c r="H93" s="31">
        <f>'Group Means'!I16/1000*Parameters!$C$18*Toxicity!$D$11</f>
        <v>7.6102721461187229E-10</v>
      </c>
      <c r="I93" s="31">
        <f>'Group Means'!J16/1000*Parameters!$C$18*Toxicity!$D$12</f>
        <v>1.4992683105022829E-9</v>
      </c>
      <c r="J93" s="31">
        <f>'Group Means'!K16/1000*Parameters!$C$18*Toxicity!$D$13</f>
        <v>3.4181607305936077E-10</v>
      </c>
      <c r="K93" s="31">
        <f>'Group Means'!L16/1000*Parameters!$C$18*Toxicity!$D$14</f>
        <v>3.8471616438356171E-10</v>
      </c>
      <c r="L93" s="31">
        <f>'Group Means'!M16/1000*Parameters!$C$18*Toxicity!$D$15</f>
        <v>9.7733744292237454E-10</v>
      </c>
      <c r="M93" s="31">
        <f>'Group Means'!N16/1000*Parameters!$C$18*Toxicity!$D$16</f>
        <v>1.5809995433789954E-9</v>
      </c>
      <c r="N93" s="31">
        <f>'Group Means'!O16/1000*Parameters!$C$18*Toxicity!$D$17</f>
        <v>1.4082817351598177E-9</v>
      </c>
      <c r="O93" s="31">
        <f>'Group Means'!P16/1000*Parameters!$C$18*Toxicity!$D$18</f>
        <v>2.2344607305936075E-9</v>
      </c>
    </row>
    <row r="94" spans="1:15" ht="15" customHeight="1" x14ac:dyDescent="0.25">
      <c r="A94" s="17" t="s">
        <v>57</v>
      </c>
      <c r="B94" s="31">
        <f>'Group Means'!C17/1000*Parameters!$C$18*Toxicity!$D$5</f>
        <v>9.2646342465753418E-10</v>
      </c>
      <c r="C94" s="31">
        <f>'Group Means'!D17/1000*Parameters!$C$18*Toxicity!$D$6</f>
        <v>1.3049486301369863E-9</v>
      </c>
      <c r="D94" s="31">
        <f>'Group Means'!E17/1000*Parameters!$C$18*Toxicity!$D$7</f>
        <v>6.2189342465753437E-10</v>
      </c>
      <c r="E94" s="31">
        <f>'Group Means'!F17/1000*Parameters!$C$18*Toxicity!$D$8</f>
        <v>7.4377972602739731E-10</v>
      </c>
      <c r="F94" s="31">
        <f>'Group Means'!G17/1000*Parameters!$C$18*Toxicity!$D$9</f>
        <v>1.179400273972603E-9</v>
      </c>
      <c r="G94" s="31">
        <f>'Group Means'!H17/1000*Parameters!$C$18*Toxicity!$D$10</f>
        <v>2.8554189041095893E-9</v>
      </c>
      <c r="H94" s="31">
        <f>'Group Means'!I17/1000*Parameters!$C$18*Toxicity!$D$11</f>
        <v>9.0495872146118718E-10</v>
      </c>
      <c r="I94" s="31">
        <f>'Group Means'!J17/1000*Parameters!$C$18*Toxicity!$D$12</f>
        <v>1.787568584474886E-9</v>
      </c>
      <c r="J94" s="31">
        <f>'Group Means'!K17/1000*Parameters!$C$18*Toxicity!$D$13</f>
        <v>1.0931506849315068E-10</v>
      </c>
      <c r="K94" s="31">
        <f>'Group Means'!L17/1000*Parameters!$C$18*Toxicity!$D$14</f>
        <v>4.9740785388127855E-10</v>
      </c>
      <c r="L94" s="31">
        <f>'Group Means'!M17/1000*Parameters!$C$18*Toxicity!$D$15</f>
        <v>5.8009863013698627E-10</v>
      </c>
      <c r="M94" s="31">
        <f>'Group Means'!N17/1000*Parameters!$C$18*Toxicity!$D$16</f>
        <v>1.1614726027397261E-9</v>
      </c>
      <c r="N94" s="31">
        <f>'Group Means'!O17/1000*Parameters!$C$18*Toxicity!$D$17</f>
        <v>5.5015844748858455E-10</v>
      </c>
      <c r="O94" s="31">
        <f>'Group Means'!P17/1000*Parameters!$C$18*Toxicity!$D$18</f>
        <v>1.4270474885844749E-9</v>
      </c>
    </row>
    <row r="95" spans="1:15" ht="15" customHeight="1" x14ac:dyDescent="0.25">
      <c r="A95" s="17" t="s">
        <v>70</v>
      </c>
      <c r="B95" s="31">
        <f>'Group Means'!C18/1000*Parameters!$C$18*Toxicity!$D$5</f>
        <v>1.6112494520547948E-9</v>
      </c>
      <c r="C95" s="31">
        <f>'Group Means'!D18/1000*Parameters!$C$18*Toxicity!$D$6</f>
        <v>1.794111698630137E-9</v>
      </c>
      <c r="D95" s="31">
        <f>'Group Means'!E18/1000*Parameters!$C$18*Toxicity!$D$7</f>
        <v>1.1834230684931508E-9</v>
      </c>
      <c r="E95" s="31">
        <f>'Group Means'!F18/1000*Parameters!$C$18*Toxicity!$D$8</f>
        <v>1.1363301369863016E-9</v>
      </c>
      <c r="F95" s="31">
        <f>'Group Means'!G18/1000*Parameters!$C$18*Toxicity!$D$9</f>
        <v>1.494238602739726E-9</v>
      </c>
      <c r="G95" s="31">
        <f>'Group Means'!H18/1000*Parameters!$C$18*Toxicity!$D$10</f>
        <v>3.8021420547945205E-9</v>
      </c>
      <c r="H95" s="31">
        <f>'Group Means'!I18/1000*Parameters!$C$18*Toxicity!$D$11</f>
        <v>1.5406719999999998E-9</v>
      </c>
      <c r="I95" s="31">
        <f>'Group Means'!J18/1000*Parameters!$C$18*Toxicity!$D$12</f>
        <v>3.0395273424657537E-9</v>
      </c>
      <c r="J95" s="31">
        <f>'Group Means'!K18/1000*Parameters!$C$18*Toxicity!$D$13</f>
        <v>6.7096131506849334E-10</v>
      </c>
      <c r="K95" s="31">
        <f>'Group Means'!L18/1000*Parameters!$C$18*Toxicity!$D$14</f>
        <v>1.6760186301369861E-9</v>
      </c>
      <c r="L95" s="31">
        <f>'Group Means'!M18/1000*Parameters!$C$18*Toxicity!$D$15</f>
        <v>2.1062098630136987E-9</v>
      </c>
      <c r="M95" s="31">
        <f>'Group Means'!N18/1000*Parameters!$C$18*Toxicity!$D$16</f>
        <v>3.2861567123287663E-9</v>
      </c>
      <c r="N95" s="31">
        <f>'Group Means'!O18/1000*Parameters!$C$18*Toxicity!$D$17</f>
        <v>2.2749194520547949E-9</v>
      </c>
      <c r="O95" s="31">
        <f>'Group Means'!P18/1000*Parameters!$C$18*Toxicity!$D$18</f>
        <v>3.9473306849315065E-9</v>
      </c>
    </row>
    <row r="96" spans="1:15" ht="15" customHeight="1" x14ac:dyDescent="0.25">
      <c r="A96" s="17" t="s">
        <v>127</v>
      </c>
      <c r="B96" s="31">
        <f>'Group Means'!C19/1000*Parameters!$C$18*Toxicity!$D$5</f>
        <v>1.1468889788293901E-9</v>
      </c>
      <c r="C96" s="31">
        <f>'Group Means'!D19/1000*Parameters!$C$18*Toxicity!$D$6</f>
        <v>1.509372777085928E-9</v>
      </c>
      <c r="D96" s="31">
        <f>'Group Means'!E19/1000*Parameters!$C$18*Toxicity!$D$7</f>
        <v>8.7594661270236613E-10</v>
      </c>
      <c r="E96" s="31">
        <f>'Group Means'!F19/1000*Parameters!$C$18*Toxicity!$D$8</f>
        <v>9.1158829389788276E-10</v>
      </c>
      <c r="F96" s="31">
        <f>'Group Means'!G19/1000*Parameters!$C$18*Toxicity!$D$9</f>
        <v>1.3676805728518059E-9</v>
      </c>
      <c r="G96" s="31">
        <f>'Group Means'!H19/1000*Parameters!$C$18*Toxicity!$D$10</f>
        <v>3.0723993773349932E-9</v>
      </c>
      <c r="H96" s="31">
        <f>'Group Means'!I19/1000*Parameters!$C$18*Toxicity!$D$11</f>
        <v>1.1546652552926529E-9</v>
      </c>
      <c r="I96" s="31">
        <f>'Group Means'!J19/1000*Parameters!$C$18*Toxicity!$D$12</f>
        <v>2.2780133997509346E-9</v>
      </c>
      <c r="J96" s="31">
        <f>'Group Means'!K19/1000*Parameters!$C$18*Toxicity!$D$13</f>
        <v>4.2801818181818186E-10</v>
      </c>
      <c r="K96" s="31">
        <f>'Group Means'!L19/1000*Parameters!$C$18*Toxicity!$D$14</f>
        <v>1.0024059277708592E-9</v>
      </c>
      <c r="L96" s="31">
        <f>'Group Means'!M19/1000*Parameters!$C$18*Toxicity!$D$15</f>
        <v>1.3821234122042344E-9</v>
      </c>
      <c r="M96" s="31">
        <f>'Group Means'!N19/1000*Parameters!$C$18*Toxicity!$D$16</f>
        <v>2.2416545454545456E-9</v>
      </c>
      <c r="N96" s="31">
        <f>'Group Means'!O19/1000*Parameters!$C$18*Toxicity!$D$17</f>
        <v>1.5681743462017433E-9</v>
      </c>
      <c r="O96" s="31">
        <f>'Group Means'!P19/1000*Parameters!$C$18*Toxicity!$D$18</f>
        <v>2.7928343711083438E-9</v>
      </c>
    </row>
    <row r="99" spans="1:19" ht="15" customHeight="1" x14ac:dyDescent="0.25">
      <c r="A99" s="17" t="s">
        <v>326</v>
      </c>
    </row>
    <row r="100" spans="1:19" ht="23.25" customHeight="1" x14ac:dyDescent="0.25">
      <c r="A100" s="6" t="s">
        <v>130</v>
      </c>
      <c r="B100" s="6" t="s">
        <v>25</v>
      </c>
      <c r="C100" s="6" t="s">
        <v>26</v>
      </c>
      <c r="D100" s="6" t="s">
        <v>27</v>
      </c>
      <c r="E100" s="6" t="s">
        <v>28</v>
      </c>
      <c r="F100" s="6" t="s">
        <v>29</v>
      </c>
      <c r="G100" s="6" t="s">
        <v>30</v>
      </c>
      <c r="H100" s="6" t="s">
        <v>31</v>
      </c>
      <c r="I100" s="6" t="s">
        <v>32</v>
      </c>
      <c r="J100" s="6" t="s">
        <v>33</v>
      </c>
      <c r="K100" s="6" t="s">
        <v>34</v>
      </c>
      <c r="L100" s="6" t="s">
        <v>35</v>
      </c>
      <c r="M100" s="6" t="s">
        <v>36</v>
      </c>
      <c r="N100" s="6" t="s">
        <v>37</v>
      </c>
      <c r="O100" s="6" t="s">
        <v>38</v>
      </c>
      <c r="P100" s="6" t="s">
        <v>327</v>
      </c>
      <c r="Q100" s="6" t="s">
        <v>328</v>
      </c>
      <c r="R100" s="6" t="s">
        <v>329</v>
      </c>
      <c r="S100" s="6" t="s">
        <v>330</v>
      </c>
    </row>
    <row r="101" spans="1:19" ht="15" customHeight="1" x14ac:dyDescent="0.25">
      <c r="A101" s="10" t="s">
        <v>45</v>
      </c>
      <c r="B101" s="31">
        <f>IF(ISNUMBER(Toxicity!$C$5),(B63+B82)*Toxicity!$C$5,0)</f>
        <v>1.4574301515981736E-9</v>
      </c>
      <c r="C101" s="31">
        <f>IF(ISNUMBER(Toxicity!$C$6),(C63+C82)*Toxicity!$C$6,0)</f>
        <v>3.3435366812785395E-9</v>
      </c>
      <c r="D101" s="31">
        <f>IF(ISNUMBER(Toxicity!$C$7),(D63+D82)*Toxicity!$C$7,0)</f>
        <v>1.972676211872146E-9</v>
      </c>
      <c r="E101" s="31">
        <f>IF(ISNUMBER(Toxicity!$C$8),(E63+E82)*Toxicity!$C$8,0)</f>
        <v>1.9726762118721464E-9</v>
      </c>
      <c r="F101" s="31">
        <f>IF(ISNUMBER(Toxicity!$C$9),(F63+F82)*Toxicity!$C$9,0)</f>
        <v>4.236004047488584E-9</v>
      </c>
      <c r="G101" s="31">
        <f>IF(ISNUMBER(Toxicity!$C$10),(G63+G82)*Toxicity!$C$10,0)</f>
        <v>5.6758768940639264E-9</v>
      </c>
      <c r="H101" s="31">
        <f>IF(ISNUMBER(Toxicity!$C$11),(H63+H82)*Toxicity!$C$11,0)</f>
        <v>2.5325663999999997E-8</v>
      </c>
      <c r="I101" s="31">
        <f>IF(ISNUMBER(Toxicity!$C$12),(I63+I82)*Toxicity!$C$12,0)</f>
        <v>1.4255455232876712E-8</v>
      </c>
      <c r="J101" s="31">
        <f>IF(ISNUMBER(Toxicity!$C$13),(J63+J82)*Toxicity!$C$13,0)</f>
        <v>1.0325205479452054E-9</v>
      </c>
      <c r="K101" s="31">
        <f>IF(ISNUMBER(Toxicity!$C$14),(K63+K82)*Toxicity!$C$14,0)</f>
        <v>0</v>
      </c>
      <c r="L101" s="31">
        <f>IF(ISNUMBER(Toxicity!$C$15),(L63+L82)*Toxicity!$C$15,0)</f>
        <v>1.6289726027397262E-8</v>
      </c>
      <c r="M101" s="31">
        <f>IF(ISNUMBER(Toxicity!$C$16),(M63+M82)*Toxicity!$C$16,0)</f>
        <v>3.2042849315068489E-8</v>
      </c>
      <c r="N101" s="31">
        <f>IF(ISNUMBER(Toxicity!$C$17),(N63+N82)*Toxicity!$C$17,0)</f>
        <v>4.311986301369863E-9</v>
      </c>
      <c r="O101" s="31">
        <f>IF(ISNUMBER(Toxicity!$C$18),(O63+O82)*Toxicity!$C$18,0)</f>
        <v>3.8489173013698634E-8</v>
      </c>
      <c r="P101" s="31">
        <f>IF(ISNUMBER(Toxicity!$C$5),B63*Toxicity!$C$5,0)+IF(ISNUMBER(Toxicity!$C$6),C63*Toxicity!$C$6,0)+IF(ISNUMBER(Toxicity!$C$7),D63*Toxicity!$C$7,0)+IF(ISNUMBER(Toxicity!$C$8),E63*Toxicity!$C$8,0)+IF(ISNUMBER(Toxicity!$C$9),F63*Toxicity!$C$9,0)+IF(ISNUMBER(Toxicity!$C$10),G63*Toxicity!$C$10,0)+IF(ISNUMBER(Toxicity!$C$11),H63*Toxicity!$C$11,0)+IF(ISNUMBER(Toxicity!$C$12),I63*Toxicity!$C$12,0)+IF(ISNUMBER(Toxicity!$C$13),J63*Toxicity!$C$13,0)+IF(ISNUMBER(Toxicity!$C$14),K63*Toxicity!$C$14,0)+IF(ISNUMBER(Toxicity!$C$15),L63*Toxicity!$C$15,0)+IF(ISNUMBER(Toxicity!$C$16),M63*Toxicity!$C$16,0)+IF(ISNUMBER(Toxicity!$C$17),N63*Toxicity!$C$17,0)+IF(ISNUMBER(Toxicity!$C$18),O63*Toxicity!$C$18,0)</f>
        <v>1.168294611872146E-7</v>
      </c>
      <c r="Q101" s="31">
        <f>IF(ISNUMBER(Toxicity!$C$5),B82*Toxicity!$C$5,0)+IF(ISNUMBER(Toxicity!$C$6),C82*Toxicity!$C$6,0)+IF(ISNUMBER(Toxicity!$C$7),D82*Toxicity!$C$7,0)+IF(ISNUMBER(Toxicity!$C$8),E82*Toxicity!$C$8,0)+IF(ISNUMBER(Toxicity!$C$9),F82*Toxicity!$C$9,0)+IF(ISNUMBER(Toxicity!$C$10),G82*Toxicity!$C$10,0)+IF(ISNUMBER(Toxicity!$C$11),H82*Toxicity!$C$11,0)+IF(ISNUMBER(Toxicity!$C$12),I82*Toxicity!$C$12,0)+IF(ISNUMBER(Toxicity!$C$13),J82*Toxicity!$C$13,0)+IF(ISNUMBER(Toxicity!$C$14),K82*Toxicity!$C$14,0)+IF(ISNUMBER(Toxicity!$C$15),L82*Toxicity!$C$15,0)+IF(ISNUMBER(Toxicity!$C$16),M82*Toxicity!$C$16,0)+IF(ISNUMBER(Toxicity!$C$17),N82*Toxicity!$C$17,0)+IF(ISNUMBER(Toxicity!$C$18),O82*Toxicity!$C$18,0)</f>
        <v>3.3576113449315074E-8</v>
      </c>
      <c r="R101" s="32">
        <f t="shared" ref="R101:R115" si="2">SUM(B101:O101)</f>
        <v>1.5040557463652966E-7</v>
      </c>
      <c r="S101" s="15" t="str">
        <f t="shared" ref="S101:S115" si="3">IF(R101&lt;0.000001,"&lt; 1E-6 (negligible)",IF(R101&lt;=0.0001,"1E-6 to 1E-4 (acceptable range)","&gt; 1E-4 (of concern)"))</f>
        <v>&lt; 1E-6 (negligible)</v>
      </c>
    </row>
    <row r="102" spans="1:19" ht="15" customHeight="1" x14ac:dyDescent="0.25">
      <c r="A102" s="10" t="s">
        <v>49</v>
      </c>
      <c r="B102" s="31">
        <f>IF(ISNUMBER(Toxicity!$C$5),(B64+B83)*Toxicity!$C$5,0)</f>
        <v>2.6075205479452054E-10</v>
      </c>
      <c r="C102" s="31">
        <f>IF(ISNUMBER(Toxicity!$C$6),(C64+C83)*Toxicity!$C$6,0)</f>
        <v>2.4385532164383562E-9</v>
      </c>
      <c r="D102" s="31">
        <f>IF(ISNUMBER(Toxicity!$C$7),(D64+D83)*Toxicity!$C$7,0)</f>
        <v>2.6075205479452054E-10</v>
      </c>
      <c r="E102" s="31">
        <f>IF(ISNUMBER(Toxicity!$C$8),(E64+E83)*Toxicity!$C$8,0)</f>
        <v>2.6075205479452054E-10</v>
      </c>
      <c r="F102" s="31">
        <f>IF(ISNUMBER(Toxicity!$C$9),(F64+F83)*Toxicity!$C$9,0)</f>
        <v>3.7868151744292227E-9</v>
      </c>
      <c r="G102" s="31">
        <f>IF(ISNUMBER(Toxicity!$C$10),(G64+G83)*Toxicity!$C$10,0)</f>
        <v>4.3470844228310497E-9</v>
      </c>
      <c r="H102" s="31">
        <f>IF(ISNUMBER(Toxicity!$C$11),(H64+H83)*Toxicity!$C$11,0)</f>
        <v>5.0037534246575332E-9</v>
      </c>
      <c r="I102" s="31">
        <f>IF(ISNUMBER(Toxicity!$C$12),(I64+I83)*Toxicity!$C$12,0)</f>
        <v>2.8163983561643834E-9</v>
      </c>
      <c r="J102" s="31">
        <f>IF(ISNUMBER(Toxicity!$C$13),(J64+J83)*Toxicity!$C$13,0)</f>
        <v>1.0325205479452054E-9</v>
      </c>
      <c r="K102" s="31">
        <f>IF(ISNUMBER(Toxicity!$C$14),(K64+K83)*Toxicity!$C$14,0)</f>
        <v>0</v>
      </c>
      <c r="L102" s="31">
        <f>IF(ISNUMBER(Toxicity!$C$15),(L64+L83)*Toxicity!$C$15,0)</f>
        <v>1.6289726027397262E-8</v>
      </c>
      <c r="M102" s="31">
        <f>IF(ISNUMBER(Toxicity!$C$16),(M64+M83)*Toxicity!$C$16,0)</f>
        <v>1.5331506849315068E-8</v>
      </c>
      <c r="N102" s="31">
        <f>IF(ISNUMBER(Toxicity!$C$17),(N64+N83)*Toxicity!$C$17,0)</f>
        <v>4.311986301369863E-9</v>
      </c>
      <c r="O102" s="31">
        <f>IF(ISNUMBER(Toxicity!$C$18),(O64+O83)*Toxicity!$C$18,0)</f>
        <v>8.7197945205479443E-9</v>
      </c>
      <c r="P102" s="31">
        <f>IF(ISNUMBER(Toxicity!$C$5),B64*Toxicity!$C$5,0)+IF(ISNUMBER(Toxicity!$C$6),C64*Toxicity!$C$6,0)+IF(ISNUMBER(Toxicity!$C$7),D64*Toxicity!$C$7,0)+IF(ISNUMBER(Toxicity!$C$8),E64*Toxicity!$C$8,0)+IF(ISNUMBER(Toxicity!$C$9),F64*Toxicity!$C$9,0)+IF(ISNUMBER(Toxicity!$C$10),G64*Toxicity!$C$10,0)+IF(ISNUMBER(Toxicity!$C$11),H64*Toxicity!$C$11,0)+IF(ISNUMBER(Toxicity!$C$12),I64*Toxicity!$C$12,0)+IF(ISNUMBER(Toxicity!$C$13),J64*Toxicity!$C$13,0)+IF(ISNUMBER(Toxicity!$C$14),K64*Toxicity!$C$14,0)+IF(ISNUMBER(Toxicity!$C$15),L64*Toxicity!$C$15,0)+IF(ISNUMBER(Toxicity!$C$16),M64*Toxicity!$C$16,0)+IF(ISNUMBER(Toxicity!$C$17),N64*Toxicity!$C$17,0)+IF(ISNUMBER(Toxicity!$C$18),O64*Toxicity!$C$18,0)</f>
        <v>4.969290410958904E-8</v>
      </c>
      <c r="Q102" s="31">
        <f>IF(ISNUMBER(Toxicity!$C$5),B83*Toxicity!$C$5,0)+IF(ISNUMBER(Toxicity!$C$6),C83*Toxicity!$C$6,0)+IF(ISNUMBER(Toxicity!$C$7),D83*Toxicity!$C$7,0)+IF(ISNUMBER(Toxicity!$C$8),E83*Toxicity!$C$8,0)+IF(ISNUMBER(Toxicity!$C$9),F83*Toxicity!$C$9,0)+IF(ISNUMBER(Toxicity!$C$10),G83*Toxicity!$C$10,0)+IF(ISNUMBER(Toxicity!$C$11),H83*Toxicity!$C$11,0)+IF(ISNUMBER(Toxicity!$C$12),I83*Toxicity!$C$12,0)+IF(ISNUMBER(Toxicity!$C$13),J83*Toxicity!$C$13,0)+IF(ISNUMBER(Toxicity!$C$14),K83*Toxicity!$C$14,0)+IF(ISNUMBER(Toxicity!$C$15),L83*Toxicity!$C$15,0)+IF(ISNUMBER(Toxicity!$C$16),M83*Toxicity!$C$16,0)+IF(ISNUMBER(Toxicity!$C$17),N83*Toxicity!$C$17,0)+IF(ISNUMBER(Toxicity!$C$18),O83*Toxicity!$C$18,0)</f>
        <v>1.5167490895890413E-8</v>
      </c>
      <c r="R102" s="32">
        <f t="shared" si="2"/>
        <v>6.4860395005479446E-8</v>
      </c>
      <c r="S102" s="15" t="str">
        <f t="shared" si="3"/>
        <v>&lt; 1E-6 (negligible)</v>
      </c>
    </row>
    <row r="103" spans="1:19" ht="15" customHeight="1" x14ac:dyDescent="0.25">
      <c r="A103" s="10" t="s">
        <v>53</v>
      </c>
      <c r="B103" s="31">
        <f>IF(ISNUMBER(Toxicity!$C$5),(B65+B84)*Toxicity!$C$5,0)</f>
        <v>3.9434402420091324E-9</v>
      </c>
      <c r="C103" s="31">
        <f>IF(ISNUMBER(Toxicity!$C$6),(C65+C84)*Toxicity!$C$6,0)</f>
        <v>6.0417989442922363E-9</v>
      </c>
      <c r="D103" s="31">
        <f>IF(ISNUMBER(Toxicity!$C$7),(D65+D84)*Toxicity!$C$7,0)</f>
        <v>3.6586989981735164E-9</v>
      </c>
      <c r="E103" s="31">
        <f>IF(ISNUMBER(Toxicity!$C$8),(E65+E84)*Toxicity!$C$8,0)</f>
        <v>4.4915410611872148E-9</v>
      </c>
      <c r="F103" s="31">
        <f>IF(ISNUMBER(Toxicity!$C$9),(F65+F84)*Toxicity!$C$9,0)</f>
        <v>4.8105277415525123E-9</v>
      </c>
      <c r="G103" s="31">
        <f>IF(ISNUMBER(Toxicity!$C$10),(G65+G84)*Toxicity!$C$10,0)</f>
        <v>9.7575157251141562E-9</v>
      </c>
      <c r="H103" s="31">
        <f>IF(ISNUMBER(Toxicity!$C$11),(H65+H84)*Toxicity!$C$11,0)</f>
        <v>7.4175640767123283E-8</v>
      </c>
      <c r="I103" s="31">
        <f>IF(ISNUMBER(Toxicity!$C$12),(I65+I84)*Toxicity!$C$12,0)</f>
        <v>4.1751318575342454E-8</v>
      </c>
      <c r="J103" s="31">
        <f>IF(ISNUMBER(Toxicity!$C$13),(J65+J84)*Toxicity!$C$13,0)</f>
        <v>7.6206899908675799E-9</v>
      </c>
      <c r="K103" s="31">
        <f>IF(ISNUMBER(Toxicity!$C$14),(K65+K84)*Toxicity!$C$14,0)</f>
        <v>0</v>
      </c>
      <c r="L103" s="31">
        <f>IF(ISNUMBER(Toxicity!$C$15),(L65+L84)*Toxicity!$C$15,0)</f>
        <v>1.4218758858447488E-7</v>
      </c>
      <c r="M103" s="31">
        <f>IF(ISNUMBER(Toxicity!$C$16),(M65+M84)*Toxicity!$C$16,0)</f>
        <v>2.1870905570776256E-7</v>
      </c>
      <c r="N103" s="31">
        <f>IF(ISNUMBER(Toxicity!$C$17),(N65+N84)*Toxicity!$C$17,0)</f>
        <v>5.8036460958904108E-8</v>
      </c>
      <c r="O103" s="31">
        <f>IF(ISNUMBER(Toxicity!$C$18),(O65+O84)*Toxicity!$C$18,0)</f>
        <v>1.6667596566210046E-7</v>
      </c>
      <c r="P103" s="31">
        <f>IF(ISNUMBER(Toxicity!$C$5),B65*Toxicity!$C$5,0)+IF(ISNUMBER(Toxicity!$C$6),C65*Toxicity!$C$6,0)+IF(ISNUMBER(Toxicity!$C$7),D65*Toxicity!$C$7,0)+IF(ISNUMBER(Toxicity!$C$8),E65*Toxicity!$C$8,0)+IF(ISNUMBER(Toxicity!$C$9),F65*Toxicity!$C$9,0)+IF(ISNUMBER(Toxicity!$C$10),G65*Toxicity!$C$10,0)+IF(ISNUMBER(Toxicity!$C$11),H65*Toxicity!$C$11,0)+IF(ISNUMBER(Toxicity!$C$12),I65*Toxicity!$C$12,0)+IF(ISNUMBER(Toxicity!$C$13),J65*Toxicity!$C$13,0)+IF(ISNUMBER(Toxicity!$C$14),K65*Toxicity!$C$14,0)+IF(ISNUMBER(Toxicity!$C$15),L65*Toxicity!$C$15,0)+IF(ISNUMBER(Toxicity!$C$16),M65*Toxicity!$C$16,0)+IF(ISNUMBER(Toxicity!$C$17),N65*Toxicity!$C$17,0)+IF(ISNUMBER(Toxicity!$C$18),O65*Toxicity!$C$18,0)</f>
        <v>5.5434191780821908E-7</v>
      </c>
      <c r="Q103" s="31">
        <f>IF(ISNUMBER(Toxicity!$C$5),B84*Toxicity!$C$5,0)+IF(ISNUMBER(Toxicity!$C$6),C84*Toxicity!$C$6,0)+IF(ISNUMBER(Toxicity!$C$7),D84*Toxicity!$C$7,0)+IF(ISNUMBER(Toxicity!$C$8),E84*Toxicity!$C$8,0)+IF(ISNUMBER(Toxicity!$C$9),F84*Toxicity!$C$9,0)+IF(ISNUMBER(Toxicity!$C$10),G84*Toxicity!$C$10,0)+IF(ISNUMBER(Toxicity!$C$11),H84*Toxicity!$C$11,0)+IF(ISNUMBER(Toxicity!$C$12),I84*Toxicity!$C$12,0)+IF(ISNUMBER(Toxicity!$C$13),J84*Toxicity!$C$13,0)+IF(ISNUMBER(Toxicity!$C$14),K84*Toxicity!$C$14,0)+IF(ISNUMBER(Toxicity!$C$15),L84*Toxicity!$C$15,0)+IF(ISNUMBER(Toxicity!$C$16),M84*Toxicity!$C$16,0)+IF(ISNUMBER(Toxicity!$C$17),N84*Toxicity!$C$17,0)+IF(ISNUMBER(Toxicity!$C$18),O84*Toxicity!$C$18,0)</f>
        <v>1.8751832515068495E-7</v>
      </c>
      <c r="R103" s="32">
        <f t="shared" si="2"/>
        <v>7.4186024295890411E-7</v>
      </c>
      <c r="S103" s="15" t="str">
        <f t="shared" si="3"/>
        <v>&lt; 1E-6 (negligible)</v>
      </c>
    </row>
    <row r="104" spans="1:19" ht="15" customHeight="1" x14ac:dyDescent="0.25">
      <c r="A104" s="10" t="s">
        <v>58</v>
      </c>
      <c r="B104" s="31">
        <f>IF(ISNUMBER(Toxicity!$C$5),(B66+B85)*Toxicity!$C$5,0)</f>
        <v>2.2414246630136981E-9</v>
      </c>
      <c r="C104" s="31">
        <f>IF(ISNUMBER(Toxicity!$C$6),(C66+C85)*Toxicity!$C$6,0)</f>
        <v>3.1931696630136987E-9</v>
      </c>
      <c r="D104" s="31">
        <f>IF(ISNUMBER(Toxicity!$C$7),(D66+D85)*Toxicity!$C$7,0)</f>
        <v>2.6075205479452054E-10</v>
      </c>
      <c r="E104" s="31">
        <f>IF(ISNUMBER(Toxicity!$C$8),(E66+E85)*Toxicity!$C$8,0)</f>
        <v>2.8491507853881284E-9</v>
      </c>
      <c r="F104" s="31">
        <f>IF(ISNUMBER(Toxicity!$C$9),(F66+F85)*Toxicity!$C$9,0)</f>
        <v>3.414808909589041E-9</v>
      </c>
      <c r="G104" s="31">
        <f>IF(ISNUMBER(Toxicity!$C$10),(G66+G85)*Toxicity!$C$10,0)</f>
        <v>6.7795534246575345E-9</v>
      </c>
      <c r="H104" s="31">
        <f>IF(ISNUMBER(Toxicity!$C$11),(H66+H85)*Toxicity!$C$11,0)</f>
        <v>3.1019935397260264E-8</v>
      </c>
      <c r="I104" s="31">
        <f>IF(ISNUMBER(Toxicity!$C$12),(I66+I85)*Toxicity!$C$12,0)</f>
        <v>1.7457857424657534E-8</v>
      </c>
      <c r="J104" s="31">
        <f>IF(ISNUMBER(Toxicity!$C$13),(J66+J85)*Toxicity!$C$13,0)</f>
        <v>1.0325205479452054E-9</v>
      </c>
      <c r="K104" s="31">
        <f>IF(ISNUMBER(Toxicity!$C$14),(K66+K85)*Toxicity!$C$14,0)</f>
        <v>0</v>
      </c>
      <c r="L104" s="31">
        <f>IF(ISNUMBER(Toxicity!$C$15),(L66+L85)*Toxicity!$C$15,0)</f>
        <v>3.848719269406392E-8</v>
      </c>
      <c r="M104" s="31">
        <f>IF(ISNUMBER(Toxicity!$C$16),(M66+M85)*Toxicity!$C$16,0)</f>
        <v>1.0293573698630136E-7</v>
      </c>
      <c r="N104" s="31">
        <f>IF(ISNUMBER(Toxicity!$C$17),(N66+N85)*Toxicity!$C$17,0)</f>
        <v>4.311986301369863E-9</v>
      </c>
      <c r="O104" s="31">
        <f>IF(ISNUMBER(Toxicity!$C$18),(O66+O85)*Toxicity!$C$18,0)</f>
        <v>8.7197945205479443E-9</v>
      </c>
      <c r="P104" s="31">
        <f>IF(ISNUMBER(Toxicity!$C$5),B66*Toxicity!$C$5,0)+IF(ISNUMBER(Toxicity!$C$6),C66*Toxicity!$C$6,0)+IF(ISNUMBER(Toxicity!$C$7),D66*Toxicity!$C$7,0)+IF(ISNUMBER(Toxicity!$C$8),E66*Toxicity!$C$8,0)+IF(ISNUMBER(Toxicity!$C$9),F66*Toxicity!$C$9,0)+IF(ISNUMBER(Toxicity!$C$10),G66*Toxicity!$C$10,0)+IF(ISNUMBER(Toxicity!$C$11),H66*Toxicity!$C$11,0)+IF(ISNUMBER(Toxicity!$C$12),I66*Toxicity!$C$12,0)+IF(ISNUMBER(Toxicity!$C$13),J66*Toxicity!$C$13,0)+IF(ISNUMBER(Toxicity!$C$14),K66*Toxicity!$C$14,0)+IF(ISNUMBER(Toxicity!$C$15),L66*Toxicity!$C$15,0)+IF(ISNUMBER(Toxicity!$C$16),M66*Toxicity!$C$16,0)+IF(ISNUMBER(Toxicity!$C$17),N66*Toxicity!$C$17,0)+IF(ISNUMBER(Toxicity!$C$18),O66*Toxicity!$C$18,0)</f>
        <v>1.6983528767123287E-7</v>
      </c>
      <c r="Q104" s="31">
        <f>IF(ISNUMBER(Toxicity!$C$5),B85*Toxicity!$C$5,0)+IF(ISNUMBER(Toxicity!$C$6),C85*Toxicity!$C$6,0)+IF(ISNUMBER(Toxicity!$C$7),D85*Toxicity!$C$7,0)+IF(ISNUMBER(Toxicity!$C$8),E85*Toxicity!$C$8,0)+IF(ISNUMBER(Toxicity!$C$9),F85*Toxicity!$C$9,0)+IF(ISNUMBER(Toxicity!$C$10),G85*Toxicity!$C$10,0)+IF(ISNUMBER(Toxicity!$C$11),H85*Toxicity!$C$11,0)+IF(ISNUMBER(Toxicity!$C$12),I85*Toxicity!$C$12,0)+IF(ISNUMBER(Toxicity!$C$13),J85*Toxicity!$C$13,0)+IF(ISNUMBER(Toxicity!$C$14),K85*Toxicity!$C$14,0)+IF(ISNUMBER(Toxicity!$C$15),L85*Toxicity!$C$15,0)+IF(ISNUMBER(Toxicity!$C$16),M85*Toxicity!$C$16,0)+IF(ISNUMBER(Toxicity!$C$17),N85*Toxicity!$C$17,0)+IF(ISNUMBER(Toxicity!$C$18),O85*Toxicity!$C$18,0)</f>
        <v>5.2868595701369864E-8</v>
      </c>
      <c r="R104" s="32">
        <f t="shared" si="2"/>
        <v>2.2270388337260273E-7</v>
      </c>
      <c r="S104" s="15" t="str">
        <f t="shared" si="3"/>
        <v>&lt; 1E-6 (negligible)</v>
      </c>
    </row>
    <row r="105" spans="1:19" ht="15" customHeight="1" x14ac:dyDescent="0.25">
      <c r="A105" s="10" t="s">
        <v>62</v>
      </c>
      <c r="B105" s="31">
        <f>IF(ISNUMBER(Toxicity!$C$5),(B67+B86)*Toxicity!$C$5,0)</f>
        <v>3.1575335488584472E-9</v>
      </c>
      <c r="C105" s="31">
        <f>IF(ISNUMBER(Toxicity!$C$6),(C67+C86)*Toxicity!$C$6,0)</f>
        <v>4.5247434894977172E-9</v>
      </c>
      <c r="D105" s="31">
        <f>IF(ISNUMBER(Toxicity!$C$7),(D67+D86)*Toxicity!$C$7,0)</f>
        <v>2.6174291260273966E-9</v>
      </c>
      <c r="E105" s="31">
        <f>IF(ISNUMBER(Toxicity!$C$8),(E67+E86)*Toxicity!$C$8,0)</f>
        <v>1.76928960913242E-9</v>
      </c>
      <c r="F105" s="31">
        <f>IF(ISNUMBER(Toxicity!$C$9),(F67+F86)*Toxicity!$C$9,0)</f>
        <v>3.8528723616438349E-9</v>
      </c>
      <c r="G105" s="31">
        <f>IF(ISNUMBER(Toxicity!$C$10),(G67+G86)*Toxicity!$C$10,0)</f>
        <v>9.8512126301369855E-9</v>
      </c>
      <c r="H105" s="31">
        <f>IF(ISNUMBER(Toxicity!$C$11),(H67+H86)*Toxicity!$C$11,0)</f>
        <v>4.0133438301369863E-8</v>
      </c>
      <c r="I105" s="31">
        <f>IF(ISNUMBER(Toxicity!$C$12),(I67+I86)*Toxicity!$C$12,0)</f>
        <v>2.258932569863014E-8</v>
      </c>
      <c r="J105" s="31">
        <f>IF(ISNUMBER(Toxicity!$C$13),(J67+J86)*Toxicity!$C$13,0)</f>
        <v>1.0325205479452054E-9</v>
      </c>
      <c r="K105" s="31">
        <f>IF(ISNUMBER(Toxicity!$C$14),(K67+K86)*Toxicity!$C$14,0)</f>
        <v>0</v>
      </c>
      <c r="L105" s="31">
        <f>IF(ISNUMBER(Toxicity!$C$15),(L67+L86)*Toxicity!$C$15,0)</f>
        <v>1.6289726027397262E-8</v>
      </c>
      <c r="M105" s="31">
        <f>IF(ISNUMBER(Toxicity!$C$16),(M67+M86)*Toxicity!$C$16,0)</f>
        <v>7.7209468493150685E-8</v>
      </c>
      <c r="N105" s="31">
        <f>IF(ISNUMBER(Toxicity!$C$17),(N67+N86)*Toxicity!$C$17,0)</f>
        <v>1.022515684931507E-8</v>
      </c>
      <c r="O105" s="31">
        <f>IF(ISNUMBER(Toxicity!$C$18),(O67+O86)*Toxicity!$C$18,0)</f>
        <v>6.6206493196347021E-8</v>
      </c>
      <c r="P105" s="31">
        <f>IF(ISNUMBER(Toxicity!$C$5),B67*Toxicity!$C$5,0)+IF(ISNUMBER(Toxicity!$C$6),C67*Toxicity!$C$6,0)+IF(ISNUMBER(Toxicity!$C$7),D67*Toxicity!$C$7,0)+IF(ISNUMBER(Toxicity!$C$8),E67*Toxicity!$C$8,0)+IF(ISNUMBER(Toxicity!$C$9),F67*Toxicity!$C$9,0)+IF(ISNUMBER(Toxicity!$C$10),G67*Toxicity!$C$10,0)+IF(ISNUMBER(Toxicity!$C$11),H67*Toxicity!$C$11,0)+IF(ISNUMBER(Toxicity!$C$12),I67*Toxicity!$C$12,0)+IF(ISNUMBER(Toxicity!$C$13),J67*Toxicity!$C$13,0)+IF(ISNUMBER(Toxicity!$C$14),K67*Toxicity!$C$14,0)+IF(ISNUMBER(Toxicity!$C$15),L67*Toxicity!$C$15,0)+IF(ISNUMBER(Toxicity!$C$16),M67*Toxicity!$C$16,0)+IF(ISNUMBER(Toxicity!$C$17),N67*Toxicity!$C$17,0)+IF(ISNUMBER(Toxicity!$C$18),O67*Toxicity!$C$18,0)</f>
        <v>1.9946419178082191E-7</v>
      </c>
      <c r="Q105" s="31">
        <f>IF(ISNUMBER(Toxicity!$C$5),B86*Toxicity!$C$5,0)+IF(ISNUMBER(Toxicity!$C$6),C86*Toxicity!$C$6,0)+IF(ISNUMBER(Toxicity!$C$7),D86*Toxicity!$C$7,0)+IF(ISNUMBER(Toxicity!$C$8),E86*Toxicity!$C$8,0)+IF(ISNUMBER(Toxicity!$C$9),F86*Toxicity!$C$9,0)+IF(ISNUMBER(Toxicity!$C$10),G86*Toxicity!$C$10,0)+IF(ISNUMBER(Toxicity!$C$11),H86*Toxicity!$C$11,0)+IF(ISNUMBER(Toxicity!$C$12),I86*Toxicity!$C$12,0)+IF(ISNUMBER(Toxicity!$C$13),J86*Toxicity!$C$13,0)+IF(ISNUMBER(Toxicity!$C$14),K86*Toxicity!$C$14,0)+IF(ISNUMBER(Toxicity!$C$15),L86*Toxicity!$C$15,0)+IF(ISNUMBER(Toxicity!$C$16),M86*Toxicity!$C$16,0)+IF(ISNUMBER(Toxicity!$C$17),N86*Toxicity!$C$17,0)+IF(ISNUMBER(Toxicity!$C$18),O86*Toxicity!$C$18,0)</f>
        <v>5.9995018098630146E-8</v>
      </c>
      <c r="R105" s="32">
        <f t="shared" si="2"/>
        <v>2.5945920987945203E-7</v>
      </c>
      <c r="S105" s="15" t="str">
        <f t="shared" si="3"/>
        <v>&lt; 1E-6 (negligible)</v>
      </c>
    </row>
    <row r="106" spans="1:19" ht="15" customHeight="1" x14ac:dyDescent="0.25">
      <c r="A106" s="10" t="s">
        <v>66</v>
      </c>
      <c r="B106" s="31">
        <f>IF(ISNUMBER(Toxicity!$C$5),(B68+B87)*Toxicity!$C$5,0)</f>
        <v>3.4407102803652964E-9</v>
      </c>
      <c r="C106" s="31">
        <f>IF(ISNUMBER(Toxicity!$C$6),(C68+C87)*Toxicity!$C$6,0)</f>
        <v>4.7329974639269423E-9</v>
      </c>
      <c r="D106" s="31">
        <f>IF(ISNUMBER(Toxicity!$C$7),(D68+D87)*Toxicity!$C$7,0)</f>
        <v>3.0554925780821909E-9</v>
      </c>
      <c r="E106" s="31">
        <f>IF(ISNUMBER(Toxicity!$C$8),(E68+E87)*Toxicity!$C$8,0)</f>
        <v>2.4781875287671233E-9</v>
      </c>
      <c r="F106" s="31">
        <f>IF(ISNUMBER(Toxicity!$C$9),(F68+F87)*Toxicity!$C$9,0)</f>
        <v>3.9853344054794517E-9</v>
      </c>
      <c r="G106" s="31">
        <f>IF(ISNUMBER(Toxicity!$C$10),(G68+G87)*Toxicity!$C$10,0)</f>
        <v>1.0613651638356166E-8</v>
      </c>
      <c r="H106" s="31">
        <f>IF(ISNUMBER(Toxicity!$C$11),(H68+H87)*Toxicity!$C$11,0)</f>
        <v>5.3116510520547937E-8</v>
      </c>
      <c r="I106" s="31">
        <f>IF(ISNUMBER(Toxicity!$C$12),(I68+I87)*Toxicity!$C$12,0)</f>
        <v>3.0087331068493155E-8</v>
      </c>
      <c r="J106" s="31">
        <f>IF(ISNUMBER(Toxicity!$C$13),(J68+J87)*Toxicity!$C$13,0)</f>
        <v>1.0325205479452054E-9</v>
      </c>
      <c r="K106" s="31">
        <f>IF(ISNUMBER(Toxicity!$C$14),(K68+K87)*Toxicity!$C$14,0)</f>
        <v>0</v>
      </c>
      <c r="L106" s="31">
        <f>IF(ISNUMBER(Toxicity!$C$15),(L68+L87)*Toxicity!$C$15,0)</f>
        <v>4.8956056621004564E-8</v>
      </c>
      <c r="M106" s="31">
        <f>IF(ISNUMBER(Toxicity!$C$16),(M68+M87)*Toxicity!$C$16,0)</f>
        <v>1.5331506849315068E-8</v>
      </c>
      <c r="N106" s="31">
        <f>IF(ISNUMBER(Toxicity!$C$17),(N68+N87)*Toxicity!$C$17,0)</f>
        <v>1.1504379452054792E-8</v>
      </c>
      <c r="O106" s="31">
        <f>IF(ISNUMBER(Toxicity!$C$18),(O68+O87)*Toxicity!$C$18,0)</f>
        <v>6.1672200045662099E-8</v>
      </c>
      <c r="P106" s="31">
        <f>IF(ISNUMBER(Toxicity!$C$5),B68*Toxicity!$C$5,0)+IF(ISNUMBER(Toxicity!$C$6),C68*Toxicity!$C$6,0)+IF(ISNUMBER(Toxicity!$C$7),D68*Toxicity!$C$7,0)+IF(ISNUMBER(Toxicity!$C$8),E68*Toxicity!$C$8,0)+IF(ISNUMBER(Toxicity!$C$9),F68*Toxicity!$C$9,0)+IF(ISNUMBER(Toxicity!$C$10),G68*Toxicity!$C$10,0)+IF(ISNUMBER(Toxicity!$C$11),H68*Toxicity!$C$11,0)+IF(ISNUMBER(Toxicity!$C$12),I68*Toxicity!$C$12,0)+IF(ISNUMBER(Toxicity!$C$13),J68*Toxicity!$C$13,0)+IF(ISNUMBER(Toxicity!$C$14),K68*Toxicity!$C$14,0)+IF(ISNUMBER(Toxicity!$C$15),L68*Toxicity!$C$15,0)+IF(ISNUMBER(Toxicity!$C$16),M68*Toxicity!$C$16,0)+IF(ISNUMBER(Toxicity!$C$17),N68*Toxicity!$C$17,0)+IF(ISNUMBER(Toxicity!$C$18),O68*Toxicity!$C$18,0)</f>
        <v>1.9618178082191778E-7</v>
      </c>
      <c r="Q106" s="31">
        <f>IF(ISNUMBER(Toxicity!$C$5),B87*Toxicity!$C$5,0)+IF(ISNUMBER(Toxicity!$C$6),C87*Toxicity!$C$6,0)+IF(ISNUMBER(Toxicity!$C$7),D87*Toxicity!$C$7,0)+IF(ISNUMBER(Toxicity!$C$8),E87*Toxicity!$C$8,0)+IF(ISNUMBER(Toxicity!$C$9),F87*Toxicity!$C$9,0)+IF(ISNUMBER(Toxicity!$C$10),G87*Toxicity!$C$10,0)+IF(ISNUMBER(Toxicity!$C$11),H87*Toxicity!$C$11,0)+IF(ISNUMBER(Toxicity!$C$12),I87*Toxicity!$C$12,0)+IF(ISNUMBER(Toxicity!$C$13),J87*Toxicity!$C$13,0)+IF(ISNUMBER(Toxicity!$C$14),K87*Toxicity!$C$14,0)+IF(ISNUMBER(Toxicity!$C$15),L87*Toxicity!$C$15,0)+IF(ISNUMBER(Toxicity!$C$16),M87*Toxicity!$C$16,0)+IF(ISNUMBER(Toxicity!$C$17),N87*Toxicity!$C$17,0)+IF(ISNUMBER(Toxicity!$C$18),O87*Toxicity!$C$18,0)</f>
        <v>5.3825098178082197E-8</v>
      </c>
      <c r="R106" s="32">
        <f t="shared" si="2"/>
        <v>2.5000687900000001E-7</v>
      </c>
      <c r="S106" s="15" t="str">
        <f t="shared" si="3"/>
        <v>&lt; 1E-6 (negligible)</v>
      </c>
    </row>
    <row r="107" spans="1:19" ht="15" customHeight="1" x14ac:dyDescent="0.25">
      <c r="A107" s="10" t="s">
        <v>71</v>
      </c>
      <c r="B107" s="31">
        <f>IF(ISNUMBER(Toxicity!$C$5),(B69+B88)*Toxicity!$C$5,0)</f>
        <v>4.3538639762557087E-9</v>
      </c>
      <c r="C107" s="31">
        <f>IF(ISNUMBER(Toxicity!$C$6),(C69+C88)*Toxicity!$C$6,0)</f>
        <v>4.6516428228310497E-9</v>
      </c>
      <c r="D107" s="31">
        <f>IF(ISNUMBER(Toxicity!$C$7),(D69+D88)*Toxicity!$C$7,0)</f>
        <v>2.6075205479452054E-10</v>
      </c>
      <c r="E107" s="31">
        <f>IF(ISNUMBER(Toxicity!$C$8),(E69+E88)*Toxicity!$C$8,0)</f>
        <v>2.6193413077625571E-9</v>
      </c>
      <c r="F107" s="31">
        <f>IF(ISNUMBER(Toxicity!$C$9),(F69+F88)*Toxicity!$C$9,0)</f>
        <v>3.962909728767123E-9</v>
      </c>
      <c r="G107" s="31">
        <f>IF(ISNUMBER(Toxicity!$C$10),(G69+G88)*Toxicity!$C$10,0)</f>
        <v>1.0367849368036531E-8</v>
      </c>
      <c r="H107" s="31">
        <f>IF(ISNUMBER(Toxicity!$C$11),(H69+H88)*Toxicity!$C$11,0)</f>
        <v>6.7940964000000001E-8</v>
      </c>
      <c r="I107" s="31">
        <f>IF(ISNUMBER(Toxicity!$C$12),(I69+I88)*Toxicity!$C$12,0)</f>
        <v>3.8241066410958898E-8</v>
      </c>
      <c r="J107" s="31">
        <f>IF(ISNUMBER(Toxicity!$C$13),(J69+J88)*Toxicity!$C$13,0)</f>
        <v>5.6568359086757991E-9</v>
      </c>
      <c r="K107" s="31">
        <f>IF(ISNUMBER(Toxicity!$C$14),(K69+K88)*Toxicity!$C$14,0)</f>
        <v>0</v>
      </c>
      <c r="L107" s="31">
        <f>IF(ISNUMBER(Toxicity!$C$15),(L69+L88)*Toxicity!$C$15,0)</f>
        <v>5.6405891324200918E-8</v>
      </c>
      <c r="M107" s="31">
        <f>IF(ISNUMBER(Toxicity!$C$16),(M69+M88)*Toxicity!$C$16,0)</f>
        <v>1.1316696255707763E-7</v>
      </c>
      <c r="N107" s="31">
        <f>IF(ISNUMBER(Toxicity!$C$17),(N69+N88)*Toxicity!$C$17,0)</f>
        <v>4.311986301369863E-9</v>
      </c>
      <c r="O107" s="31">
        <f>IF(ISNUMBER(Toxicity!$C$18),(O69+O88)*Toxicity!$C$18,0)</f>
        <v>5.5312563242009129E-8</v>
      </c>
      <c r="P107" s="31">
        <f>IF(ISNUMBER(Toxicity!$C$5),B69*Toxicity!$C$5,0)+IF(ISNUMBER(Toxicity!$C$6),C69*Toxicity!$C$6,0)+IF(ISNUMBER(Toxicity!$C$7),D69*Toxicity!$C$7,0)+IF(ISNUMBER(Toxicity!$C$8),E69*Toxicity!$C$8,0)+IF(ISNUMBER(Toxicity!$C$9),F69*Toxicity!$C$9,0)+IF(ISNUMBER(Toxicity!$C$10),G69*Toxicity!$C$10,0)+IF(ISNUMBER(Toxicity!$C$11),H69*Toxicity!$C$11,0)+IF(ISNUMBER(Toxicity!$C$12),I69*Toxicity!$C$12,0)+IF(ISNUMBER(Toxicity!$C$13),J69*Toxicity!$C$13,0)+IF(ISNUMBER(Toxicity!$C$14),K69*Toxicity!$C$14,0)+IF(ISNUMBER(Toxicity!$C$15),L69*Toxicity!$C$15,0)+IF(ISNUMBER(Toxicity!$C$16),M69*Toxicity!$C$16,0)+IF(ISNUMBER(Toxicity!$C$17),N69*Toxicity!$C$17,0)+IF(ISNUMBER(Toxicity!$C$18),O69*Toxicity!$C$18,0)</f>
        <v>2.8368926027397258E-7</v>
      </c>
      <c r="Q107" s="31">
        <f>IF(ISNUMBER(Toxicity!$C$5),B88*Toxicity!$C$5,0)+IF(ISNUMBER(Toxicity!$C$6),C88*Toxicity!$C$6,0)+IF(ISNUMBER(Toxicity!$C$7),D88*Toxicity!$C$7,0)+IF(ISNUMBER(Toxicity!$C$8),E88*Toxicity!$C$8,0)+IF(ISNUMBER(Toxicity!$C$9),F88*Toxicity!$C$9,0)+IF(ISNUMBER(Toxicity!$C$10),G88*Toxicity!$C$10,0)+IF(ISNUMBER(Toxicity!$C$11),H88*Toxicity!$C$11,0)+IF(ISNUMBER(Toxicity!$C$12),I88*Toxicity!$C$12,0)+IF(ISNUMBER(Toxicity!$C$13),J88*Toxicity!$C$13,0)+IF(ISNUMBER(Toxicity!$C$14),K88*Toxicity!$C$14,0)+IF(ISNUMBER(Toxicity!$C$15),L88*Toxicity!$C$15,0)+IF(ISNUMBER(Toxicity!$C$16),M88*Toxicity!$C$16,0)+IF(ISNUMBER(Toxicity!$C$17),N88*Toxicity!$C$17,0)+IF(ISNUMBER(Toxicity!$C$18),O88*Toxicity!$C$18,0)</f>
        <v>8.356336872876714E-8</v>
      </c>
      <c r="R107" s="32">
        <f t="shared" si="2"/>
        <v>3.6725262900273969E-7</v>
      </c>
      <c r="S107" s="15" t="str">
        <f t="shared" si="3"/>
        <v>&lt; 1E-6 (negligible)</v>
      </c>
    </row>
    <row r="108" spans="1:19" ht="15" customHeight="1" x14ac:dyDescent="0.25">
      <c r="A108" s="10" t="s">
        <v>75</v>
      </c>
      <c r="B108" s="31">
        <f>IF(ISNUMBER(Toxicity!$C$5),(B70+B89)*Toxicity!$C$5,0)</f>
        <v>4.8068772127853885E-9</v>
      </c>
      <c r="C108" s="31">
        <f>IF(ISNUMBER(Toxicity!$C$6),(C70+C89)*Toxicity!$C$6,0)</f>
        <v>4.545777488584475E-9</v>
      </c>
      <c r="D108" s="31">
        <f>IF(ISNUMBER(Toxicity!$C$7),(D70+D89)*Toxicity!$C$7,0)</f>
        <v>4.4419981707762545E-9</v>
      </c>
      <c r="E108" s="31">
        <f>IF(ISNUMBER(Toxicity!$C$8),(E70+E89)*Toxicity!$C$8,0)</f>
        <v>2.6749684127853877E-9</v>
      </c>
      <c r="F108" s="31">
        <f>IF(ISNUMBER(Toxicity!$C$9),(F70+F89)*Toxicity!$C$9,0)</f>
        <v>4.2403499150684937E-9</v>
      </c>
      <c r="G108" s="31">
        <f>IF(ISNUMBER(Toxicity!$C$10),(G70+G89)*Toxicity!$C$10,0)</f>
        <v>1.0923251244748858E-8</v>
      </c>
      <c r="H108" s="31">
        <f>IF(ISNUMBER(Toxicity!$C$11),(H70+H89)*Toxicity!$C$11,0)</f>
        <v>5.8440504164383559E-8</v>
      </c>
      <c r="I108" s="31">
        <f>IF(ISNUMBER(Toxicity!$C$12),(I70+I89)*Toxicity!$C$12,0)</f>
        <v>3.2892292273972603E-8</v>
      </c>
      <c r="J108" s="31">
        <f>IF(ISNUMBER(Toxicity!$C$13),(J70+J89)*Toxicity!$C$13,0)</f>
        <v>4.8115457534246579E-9</v>
      </c>
      <c r="K108" s="31">
        <f>IF(ISNUMBER(Toxicity!$C$14),(K70+K89)*Toxicity!$C$14,0)</f>
        <v>0</v>
      </c>
      <c r="L108" s="31">
        <f>IF(ISNUMBER(Toxicity!$C$15),(L70+L89)*Toxicity!$C$15,0)</f>
        <v>6.8297391324200916E-8</v>
      </c>
      <c r="M108" s="31">
        <f>IF(ISNUMBER(Toxicity!$C$16),(M70+M89)*Toxicity!$C$16,0)</f>
        <v>1.1541558356164383E-7</v>
      </c>
      <c r="N108" s="31">
        <f>IF(ISNUMBER(Toxicity!$C$17),(N70+N89)*Toxicity!$C$17,0)</f>
        <v>2.8683332876712326E-8</v>
      </c>
      <c r="O108" s="31">
        <f>IF(ISNUMBER(Toxicity!$C$18),(O70+O89)*Toxicity!$C$18,0)</f>
        <v>9.9986977168949777E-8</v>
      </c>
      <c r="P108" s="31">
        <f>IF(ISNUMBER(Toxicity!$C$5),B70*Toxicity!$C$5,0)+IF(ISNUMBER(Toxicity!$C$6),C70*Toxicity!$C$6,0)+IF(ISNUMBER(Toxicity!$C$7),D70*Toxicity!$C$7,0)+IF(ISNUMBER(Toxicity!$C$8),E70*Toxicity!$C$8,0)+IF(ISNUMBER(Toxicity!$C$9),F70*Toxicity!$C$9,0)+IF(ISNUMBER(Toxicity!$C$10),G70*Toxicity!$C$10,0)+IF(ISNUMBER(Toxicity!$C$11),H70*Toxicity!$C$11,0)+IF(ISNUMBER(Toxicity!$C$12),I70*Toxicity!$C$12,0)+IF(ISNUMBER(Toxicity!$C$13),J70*Toxicity!$C$13,0)+IF(ISNUMBER(Toxicity!$C$14),K70*Toxicity!$C$14,0)+IF(ISNUMBER(Toxicity!$C$15),L70*Toxicity!$C$15,0)+IF(ISNUMBER(Toxicity!$C$16),M70*Toxicity!$C$16,0)+IF(ISNUMBER(Toxicity!$C$17),N70*Toxicity!$C$17,0)+IF(ISNUMBER(Toxicity!$C$18),O70*Toxicity!$C$18,0)</f>
        <v>3.3445357077625568E-7</v>
      </c>
      <c r="Q108" s="31">
        <f>IF(ISNUMBER(Toxicity!$C$5),B89*Toxicity!$C$5,0)+IF(ISNUMBER(Toxicity!$C$6),C89*Toxicity!$C$6,0)+IF(ISNUMBER(Toxicity!$C$7),D89*Toxicity!$C$7,0)+IF(ISNUMBER(Toxicity!$C$8),E89*Toxicity!$C$8,0)+IF(ISNUMBER(Toxicity!$C$9),F89*Toxicity!$C$9,0)+IF(ISNUMBER(Toxicity!$C$10),G89*Toxicity!$C$10,0)+IF(ISNUMBER(Toxicity!$C$11),H89*Toxicity!$C$11,0)+IF(ISNUMBER(Toxicity!$C$12),I89*Toxicity!$C$12,0)+IF(ISNUMBER(Toxicity!$C$13),J89*Toxicity!$C$13,0)+IF(ISNUMBER(Toxicity!$C$14),K89*Toxicity!$C$14,0)+IF(ISNUMBER(Toxicity!$C$15),L89*Toxicity!$C$15,0)+IF(ISNUMBER(Toxicity!$C$16),M89*Toxicity!$C$16,0)+IF(ISNUMBER(Toxicity!$C$17),N89*Toxicity!$C$17,0)+IF(ISNUMBER(Toxicity!$C$18),O89*Toxicity!$C$18,0)</f>
        <v>1.0570727879178083E-7</v>
      </c>
      <c r="R108" s="32">
        <f t="shared" si="2"/>
        <v>4.401608495680365E-7</v>
      </c>
      <c r="S108" s="15" t="str">
        <f t="shared" si="3"/>
        <v>&lt; 1E-6 (negligible)</v>
      </c>
    </row>
    <row r="109" spans="1:19" ht="15" customHeight="1" x14ac:dyDescent="0.25">
      <c r="A109" s="10" t="s">
        <v>79</v>
      </c>
      <c r="B109" s="31">
        <f>IF(ISNUMBER(Toxicity!$C$5),(B71+B90)*Toxicity!$C$5,0)</f>
        <v>4.9313428602739725E-9</v>
      </c>
      <c r="C109" s="31">
        <f>IF(ISNUMBER(Toxicity!$C$6),(C71+C90)*Toxicity!$C$6,0)</f>
        <v>5.2331199050228307E-9</v>
      </c>
      <c r="D109" s="31">
        <f>IF(ISNUMBER(Toxicity!$C$7),(D71+D90)*Toxicity!$C$7,0)</f>
        <v>3.3303252438356166E-9</v>
      </c>
      <c r="E109" s="31">
        <f>IF(ISNUMBER(Toxicity!$C$8),(E71+E90)*Toxicity!$C$8,0)</f>
        <v>4.5169209278538815E-9</v>
      </c>
      <c r="F109" s="31">
        <f>IF(ISNUMBER(Toxicity!$C$9),(F71+F90)*Toxicity!$C$9,0)</f>
        <v>4.8294757242009134E-9</v>
      </c>
      <c r="G109" s="31">
        <f>IF(ISNUMBER(Toxicity!$C$10),(G71+G90)*Toxicity!$C$10,0)</f>
        <v>1.1071532246575342E-8</v>
      </c>
      <c r="H109" s="31">
        <f>IF(ISNUMBER(Toxicity!$C$11),(H71+H90)*Toxicity!$C$11,0)</f>
        <v>7.4649329424657531E-8</v>
      </c>
      <c r="I109" s="31">
        <f>IF(ISNUMBER(Toxicity!$C$12),(I71+I90)*Toxicity!$C$12,0)</f>
        <v>4.2019138520547941E-8</v>
      </c>
      <c r="J109" s="31">
        <f>IF(ISNUMBER(Toxicity!$C$13),(J71+J90)*Toxicity!$C$13,0)</f>
        <v>4.6697462648401835E-9</v>
      </c>
      <c r="K109" s="31">
        <f>IF(ISNUMBER(Toxicity!$C$14),(K71+K90)*Toxicity!$C$14,0)</f>
        <v>0</v>
      </c>
      <c r="L109" s="31">
        <f>IF(ISNUMBER(Toxicity!$C$15),(L71+L90)*Toxicity!$C$15,0)</f>
        <v>1.0851129497716896E-7</v>
      </c>
      <c r="M109" s="31">
        <f>IF(ISNUMBER(Toxicity!$C$16),(M71+M90)*Toxicity!$C$16,0)</f>
        <v>1.4247058264840184E-7</v>
      </c>
      <c r="N109" s="31">
        <f>IF(ISNUMBER(Toxicity!$C$17),(N71+N90)*Toxicity!$C$17,0)</f>
        <v>2.4713430821917814E-8</v>
      </c>
      <c r="O109" s="31">
        <f>IF(ISNUMBER(Toxicity!$C$18),(O71+O90)*Toxicity!$C$18,0)</f>
        <v>9.4295857945205492E-8</v>
      </c>
      <c r="P109" s="31">
        <f>IF(ISNUMBER(Toxicity!$C$5),B71*Toxicity!$C$5,0)+IF(ISNUMBER(Toxicity!$C$6),C71*Toxicity!$C$6,0)+IF(ISNUMBER(Toxicity!$C$7),D71*Toxicity!$C$7,0)+IF(ISNUMBER(Toxicity!$C$8),E71*Toxicity!$C$8,0)+IF(ISNUMBER(Toxicity!$C$9),F71*Toxicity!$C$9,0)+IF(ISNUMBER(Toxicity!$C$10),G71*Toxicity!$C$10,0)+IF(ISNUMBER(Toxicity!$C$11),H71*Toxicity!$C$11,0)+IF(ISNUMBER(Toxicity!$C$12),I71*Toxicity!$C$12,0)+IF(ISNUMBER(Toxicity!$C$13),J71*Toxicity!$C$13,0)+IF(ISNUMBER(Toxicity!$C$14),K71*Toxicity!$C$14,0)+IF(ISNUMBER(Toxicity!$C$15),L71*Toxicity!$C$15,0)+IF(ISNUMBER(Toxicity!$C$16),M71*Toxicity!$C$16,0)+IF(ISNUMBER(Toxicity!$C$17),N71*Toxicity!$C$17,0)+IF(ISNUMBER(Toxicity!$C$18),O71*Toxicity!$C$18,0)</f>
        <v>3.9939362557077627E-7</v>
      </c>
      <c r="Q109" s="31">
        <f>IF(ISNUMBER(Toxicity!$C$5),B90*Toxicity!$C$5,0)+IF(ISNUMBER(Toxicity!$C$6),C90*Toxicity!$C$6,0)+IF(ISNUMBER(Toxicity!$C$7),D90*Toxicity!$C$7,0)+IF(ISNUMBER(Toxicity!$C$8),E90*Toxicity!$C$8,0)+IF(ISNUMBER(Toxicity!$C$9),F90*Toxicity!$C$9,0)+IF(ISNUMBER(Toxicity!$C$10),G90*Toxicity!$C$10,0)+IF(ISNUMBER(Toxicity!$C$11),H90*Toxicity!$C$11,0)+IF(ISNUMBER(Toxicity!$C$12),I90*Toxicity!$C$12,0)+IF(ISNUMBER(Toxicity!$C$13),J90*Toxicity!$C$13,0)+IF(ISNUMBER(Toxicity!$C$14),K90*Toxicity!$C$14,0)+IF(ISNUMBER(Toxicity!$C$15),L90*Toxicity!$C$15,0)+IF(ISNUMBER(Toxicity!$C$16),M90*Toxicity!$C$16,0)+IF(ISNUMBER(Toxicity!$C$17),N90*Toxicity!$C$17,0)+IF(ISNUMBER(Toxicity!$C$18),O90*Toxicity!$C$18,0)</f>
        <v>1.2584847193972606E-7</v>
      </c>
      <c r="R109" s="32">
        <f t="shared" si="2"/>
        <v>5.252420975105023E-7</v>
      </c>
      <c r="S109" s="15" t="str">
        <f t="shared" si="3"/>
        <v>&lt; 1E-6 (negligible)</v>
      </c>
    </row>
    <row r="110" spans="1:19" ht="15" customHeight="1" x14ac:dyDescent="0.25">
      <c r="A110" s="10" t="s">
        <v>83</v>
      </c>
      <c r="B110" s="31">
        <f>IF(ISNUMBER(Toxicity!$C$5),(B72+B91)*Toxicity!$C$5,0)</f>
        <v>5.2066970301369857E-9</v>
      </c>
      <c r="C110" s="31">
        <f>IF(ISNUMBER(Toxicity!$C$6),(C72+C91)*Toxicity!$C$6,0)</f>
        <v>6.8753363461187205E-9</v>
      </c>
      <c r="D110" s="31">
        <f>IF(ISNUMBER(Toxicity!$C$7),(D72+D91)*Toxicity!$C$7,0)</f>
        <v>4.7813235114155264E-9</v>
      </c>
      <c r="E110" s="31">
        <f>IF(ISNUMBER(Toxicity!$C$8),(E72+E91)*Toxicity!$C$8,0)</f>
        <v>3.4028143150684927E-9</v>
      </c>
      <c r="F110" s="31">
        <f>IF(ISNUMBER(Toxicity!$C$9),(F72+F91)*Toxicity!$C$9,0)</f>
        <v>4.7823665196347039E-9</v>
      </c>
      <c r="G110" s="31">
        <f>IF(ISNUMBER(Toxicity!$C$10),(G72+G91)*Toxicity!$C$10,0)</f>
        <v>1.247889800365297E-8</v>
      </c>
      <c r="H110" s="31">
        <f>IF(ISNUMBER(Toxicity!$C$11),(H72+H91)*Toxicity!$C$11,0)</f>
        <v>6.7403894465753413E-8</v>
      </c>
      <c r="I110" s="31">
        <f>IF(ISNUMBER(Toxicity!$C$12),(I72+I91)*Toxicity!$C$12,0)</f>
        <v>3.8130507287671226E-8</v>
      </c>
      <c r="J110" s="31">
        <f>IF(ISNUMBER(Toxicity!$C$13),(J72+J91)*Toxicity!$C$13,0)</f>
        <v>7.3274541552511411E-9</v>
      </c>
      <c r="K110" s="31">
        <f>IF(ISNUMBER(Toxicity!$C$14),(K72+K91)*Toxicity!$C$14,0)</f>
        <v>0</v>
      </c>
      <c r="L110" s="31">
        <f>IF(ISNUMBER(Toxicity!$C$15),(L72+L91)*Toxicity!$C$15,0)</f>
        <v>1.408626908675799E-7</v>
      </c>
      <c r="M110" s="31">
        <f>IF(ISNUMBER(Toxicity!$C$16),(M72+M91)*Toxicity!$C$16,0)</f>
        <v>2.217038100456621E-7</v>
      </c>
      <c r="N110" s="31">
        <f>IF(ISNUMBER(Toxicity!$C$17),(N72+N91)*Toxicity!$C$17,0)</f>
        <v>4.2751906849315073E-8</v>
      </c>
      <c r="O110" s="31">
        <f>IF(ISNUMBER(Toxicity!$C$18),(O72+O91)*Toxicity!$C$18,0)</f>
        <v>1.4370221369863016E-7</v>
      </c>
      <c r="P110" s="31">
        <f>IF(ISNUMBER(Toxicity!$C$5),B72*Toxicity!$C$5,0)+IF(ISNUMBER(Toxicity!$C$6),C72*Toxicity!$C$6,0)+IF(ISNUMBER(Toxicity!$C$7),D72*Toxicity!$C$7,0)+IF(ISNUMBER(Toxicity!$C$8),E72*Toxicity!$C$8,0)+IF(ISNUMBER(Toxicity!$C$9),F72*Toxicity!$C$9,0)+IF(ISNUMBER(Toxicity!$C$10),G72*Toxicity!$C$10,0)+IF(ISNUMBER(Toxicity!$C$11),H72*Toxicity!$C$11,0)+IF(ISNUMBER(Toxicity!$C$12),I72*Toxicity!$C$12,0)+IF(ISNUMBER(Toxicity!$C$13),J72*Toxicity!$C$13,0)+IF(ISNUMBER(Toxicity!$C$14),K72*Toxicity!$C$14,0)+IF(ISNUMBER(Toxicity!$C$15),L72*Toxicity!$C$15,0)+IF(ISNUMBER(Toxicity!$C$16),M72*Toxicity!$C$16,0)+IF(ISNUMBER(Toxicity!$C$17),N72*Toxicity!$C$17,0)+IF(ISNUMBER(Toxicity!$C$18),O72*Toxicity!$C$18,0)</f>
        <v>5.2328178082191779E-7</v>
      </c>
      <c r="Q110" s="31">
        <f>IF(ISNUMBER(Toxicity!$C$5),B91*Toxicity!$C$5,0)+IF(ISNUMBER(Toxicity!$C$6),C91*Toxicity!$C$6,0)+IF(ISNUMBER(Toxicity!$C$7),D91*Toxicity!$C$7,0)+IF(ISNUMBER(Toxicity!$C$8),E91*Toxicity!$C$8,0)+IF(ISNUMBER(Toxicity!$C$9),F91*Toxicity!$C$9,0)+IF(ISNUMBER(Toxicity!$C$10),G91*Toxicity!$C$10,0)+IF(ISNUMBER(Toxicity!$C$11),H91*Toxicity!$C$11,0)+IF(ISNUMBER(Toxicity!$C$12),I91*Toxicity!$C$12,0)+IF(ISNUMBER(Toxicity!$C$13),J91*Toxicity!$C$13,0)+IF(ISNUMBER(Toxicity!$C$14),K91*Toxicity!$C$14,0)+IF(ISNUMBER(Toxicity!$C$15),L91*Toxicity!$C$15,0)+IF(ISNUMBER(Toxicity!$C$16),M91*Toxicity!$C$16,0)+IF(ISNUMBER(Toxicity!$C$17),N91*Toxicity!$C$17,0)+IF(ISNUMBER(Toxicity!$C$18),O91*Toxicity!$C$18,0)</f>
        <v>1.7612813227397262E-7</v>
      </c>
      <c r="R110" s="32">
        <f t="shared" si="2"/>
        <v>6.9940991309589037E-7</v>
      </c>
      <c r="S110" s="15" t="str">
        <f t="shared" si="3"/>
        <v>&lt; 1E-6 (negligible)</v>
      </c>
    </row>
    <row r="111" spans="1:19" ht="15" customHeight="1" x14ac:dyDescent="0.25">
      <c r="A111" s="10" t="s">
        <v>87</v>
      </c>
      <c r="B111" s="31">
        <f>IF(ISNUMBER(Toxicity!$C$5),(B73+B92)*Toxicity!$C$5,0)</f>
        <v>6.3235849981735159E-9</v>
      </c>
      <c r="C111" s="31">
        <f>IF(ISNUMBER(Toxicity!$C$6),(C73+C92)*Toxicity!$C$6,0)</f>
        <v>7.2243964301369861E-9</v>
      </c>
      <c r="D111" s="31">
        <f>IF(ISNUMBER(Toxicity!$C$7),(D73+D92)*Toxicity!$C$7,0)</f>
        <v>6.0045983178082209E-9</v>
      </c>
      <c r="E111" s="31">
        <f>IF(ISNUMBER(Toxicity!$C$8),(E73+E92)*Toxicity!$C$8,0)</f>
        <v>4.8560724337899547E-9</v>
      </c>
      <c r="F111" s="31">
        <f>IF(ISNUMBER(Toxicity!$C$9),(F73+F92)*Toxicity!$C$9,0)</f>
        <v>5.946537526940639E-9</v>
      </c>
      <c r="G111" s="31">
        <f>IF(ISNUMBER(Toxicity!$C$10),(G73+G92)*Toxicity!$C$10,0)</f>
        <v>1.5620786429223741E-8</v>
      </c>
      <c r="H111" s="31">
        <f>IF(ISNUMBER(Toxicity!$C$11),(H73+H92)*Toxicity!$C$11,0)</f>
        <v>8.417647594520547E-8</v>
      </c>
      <c r="I111" s="31">
        <f>IF(ISNUMBER(Toxicity!$C$12),(I73+I92)*Toxicity!$C$12,0)</f>
        <v>4.7474659397260279E-8</v>
      </c>
      <c r="J111" s="31">
        <f>IF(ISNUMBER(Toxicity!$C$13),(J73+J92)*Toxicity!$C$13,0)</f>
        <v>9.2217851872146109E-9</v>
      </c>
      <c r="K111" s="31">
        <f>IF(ISNUMBER(Toxicity!$C$14),(K73+K92)*Toxicity!$C$14,0)</f>
        <v>0</v>
      </c>
      <c r="L111" s="31">
        <f>IF(ISNUMBER(Toxicity!$C$15),(L73+L92)*Toxicity!$C$15,0)</f>
        <v>2.5364189406392693E-7</v>
      </c>
      <c r="M111" s="31">
        <f>IF(ISNUMBER(Toxicity!$C$16),(M73+M92)*Toxicity!$C$16,0)</f>
        <v>3.2901413698630128E-7</v>
      </c>
      <c r="N111" s="31">
        <f>IF(ISNUMBER(Toxicity!$C$17),(N73+N92)*Toxicity!$C$17,0)</f>
        <v>7.9009962328767115E-8</v>
      </c>
      <c r="O111" s="31">
        <f>IF(ISNUMBER(Toxicity!$C$18),(O73+O92)*Toxicity!$C$18,0)</f>
        <v>2.3644013502283106E-7</v>
      </c>
      <c r="P111" s="31">
        <f>IF(ISNUMBER(Toxicity!$C$5),B73*Toxicity!$C$5,0)+IF(ISNUMBER(Toxicity!$C$6),C73*Toxicity!$C$6,0)+IF(ISNUMBER(Toxicity!$C$7),D73*Toxicity!$C$7,0)+IF(ISNUMBER(Toxicity!$C$8),E73*Toxicity!$C$8,0)+IF(ISNUMBER(Toxicity!$C$9),F73*Toxicity!$C$9,0)+IF(ISNUMBER(Toxicity!$C$10),G73*Toxicity!$C$10,0)+IF(ISNUMBER(Toxicity!$C$11),H73*Toxicity!$C$11,0)+IF(ISNUMBER(Toxicity!$C$12),I73*Toxicity!$C$12,0)+IF(ISNUMBER(Toxicity!$C$13),J73*Toxicity!$C$13,0)+IF(ISNUMBER(Toxicity!$C$14),K73*Toxicity!$C$14,0)+IF(ISNUMBER(Toxicity!$C$15),L73*Toxicity!$C$15,0)+IF(ISNUMBER(Toxicity!$C$16),M73*Toxicity!$C$16,0)+IF(ISNUMBER(Toxicity!$C$17),N73*Toxicity!$C$17,0)+IF(ISNUMBER(Toxicity!$C$18),O73*Toxicity!$C$18,0)</f>
        <v>8.0450796347031946E-7</v>
      </c>
      <c r="Q111" s="31">
        <f>IF(ISNUMBER(Toxicity!$C$5),B92*Toxicity!$C$5,0)+IF(ISNUMBER(Toxicity!$C$6),C92*Toxicity!$C$6,0)+IF(ISNUMBER(Toxicity!$C$7),D92*Toxicity!$C$7,0)+IF(ISNUMBER(Toxicity!$C$8),E92*Toxicity!$C$8,0)+IF(ISNUMBER(Toxicity!$C$9),F92*Toxicity!$C$9,0)+IF(ISNUMBER(Toxicity!$C$10),G92*Toxicity!$C$10,0)+IF(ISNUMBER(Toxicity!$C$11),H92*Toxicity!$C$11,0)+IF(ISNUMBER(Toxicity!$C$12),I92*Toxicity!$C$12,0)+IF(ISNUMBER(Toxicity!$C$13),J92*Toxicity!$C$13,0)+IF(ISNUMBER(Toxicity!$C$14),K92*Toxicity!$C$14,0)+IF(ISNUMBER(Toxicity!$C$15),L92*Toxicity!$C$15,0)+IF(ISNUMBER(Toxicity!$C$16),M92*Toxicity!$C$16,0)+IF(ISNUMBER(Toxicity!$C$17),N92*Toxicity!$C$17,0)+IF(ISNUMBER(Toxicity!$C$18),O92*Toxicity!$C$18,0)</f>
        <v>2.8044706159726033E-7</v>
      </c>
      <c r="R111" s="32">
        <f t="shared" si="2"/>
        <v>1.0849550250675799E-6</v>
      </c>
      <c r="S111" s="15" t="str">
        <f t="shared" si="3"/>
        <v>1E-6 to 1E-4 (acceptable range)</v>
      </c>
    </row>
    <row r="112" spans="1:19" ht="15" customHeight="1" x14ac:dyDescent="0.25">
      <c r="A112" s="17" t="s">
        <v>44</v>
      </c>
      <c r="B112" s="31">
        <f>IF(ISNUMBER(Toxicity!$C$5),(B74+B93)*Toxicity!$C$5,0)</f>
        <v>1.8872074828006091E-9</v>
      </c>
      <c r="C112" s="31">
        <f>IF(ISNUMBER(Toxicity!$C$6),(C74+C93)*Toxicity!$C$6,0)</f>
        <v>3.9412962806697119E-9</v>
      </c>
      <c r="D112" s="31">
        <f>IF(ISNUMBER(Toxicity!$C$7),(D74+D93)*Toxicity!$C$7,0)</f>
        <v>1.9640424216133937E-9</v>
      </c>
      <c r="E112" s="31">
        <f>IF(ISNUMBER(Toxicity!$C$8),(E74+E93)*Toxicity!$C$8,0)</f>
        <v>2.2416564426179606E-9</v>
      </c>
      <c r="F112" s="31">
        <f>IF(ISNUMBER(Toxicity!$C$9),(F74+F93)*Toxicity!$C$9,0)</f>
        <v>4.2777823211567725E-9</v>
      </c>
      <c r="G112" s="31">
        <f>IF(ISNUMBER(Toxicity!$C$10),(G74+G93)*Toxicity!$C$10,0)</f>
        <v>6.593492347336378E-9</v>
      </c>
      <c r="H112" s="31">
        <f>IF(ISNUMBER(Toxicity!$C$11),(H74+H93)*Toxicity!$C$11,0)</f>
        <v>3.4835019397260275E-8</v>
      </c>
      <c r="I112" s="31">
        <f>IF(ISNUMBER(Toxicity!$C$12),(I74+I93)*Toxicity!$C$12,0)</f>
        <v>1.9607724054794516E-8</v>
      </c>
      <c r="J112" s="31">
        <f>IF(ISNUMBER(Toxicity!$C$13),(J74+J93)*Toxicity!$C$13,0)</f>
        <v>3.2285770289193305E-9</v>
      </c>
      <c r="K112" s="31">
        <f>IF(ISNUMBER(Toxicity!$C$14),(K74+K93)*Toxicity!$C$14,0)</f>
        <v>0</v>
      </c>
      <c r="L112" s="31">
        <f>IF(ISNUMBER(Toxicity!$C$15),(L74+L93)*Toxicity!$C$15,0)</f>
        <v>5.8255680213089805E-8</v>
      </c>
      <c r="M112" s="31">
        <f>IF(ISNUMBER(Toxicity!$C$16),(M74+M93)*Toxicity!$C$16,0)</f>
        <v>8.8694470624048689E-8</v>
      </c>
      <c r="N112" s="31">
        <f>IF(ISNUMBER(Toxicity!$C$17),(N74+N93)*Toxicity!$C$17,0)</f>
        <v>2.2220144520547948E-8</v>
      </c>
      <c r="O112" s="31">
        <f>IF(ISNUMBER(Toxicity!$C$18),(O74+O93)*Toxicity!$C$18,0)</f>
        <v>7.129497773211567E-8</v>
      </c>
      <c r="P112" s="31">
        <f>IF(ISNUMBER(Toxicity!$C$5),B74*Toxicity!$C$5,0)+IF(ISNUMBER(Toxicity!$C$6),C74*Toxicity!$C$6,0)+IF(ISNUMBER(Toxicity!$C$7),D74*Toxicity!$C$7,0)+IF(ISNUMBER(Toxicity!$C$8),E74*Toxicity!$C$8,0)+IF(ISNUMBER(Toxicity!$C$9),F74*Toxicity!$C$9,0)+IF(ISNUMBER(Toxicity!$C$10),G74*Toxicity!$C$10,0)+IF(ISNUMBER(Toxicity!$C$11),H74*Toxicity!$C$11,0)+IF(ISNUMBER(Toxicity!$C$12),I74*Toxicity!$C$12,0)+IF(ISNUMBER(Toxicity!$C$13),J74*Toxicity!$C$13,0)+IF(ISNUMBER(Toxicity!$C$14),K74*Toxicity!$C$14,0)+IF(ISNUMBER(Toxicity!$C$15),L74*Toxicity!$C$15,0)+IF(ISNUMBER(Toxicity!$C$16),M74*Toxicity!$C$16,0)+IF(ISNUMBER(Toxicity!$C$17),N74*Toxicity!$C$17,0)+IF(ISNUMBER(Toxicity!$C$18),O74*Toxicity!$C$18,0)</f>
        <v>2.4028809436834092E-7</v>
      </c>
      <c r="Q112" s="31">
        <f>IF(ISNUMBER(Toxicity!$C$5),B93*Toxicity!$C$5,0)+IF(ISNUMBER(Toxicity!$C$6),C93*Toxicity!$C$6,0)+IF(ISNUMBER(Toxicity!$C$7),D93*Toxicity!$C$7,0)+IF(ISNUMBER(Toxicity!$C$8),E93*Toxicity!$C$8,0)+IF(ISNUMBER(Toxicity!$C$9),F93*Toxicity!$C$9,0)+IF(ISNUMBER(Toxicity!$C$10),G93*Toxicity!$C$10,0)+IF(ISNUMBER(Toxicity!$C$11),H93*Toxicity!$C$11,0)+IF(ISNUMBER(Toxicity!$C$12),I93*Toxicity!$C$12,0)+IF(ISNUMBER(Toxicity!$C$13),J93*Toxicity!$C$13,0)+IF(ISNUMBER(Toxicity!$C$14),K93*Toxicity!$C$14,0)+IF(ISNUMBER(Toxicity!$C$15),L93*Toxicity!$C$15,0)+IF(ISNUMBER(Toxicity!$C$16),M93*Toxicity!$C$16,0)+IF(ISNUMBER(Toxicity!$C$17),N93*Toxicity!$C$17,0)+IF(ISNUMBER(Toxicity!$C$18),O93*Toxicity!$C$18,0)</f>
        <v>7.8753976498630135E-8</v>
      </c>
      <c r="R112" s="32">
        <f t="shared" si="2"/>
        <v>3.1904207086697107E-7</v>
      </c>
      <c r="S112" s="15" t="str">
        <f t="shared" si="3"/>
        <v>&lt; 1E-6 (negligible)</v>
      </c>
    </row>
    <row r="113" spans="1:19" ht="15" customHeight="1" x14ac:dyDescent="0.25">
      <c r="A113" s="17" t="s">
        <v>57</v>
      </c>
      <c r="B113" s="31">
        <f>IF(ISNUMBER(Toxicity!$C$5),(B75+B94)*Toxicity!$C$5,0)</f>
        <v>2.9465561640791478E-9</v>
      </c>
      <c r="C113" s="31">
        <f>IF(ISNUMBER(Toxicity!$C$6),(C75+C94)*Toxicity!$C$6,0)</f>
        <v>4.150303538812785E-9</v>
      </c>
      <c r="D113" s="31">
        <f>IF(ISNUMBER(Toxicity!$C$7),(D75+D94)*Toxicity!$C$7,0)</f>
        <v>1.9778912529680366E-9</v>
      </c>
      <c r="E113" s="31">
        <f>IF(ISNUMBER(Toxicity!$C$8),(E75+E94)*Toxicity!$C$8,0)</f>
        <v>2.3655426410958905E-9</v>
      </c>
      <c r="F113" s="31">
        <f>IF(ISNUMBER(Toxicity!$C$9),(F75+F94)*Toxicity!$C$9,0)</f>
        <v>3.7510052255707774E-9</v>
      </c>
      <c r="G113" s="31">
        <f>IF(ISNUMBER(Toxicity!$C$10),(G75+G94)*Toxicity!$C$10,0)</f>
        <v>9.0814725643835637E-9</v>
      </c>
      <c r="H113" s="31">
        <f>IF(ISNUMBER(Toxicity!$C$11),(H75+H94)*Toxicity!$C$11,0)</f>
        <v>4.1423294739726023E-8</v>
      </c>
      <c r="I113" s="31">
        <f>IF(ISNUMBER(Toxicity!$C$12),(I75+I94)*Toxicity!$C$12,0)</f>
        <v>2.3378171397260273E-8</v>
      </c>
      <c r="J113" s="31">
        <f>IF(ISNUMBER(Toxicity!$C$13),(J75+J94)*Toxicity!$C$13,0)</f>
        <v>1.0325205479452054E-9</v>
      </c>
      <c r="K113" s="31">
        <f>IF(ISNUMBER(Toxicity!$C$14),(K75+K94)*Toxicity!$C$14,0)</f>
        <v>0</v>
      </c>
      <c r="L113" s="31">
        <f>IF(ISNUMBER(Toxicity!$C$15),(L75+L94)*Toxicity!$C$15,0)</f>
        <v>3.4577658447488575E-8</v>
      </c>
      <c r="M113" s="31">
        <f>IF(ISNUMBER(Toxicity!$C$16),(M75+M94)*Toxicity!$C$16,0)</f>
        <v>6.5158904109589047E-8</v>
      </c>
      <c r="N113" s="31">
        <f>IF(ISNUMBER(Toxicity!$C$17),(N75+N94)*Toxicity!$C$17,0)</f>
        <v>8.6805075342465763E-9</v>
      </c>
      <c r="O113" s="31">
        <f>IF(ISNUMBER(Toxicity!$C$18),(O75+O94)*Toxicity!$C$18,0)</f>
        <v>4.5532829254185684E-8</v>
      </c>
      <c r="P113" s="31">
        <f>IF(ISNUMBER(Toxicity!$C$5),B75*Toxicity!$C$5,0)+IF(ISNUMBER(Toxicity!$C$6),C75*Toxicity!$C$6,0)+IF(ISNUMBER(Toxicity!$C$7),D75*Toxicity!$C$7,0)+IF(ISNUMBER(Toxicity!$C$8),E75*Toxicity!$C$8,0)+IF(ISNUMBER(Toxicity!$C$9),F75*Toxicity!$C$9,0)+IF(ISNUMBER(Toxicity!$C$10),G75*Toxicity!$C$10,0)+IF(ISNUMBER(Toxicity!$C$11),H75*Toxicity!$C$11,0)+IF(ISNUMBER(Toxicity!$C$12),I75*Toxicity!$C$12,0)+IF(ISNUMBER(Toxicity!$C$13),J75*Toxicity!$C$13,0)+IF(ISNUMBER(Toxicity!$C$14),K75*Toxicity!$C$14,0)+IF(ISNUMBER(Toxicity!$C$15),L75*Toxicity!$C$15,0)+IF(ISNUMBER(Toxicity!$C$16),M75*Toxicity!$C$16,0)+IF(ISNUMBER(Toxicity!$C$17),N75*Toxicity!$C$17,0)+IF(ISNUMBER(Toxicity!$C$18),O75*Toxicity!$C$18,0)</f>
        <v>1.8849375342465753E-7</v>
      </c>
      <c r="Q113" s="31">
        <f>IF(ISNUMBER(Toxicity!$C$5),B94*Toxicity!$C$5,0)+IF(ISNUMBER(Toxicity!$C$6),C94*Toxicity!$C$6,0)+IF(ISNUMBER(Toxicity!$C$7),D94*Toxicity!$C$7,0)+IF(ISNUMBER(Toxicity!$C$8),E94*Toxicity!$C$8,0)+IF(ISNUMBER(Toxicity!$C$9),F94*Toxicity!$C$9,0)+IF(ISNUMBER(Toxicity!$C$10),G94*Toxicity!$C$10,0)+IF(ISNUMBER(Toxicity!$C$11),H94*Toxicity!$C$11,0)+IF(ISNUMBER(Toxicity!$C$12),I94*Toxicity!$C$12,0)+IF(ISNUMBER(Toxicity!$C$13),J94*Toxicity!$C$13,0)+IF(ISNUMBER(Toxicity!$C$14),K94*Toxicity!$C$14,0)+IF(ISNUMBER(Toxicity!$C$15),L94*Toxicity!$C$15,0)+IF(ISNUMBER(Toxicity!$C$16),M94*Toxicity!$C$16,0)+IF(ISNUMBER(Toxicity!$C$17),N94*Toxicity!$C$17,0)+IF(ISNUMBER(Toxicity!$C$18),O94*Toxicity!$C$18,0)</f>
        <v>5.5562903992694065E-8</v>
      </c>
      <c r="R113" s="32">
        <f t="shared" si="2"/>
        <v>2.4405665741735158E-7</v>
      </c>
      <c r="S113" s="15" t="str">
        <f t="shared" si="3"/>
        <v>&lt; 1E-6 (negligible)</v>
      </c>
    </row>
    <row r="114" spans="1:19" ht="15" customHeight="1" x14ac:dyDescent="0.25">
      <c r="A114" s="17" t="s">
        <v>70</v>
      </c>
      <c r="B114" s="31">
        <f>IF(ISNUMBER(Toxicity!$C$5),(B76+B95)*Toxicity!$C$5,0)</f>
        <v>5.1244732155251151E-9</v>
      </c>
      <c r="C114" s="31">
        <f>IF(ISNUMBER(Toxicity!$C$6),(C76+C95)*Toxicity!$C$6,0)</f>
        <v>5.7060545985388127E-9</v>
      </c>
      <c r="D114" s="31">
        <f>IF(ISNUMBER(Toxicity!$C$7),(D76+D95)*Toxicity!$C$7,0)</f>
        <v>3.7637994597260281E-9</v>
      </c>
      <c r="E114" s="31">
        <f>IF(ISNUMBER(Toxicity!$C$8),(E76+E95)*Toxicity!$C$8,0)</f>
        <v>3.6140234794520554E-9</v>
      </c>
      <c r="F114" s="31">
        <f>IF(ISNUMBER(Toxicity!$C$9),(F76+F95)*Toxicity!$C$9,0)</f>
        <v>4.7523278829223736E-9</v>
      </c>
      <c r="G114" s="31">
        <f>IF(ISNUMBER(Toxicity!$C$10),(G76+G95)*Toxicity!$C$10,0)</f>
        <v>1.2092463458447486E-8</v>
      </c>
      <c r="H114" s="31">
        <f>IF(ISNUMBER(Toxicity!$C$11),(H76+H95)*Toxicity!$C$11,0)</f>
        <v>7.0522233599999983E-8</v>
      </c>
      <c r="I114" s="31">
        <f>IF(ISNUMBER(Toxicity!$C$12),(I76+I95)*Toxicity!$C$12,0)</f>
        <v>3.975153277808219E-8</v>
      </c>
      <c r="J114" s="31">
        <f>IF(ISNUMBER(Toxicity!$C$13),(J76+J95)*Toxicity!$C$13,0)</f>
        <v>6.337473453881279E-9</v>
      </c>
      <c r="K114" s="31">
        <f>IF(ISNUMBER(Toxicity!$C$14),(K76+K95)*Toxicity!$C$14,0)</f>
        <v>0</v>
      </c>
      <c r="L114" s="31">
        <f>IF(ISNUMBER(Toxicity!$C$15),(L76+L95)*Toxicity!$C$15,0)</f>
        <v>1.2554383251141552E-7</v>
      </c>
      <c r="M114" s="31">
        <f>IF(ISNUMBER(Toxicity!$C$16),(M76+M95)*Toxicity!$C$16,0)</f>
        <v>1.843542151598173E-7</v>
      </c>
      <c r="N114" s="31">
        <f>IF(ISNUMBER(Toxicity!$C$17),(N76+N95)*Toxicity!$C$17,0)</f>
        <v>3.5894123835616439E-8</v>
      </c>
      <c r="O114" s="31">
        <f>IF(ISNUMBER(Toxicity!$C$18),(O76+O95)*Toxicity!$C$18,0)</f>
        <v>1.2594754941552508E-7</v>
      </c>
      <c r="P114" s="31">
        <f>IF(ISNUMBER(Toxicity!$C$5),B76*Toxicity!$C$5,0)+IF(ISNUMBER(Toxicity!$C$6),C76*Toxicity!$C$6,0)+IF(ISNUMBER(Toxicity!$C$7),D76*Toxicity!$C$7,0)+IF(ISNUMBER(Toxicity!$C$8),E76*Toxicity!$C$8,0)+IF(ISNUMBER(Toxicity!$C$9),F76*Toxicity!$C$9,0)+IF(ISNUMBER(Toxicity!$C$10),G76*Toxicity!$C$10,0)+IF(ISNUMBER(Toxicity!$C$11),H76*Toxicity!$C$11,0)+IF(ISNUMBER(Toxicity!$C$12),I76*Toxicity!$C$12,0)+IF(ISNUMBER(Toxicity!$C$13),J76*Toxicity!$C$13,0)+IF(ISNUMBER(Toxicity!$C$14),K76*Toxicity!$C$14,0)+IF(ISNUMBER(Toxicity!$C$15),L76*Toxicity!$C$15,0)+IF(ISNUMBER(Toxicity!$C$16),M76*Toxicity!$C$16,0)+IF(ISNUMBER(Toxicity!$C$17),N76*Toxicity!$C$17,0)+IF(ISNUMBER(Toxicity!$C$18),O76*Toxicity!$C$18,0)</f>
        <v>4.6906524018264825E-7</v>
      </c>
      <c r="Q114" s="31">
        <f>IF(ISNUMBER(Toxicity!$C$5),B95*Toxicity!$C$5,0)+IF(ISNUMBER(Toxicity!$C$6),C95*Toxicity!$C$6,0)+IF(ISNUMBER(Toxicity!$C$7),D95*Toxicity!$C$7,0)+IF(ISNUMBER(Toxicity!$C$8),E95*Toxicity!$C$8,0)+IF(ISNUMBER(Toxicity!$C$9),F95*Toxicity!$C$9,0)+IF(ISNUMBER(Toxicity!$C$10),G95*Toxicity!$C$10,0)+IF(ISNUMBER(Toxicity!$C$11),H95*Toxicity!$C$11,0)+IF(ISNUMBER(Toxicity!$C$12),I95*Toxicity!$C$12,0)+IF(ISNUMBER(Toxicity!$C$13),J95*Toxicity!$C$13,0)+IF(ISNUMBER(Toxicity!$C$14),K95*Toxicity!$C$14,0)+IF(ISNUMBER(Toxicity!$C$15),L95*Toxicity!$C$15,0)+IF(ISNUMBER(Toxicity!$C$16),M95*Toxicity!$C$16,0)+IF(ISNUMBER(Toxicity!$C$17),N95*Toxicity!$C$17,0)+IF(ISNUMBER(Toxicity!$C$18),O95*Toxicity!$C$18,0)</f>
        <v>1.5433886266630133E-7</v>
      </c>
      <c r="R114" s="32">
        <f t="shared" si="2"/>
        <v>6.2340410284894966E-7</v>
      </c>
      <c r="S114" s="15" t="str">
        <f t="shared" si="3"/>
        <v>&lt; 1E-6 (negligible)</v>
      </c>
    </row>
    <row r="115" spans="1:19" ht="15" customHeight="1" x14ac:dyDescent="0.25">
      <c r="A115" s="17" t="s">
        <v>127</v>
      </c>
      <c r="B115" s="31">
        <f>IF(ISNUMBER(Toxicity!$C$5),(B77+B96)*Toxicity!$C$5,0)</f>
        <v>3.6476051834786225E-9</v>
      </c>
      <c r="C115" s="31">
        <f>IF(ISNUMBER(Toxicity!$C$6),(C77+C96)*Toxicity!$C$6,0)</f>
        <v>4.80046113192196E-9</v>
      </c>
      <c r="D115" s="31">
        <f>IF(ISNUMBER(Toxicity!$C$7),(D77+D96)*Toxicity!$C$7,0)</f>
        <v>2.7858907565794935E-9</v>
      </c>
      <c r="E115" s="31">
        <f>IF(ISNUMBER(Toxicity!$C$8),(E77+E96)*Toxicity!$C$8,0)</f>
        <v>2.8992467862183481E-9</v>
      </c>
      <c r="F115" s="31">
        <f>IF(ISNUMBER(Toxicity!$C$9),(F77+F96)*Toxicity!$C$9,0)</f>
        <v>4.3498183686176842E-9</v>
      </c>
      <c r="G115" s="31">
        <f>IF(ISNUMBER(Toxicity!$C$10),(G77+G96)*Toxicity!$C$10,0)</f>
        <v>9.7715647297633861E-9</v>
      </c>
      <c r="H115" s="31">
        <f>IF(ISNUMBER(Toxicity!$C$11),(H77+H96)*Toxicity!$C$11,0)</f>
        <v>5.2853282764632637E-8</v>
      </c>
      <c r="I115" s="31">
        <f>IF(ISNUMBER(Toxicity!$C$12),(I77+I96)*Toxicity!$C$12,0)</f>
        <v>2.9792304567870489E-8</v>
      </c>
      <c r="J115" s="31">
        <f>IF(ISNUMBER(Toxicity!$C$13),(J77+J96)*Toxicity!$C$13,0)</f>
        <v>4.0427872727272731E-9</v>
      </c>
      <c r="K115" s="31">
        <f>IF(ISNUMBER(Toxicity!$C$14),(K77+K96)*Toxicity!$C$14,0)</f>
        <v>0</v>
      </c>
      <c r="L115" s="31">
        <f>IF(ISNUMBER(Toxicity!$C$15),(L77+L96)*Toxicity!$C$15,0)</f>
        <v>8.2383561685346627E-8</v>
      </c>
      <c r="M115" s="31">
        <f>IF(ISNUMBER(Toxicity!$C$16),(M77+M96)*Toxicity!$C$16,0)</f>
        <v>1.257573818181818E-7</v>
      </c>
      <c r="N115" s="31">
        <f>IF(ISNUMBER(Toxicity!$C$17),(N77+N96)*Toxicity!$C$17,0)</f>
        <v>2.4742961394769607E-8</v>
      </c>
      <c r="O115" s="31">
        <f>IF(ISNUMBER(Toxicity!$C$18),(O77+O96)*Toxicity!$C$18,0)</f>
        <v>8.9111015276048154E-8</v>
      </c>
      <c r="P115" s="31">
        <f>IF(ISNUMBER(Toxicity!$C$5),B77*Toxicity!$C$5,0)+IF(ISNUMBER(Toxicity!$C$6),C77*Toxicity!$C$6,0)+IF(ISNUMBER(Toxicity!$C$7),D77*Toxicity!$C$7,0)+IF(ISNUMBER(Toxicity!$C$8),E77*Toxicity!$C$8,0)+IF(ISNUMBER(Toxicity!$C$9),F77*Toxicity!$C$9,0)+IF(ISNUMBER(Toxicity!$C$10),G77*Toxicity!$C$10,0)+IF(ISNUMBER(Toxicity!$C$11),H77*Toxicity!$C$11,0)+IF(ISNUMBER(Toxicity!$C$12),I77*Toxicity!$C$12,0)+IF(ISNUMBER(Toxicity!$C$13),J77*Toxicity!$C$13,0)+IF(ISNUMBER(Toxicity!$C$14),K77*Toxicity!$C$14,0)+IF(ISNUMBER(Toxicity!$C$15),L77*Toxicity!$C$15,0)+IF(ISNUMBER(Toxicity!$C$16),M77*Toxicity!$C$16,0)+IF(ISNUMBER(Toxicity!$C$17),N77*Toxicity!$C$17,0)+IF(ISNUMBER(Toxicity!$C$18),O77*Toxicity!$C$18,0)</f>
        <v>3.3015197675383973E-7</v>
      </c>
      <c r="Q115" s="31">
        <f>IF(ISNUMBER(Toxicity!$C$5),B96*Toxicity!$C$5,0)+IF(ISNUMBER(Toxicity!$C$6),C96*Toxicity!$C$6,0)+IF(ISNUMBER(Toxicity!$C$7),D96*Toxicity!$C$7,0)+IF(ISNUMBER(Toxicity!$C$8),E96*Toxicity!$C$8,0)+IF(ISNUMBER(Toxicity!$C$9),F96*Toxicity!$C$9,0)+IF(ISNUMBER(Toxicity!$C$10),G96*Toxicity!$C$10,0)+IF(ISNUMBER(Toxicity!$C$11),H96*Toxicity!$C$11,0)+IF(ISNUMBER(Toxicity!$C$12),I96*Toxicity!$C$12,0)+IF(ISNUMBER(Toxicity!$C$13),J96*Toxicity!$C$13,0)+IF(ISNUMBER(Toxicity!$C$14),K96*Toxicity!$C$14,0)+IF(ISNUMBER(Toxicity!$C$15),L96*Toxicity!$C$15,0)+IF(ISNUMBER(Toxicity!$C$16),M96*Toxicity!$C$16,0)+IF(ISNUMBER(Toxicity!$C$17),N96*Toxicity!$C$17,0)+IF(ISNUMBER(Toxicity!$C$18),O96*Toxicity!$C$18,0)</f>
        <v>1.0678590498231632E-7</v>
      </c>
      <c r="R115" s="32">
        <f t="shared" si="2"/>
        <v>4.3693788173615605E-7</v>
      </c>
      <c r="S115" s="15" t="str">
        <f t="shared" si="3"/>
        <v>&lt; 1E-6 (negligible)</v>
      </c>
    </row>
    <row r="118" spans="1:19" ht="15" customHeight="1" x14ac:dyDescent="0.25">
      <c r="A118" s="17" t="s">
        <v>331</v>
      </c>
    </row>
    <row r="119" spans="1:19" ht="23.25" customHeight="1" x14ac:dyDescent="0.25">
      <c r="A119" s="6" t="s">
        <v>130</v>
      </c>
      <c r="B119" s="6" t="s">
        <v>25</v>
      </c>
      <c r="C119" s="6" t="s">
        <v>26</v>
      </c>
      <c r="D119" s="6" t="s">
        <v>27</v>
      </c>
      <c r="E119" s="6" t="s">
        <v>28</v>
      </c>
      <c r="F119" s="6" t="s">
        <v>29</v>
      </c>
      <c r="G119" s="6" t="s">
        <v>30</v>
      </c>
      <c r="H119" s="6" t="s">
        <v>31</v>
      </c>
      <c r="I119" s="6" t="s">
        <v>32</v>
      </c>
      <c r="J119" s="6" t="s">
        <v>33</v>
      </c>
      <c r="K119" s="6" t="s">
        <v>34</v>
      </c>
      <c r="L119" s="6" t="s">
        <v>35</v>
      </c>
      <c r="M119" s="6" t="s">
        <v>36</v>
      </c>
      <c r="N119" s="6" t="s">
        <v>37</v>
      </c>
      <c r="O119" s="6" t="s">
        <v>38</v>
      </c>
    </row>
    <row r="120" spans="1:19" ht="15" customHeight="1" x14ac:dyDescent="0.25">
      <c r="A120" s="10" t="s">
        <v>45</v>
      </c>
      <c r="B120" s="31">
        <f>'Group Means'!C5/1000*Parameters!$D$15</f>
        <v>3.5730898021308978E-8</v>
      </c>
      <c r="C120" s="31">
        <f>'Group Means'!D5/1000*Parameters!$D$15</f>
        <v>8.1971385083713861E-8</v>
      </c>
      <c r="D120" s="31">
        <f>'Group Means'!E5/1000*Parameters!$D$15</f>
        <v>4.8362861491628609E-8</v>
      </c>
      <c r="E120" s="31">
        <f>'Group Means'!F5/1000*Parameters!$D$15</f>
        <v>4.8362861491628623E-8</v>
      </c>
      <c r="F120" s="31">
        <f>'Group Means'!G5/1000*Parameters!$D$15</f>
        <v>1.0385144596651443E-7</v>
      </c>
      <c r="G120" s="31">
        <f>'Group Means'!H5/1000*Parameters!$D$15</f>
        <v>1.3915190258751898E-7</v>
      </c>
      <c r="H120" s="31">
        <f>'Group Means'!I5/1000*Parameters!$D$15</f>
        <v>3.2355555555555552E-8</v>
      </c>
      <c r="I120" s="31">
        <f>'Group Means'!J5/1000*Parameters!$D$15</f>
        <v>6.3743683409436834E-8</v>
      </c>
      <c r="J120" s="31">
        <f>'Group Means'!K5/1000*Parameters!$D$15</f>
        <v>6.3926940639269404E-9</v>
      </c>
      <c r="K120" s="31">
        <f>'Group Means'!L5/1000*Parameters!$D$15</f>
        <v>6.3926940639269404E-9</v>
      </c>
      <c r="L120" s="31">
        <f>'Group Means'!M5/1000*Parameters!$D$15</f>
        <v>6.3926940639269404E-9</v>
      </c>
      <c r="M120" s="31">
        <f>'Group Means'!N5/1000*Parameters!$D$15</f>
        <v>1.3360730593607305E-8</v>
      </c>
      <c r="N120" s="31">
        <f>'Group Means'!O5/1000*Parameters!$D$15</f>
        <v>6.3926940639269404E-9</v>
      </c>
      <c r="O120" s="31">
        <f>'Group Means'!P5/1000*Parameters!$D$15</f>
        <v>2.8217351598173516E-8</v>
      </c>
    </row>
    <row r="121" spans="1:19" ht="15" customHeight="1" x14ac:dyDescent="0.25">
      <c r="A121" s="10" t="s">
        <v>49</v>
      </c>
      <c r="B121" s="31">
        <f>'Group Means'!C6/1000*Parameters!$D$15</f>
        <v>6.3926940639269404E-9</v>
      </c>
      <c r="C121" s="31">
        <f>'Group Means'!D6/1000*Parameters!$D$15</f>
        <v>5.9784474885844751E-8</v>
      </c>
      <c r="D121" s="31">
        <f>'Group Means'!E6/1000*Parameters!$D$15</f>
        <v>6.3926940639269404E-9</v>
      </c>
      <c r="E121" s="31">
        <f>'Group Means'!F6/1000*Parameters!$D$15</f>
        <v>6.3926940639269404E-9</v>
      </c>
      <c r="F121" s="31">
        <f>'Group Means'!G6/1000*Parameters!$D$15</f>
        <v>9.2838964992389641E-8</v>
      </c>
      <c r="G121" s="31">
        <f>'Group Means'!H6/1000*Parameters!$D$15</f>
        <v>1.0657473363774733E-7</v>
      </c>
      <c r="H121" s="31">
        <f>'Group Means'!I6/1000*Parameters!$D$15</f>
        <v>6.3926940639269404E-9</v>
      </c>
      <c r="I121" s="31">
        <f>'Group Means'!J6/1000*Parameters!$D$15</f>
        <v>1.2593607305936072E-8</v>
      </c>
      <c r="J121" s="31">
        <f>'Group Means'!K6/1000*Parameters!$D$15</f>
        <v>6.3926940639269404E-9</v>
      </c>
      <c r="K121" s="31">
        <f>'Group Means'!L6/1000*Parameters!$D$15</f>
        <v>6.3926940639269404E-9</v>
      </c>
      <c r="L121" s="31">
        <f>'Group Means'!M6/1000*Parameters!$D$15</f>
        <v>6.3926940639269404E-9</v>
      </c>
      <c r="M121" s="31">
        <f>'Group Means'!N6/1000*Parameters!$D$15</f>
        <v>6.3926940639269404E-9</v>
      </c>
      <c r="N121" s="31">
        <f>'Group Means'!O6/1000*Parameters!$D$15</f>
        <v>6.3926940639269404E-9</v>
      </c>
      <c r="O121" s="31">
        <f>'Group Means'!P6/1000*Parameters!$D$15</f>
        <v>6.3926940639269404E-9</v>
      </c>
    </row>
    <row r="122" spans="1:19" ht="15" customHeight="1" x14ac:dyDescent="0.25">
      <c r="A122" s="10" t="s">
        <v>53</v>
      </c>
      <c r="B122" s="31">
        <f>'Group Means'!C7/1000*Parameters!$D$15</f>
        <v>9.6678843226788427E-8</v>
      </c>
      <c r="C122" s="31">
        <f>'Group Means'!D7/1000*Parameters!$D$15</f>
        <v>1.4812298325722982E-7</v>
      </c>
      <c r="D122" s="31">
        <f>'Group Means'!E7/1000*Parameters!$D$15</f>
        <v>8.9698021308980212E-8</v>
      </c>
      <c r="E122" s="31">
        <f>'Group Means'!F7/1000*Parameters!$D$15</f>
        <v>1.1011628614916287E-7</v>
      </c>
      <c r="F122" s="31">
        <f>'Group Means'!G7/1000*Parameters!$D$15</f>
        <v>1.1793668188736683E-7</v>
      </c>
      <c r="G122" s="31">
        <f>'Group Means'!H7/1000*Parameters!$D$15</f>
        <v>2.3921887366818875E-7</v>
      </c>
      <c r="H122" s="31">
        <f>'Group Means'!I7/1000*Parameters!$D$15</f>
        <v>9.4765296803652966E-8</v>
      </c>
      <c r="I122" s="31">
        <f>'Group Means'!J7/1000*Parameters!$D$15</f>
        <v>1.8669223744292234E-7</v>
      </c>
      <c r="J122" s="31">
        <f>'Group Means'!K7/1000*Parameters!$D$15</f>
        <v>4.7182343987823441E-8</v>
      </c>
      <c r="K122" s="31">
        <f>'Group Means'!L7/1000*Parameters!$D$15</f>
        <v>5.4708675799086756E-8</v>
      </c>
      <c r="L122" s="31">
        <f>'Group Means'!M7/1000*Parameters!$D$15</f>
        <v>5.5799695585996956E-8</v>
      </c>
      <c r="M122" s="31">
        <f>'Group Means'!N7/1000*Parameters!$D$15</f>
        <v>9.1193911719939105E-8</v>
      </c>
      <c r="N122" s="31">
        <f>'Group Means'!O7/1000*Parameters!$D$15</f>
        <v>8.6041400304413997E-8</v>
      </c>
      <c r="O122" s="31">
        <f>'Group Means'!P7/1000*Parameters!$D$15</f>
        <v>1.2219421613394217E-7</v>
      </c>
    </row>
    <row r="123" spans="1:19" ht="15" customHeight="1" x14ac:dyDescent="0.25">
      <c r="A123" s="10" t="s">
        <v>58</v>
      </c>
      <c r="B123" s="31">
        <f>'Group Means'!C8/1000*Parameters!$D$15</f>
        <v>5.4951598173515962E-8</v>
      </c>
      <c r="C123" s="31">
        <f>'Group Means'!D8/1000*Parameters!$D$15</f>
        <v>7.8284931506849312E-8</v>
      </c>
      <c r="D123" s="31">
        <f>'Group Means'!E8/1000*Parameters!$D$15</f>
        <v>6.3926940639269404E-9</v>
      </c>
      <c r="E123" s="31">
        <f>'Group Means'!F8/1000*Parameters!$D$15</f>
        <v>6.9850837138508375E-8</v>
      </c>
      <c r="F123" s="31">
        <f>'Group Means'!G8/1000*Parameters!$D$15</f>
        <v>8.3718721461187196E-8</v>
      </c>
      <c r="G123" s="31">
        <f>'Group Means'!H8/1000*Parameters!$D$15</f>
        <v>1.6621004566210044E-7</v>
      </c>
      <c r="H123" s="31">
        <f>'Group Means'!I8/1000*Parameters!$D$15</f>
        <v>3.9630441400304406E-8</v>
      </c>
      <c r="I123" s="31">
        <f>'Group Means'!J8/1000*Parameters!$D$15</f>
        <v>7.8063318112633178E-8</v>
      </c>
      <c r="J123" s="31">
        <f>'Group Means'!K8/1000*Parameters!$D$15</f>
        <v>6.3926940639269404E-9</v>
      </c>
      <c r="K123" s="31">
        <f>'Group Means'!L8/1000*Parameters!$D$15</f>
        <v>6.3926940639269404E-9</v>
      </c>
      <c r="L123" s="31">
        <f>'Group Means'!M8/1000*Parameters!$D$15</f>
        <v>1.510380517503805E-8</v>
      </c>
      <c r="M123" s="31">
        <f>'Group Means'!N8/1000*Parameters!$D$15</f>
        <v>4.2920547945205471E-8</v>
      </c>
      <c r="N123" s="31">
        <f>'Group Means'!O8/1000*Parameters!$D$15</f>
        <v>6.3926940639269404E-9</v>
      </c>
      <c r="O123" s="31">
        <f>'Group Means'!P8/1000*Parameters!$D$15</f>
        <v>6.3926940639269404E-9</v>
      </c>
    </row>
    <row r="124" spans="1:19" ht="15" customHeight="1" x14ac:dyDescent="0.25">
      <c r="A124" s="10" t="s">
        <v>62</v>
      </c>
      <c r="B124" s="31">
        <f>'Group Means'!C9/1000*Parameters!$D$15</f>
        <v>7.7411263318112625E-8</v>
      </c>
      <c r="C124" s="31">
        <f>'Group Means'!D9/1000*Parameters!$D$15</f>
        <v>1.109302891933029E-7</v>
      </c>
      <c r="D124" s="31">
        <f>'Group Means'!E9/1000*Parameters!$D$15</f>
        <v>6.4169863013698618E-8</v>
      </c>
      <c r="E124" s="31">
        <f>'Group Means'!F9/1000*Parameters!$D$15</f>
        <v>4.3376560121765602E-8</v>
      </c>
      <c r="F124" s="31">
        <f>'Group Means'!G9/1000*Parameters!$D$15</f>
        <v>9.4458447488584451E-8</v>
      </c>
      <c r="G124" s="31">
        <f>'Group Means'!H9/1000*Parameters!$D$15</f>
        <v>2.4151598173515979E-7</v>
      </c>
      <c r="H124" s="31">
        <f>'Group Means'!I9/1000*Parameters!$D$15</f>
        <v>5.1273668188736682E-8</v>
      </c>
      <c r="I124" s="31">
        <f>'Group Means'!J9/1000*Parameters!$D$15</f>
        <v>1.0100882800608829E-7</v>
      </c>
      <c r="J124" s="31">
        <f>'Group Means'!K9/1000*Parameters!$D$15</f>
        <v>6.3926940639269404E-9</v>
      </c>
      <c r="K124" s="31">
        <f>'Group Means'!L9/1000*Parameters!$D$15</f>
        <v>3.8019482496194825E-8</v>
      </c>
      <c r="L124" s="31">
        <f>'Group Means'!M9/1000*Parameters!$D$15</f>
        <v>6.3926940639269404E-9</v>
      </c>
      <c r="M124" s="31">
        <f>'Group Means'!N9/1000*Parameters!$D$15</f>
        <v>3.2193607305936072E-8</v>
      </c>
      <c r="N124" s="31">
        <f>'Group Means'!O9/1000*Parameters!$D$15</f>
        <v>1.5159208523592087E-8</v>
      </c>
      <c r="O124" s="31">
        <f>'Group Means'!P9/1000*Parameters!$D$15</f>
        <v>4.8537595129375946E-8</v>
      </c>
    </row>
    <row r="125" spans="1:19" ht="15" customHeight="1" x14ac:dyDescent="0.25">
      <c r="A125" s="10" t="s">
        <v>66</v>
      </c>
      <c r="B125" s="31">
        <f>'Group Means'!C10/1000*Parameters!$D$15</f>
        <v>8.4353729071537278E-8</v>
      </c>
      <c r="C125" s="31">
        <f>'Group Means'!D10/1000*Parameters!$D$15</f>
        <v>1.1603592085235923E-7</v>
      </c>
      <c r="D125" s="31">
        <f>'Group Means'!E10/1000*Parameters!$D$15</f>
        <v>7.4909589041095873E-8</v>
      </c>
      <c r="E125" s="31">
        <f>'Group Means'!F10/1000*Parameters!$D$15</f>
        <v>6.0756164383561643E-8</v>
      </c>
      <c r="F125" s="31">
        <f>'Group Means'!G10/1000*Parameters!$D$15</f>
        <v>9.7705936073059352E-8</v>
      </c>
      <c r="G125" s="31">
        <f>'Group Means'!H10/1000*Parameters!$D$15</f>
        <v>2.6020821917808219E-7</v>
      </c>
      <c r="H125" s="31">
        <f>'Group Means'!I10/1000*Parameters!$D$15</f>
        <v>6.7860578386605775E-8</v>
      </c>
      <c r="I125" s="31">
        <f>'Group Means'!J10/1000*Parameters!$D$15</f>
        <v>1.3453637747336378E-7</v>
      </c>
      <c r="J125" s="31">
        <f>'Group Means'!K10/1000*Parameters!$D$15</f>
        <v>6.3926940639269404E-9</v>
      </c>
      <c r="K125" s="31">
        <f>'Group Means'!L10/1000*Parameters!$D$15</f>
        <v>4.2852359208523588E-8</v>
      </c>
      <c r="L125" s="31">
        <f>'Group Means'!M10/1000*Parameters!$D$15</f>
        <v>1.9212176560121765E-8</v>
      </c>
      <c r="M125" s="31">
        <f>'Group Means'!N10/1000*Parameters!$D$15</f>
        <v>6.3926940639269404E-9</v>
      </c>
      <c r="N125" s="31">
        <f>'Group Means'!O10/1000*Parameters!$D$15</f>
        <v>1.7055707762557074E-8</v>
      </c>
      <c r="O125" s="31">
        <f>'Group Means'!P10/1000*Parameters!$D$15</f>
        <v>4.5213394216133939E-8</v>
      </c>
    </row>
    <row r="126" spans="1:19" ht="15" customHeight="1" x14ac:dyDescent="0.25">
      <c r="A126" s="10" t="s">
        <v>71</v>
      </c>
      <c r="B126" s="31">
        <f>'Group Means'!C11/1000*Parameters!$D$15</f>
        <v>1.0674094368340944E-7</v>
      </c>
      <c r="C126" s="31">
        <f>'Group Means'!D11/1000*Parameters!$D$15</f>
        <v>1.1404140030441398E-7</v>
      </c>
      <c r="D126" s="31">
        <f>'Group Means'!E11/1000*Parameters!$D$15</f>
        <v>6.3926940639269404E-9</v>
      </c>
      <c r="E126" s="31">
        <f>'Group Means'!F11/1000*Parameters!$D$15</f>
        <v>6.4216742770167423E-8</v>
      </c>
      <c r="F126" s="31">
        <f>'Group Means'!G11/1000*Parameters!$D$15</f>
        <v>9.7156164383561624E-8</v>
      </c>
      <c r="G126" s="31">
        <f>'Group Means'!H11/1000*Parameters!$D$15</f>
        <v>2.5418203957382041E-7</v>
      </c>
      <c r="H126" s="31">
        <f>'Group Means'!I11/1000*Parameters!$D$15</f>
        <v>8.680000000000001E-8</v>
      </c>
      <c r="I126" s="31">
        <f>'Group Means'!J11/1000*Parameters!$D$15</f>
        <v>1.7099604261796043E-7</v>
      </c>
      <c r="J126" s="31">
        <f>'Group Means'!K11/1000*Parameters!$D$15</f>
        <v>3.5023439878234398E-8</v>
      </c>
      <c r="K126" s="31">
        <f>'Group Means'!L11/1000*Parameters!$D$15</f>
        <v>4.0828006088280059E-8</v>
      </c>
      <c r="L126" s="31">
        <f>'Group Means'!M11/1000*Parameters!$D$15</f>
        <v>2.2135768645357687E-8</v>
      </c>
      <c r="M126" s="31">
        <f>'Group Means'!N11/1000*Parameters!$D$15</f>
        <v>4.7186605783866062E-8</v>
      </c>
      <c r="N126" s="31">
        <f>'Group Means'!O11/1000*Parameters!$D$15</f>
        <v>6.3926940639269404E-9</v>
      </c>
      <c r="O126" s="31">
        <f>'Group Means'!P11/1000*Parameters!$D$15</f>
        <v>4.0550989345509891E-8</v>
      </c>
    </row>
    <row r="127" spans="1:19" ht="15" customHeight="1" x14ac:dyDescent="0.25">
      <c r="A127" s="10" t="s">
        <v>75</v>
      </c>
      <c r="B127" s="31">
        <f>'Group Means'!C12/1000*Parameters!$D$15</f>
        <v>1.1784718417047183E-7</v>
      </c>
      <c r="C127" s="31">
        <f>'Group Means'!D12/1000*Parameters!$D$15</f>
        <v>1.1144596651445965E-7</v>
      </c>
      <c r="D127" s="31">
        <f>'Group Means'!E12/1000*Parameters!$D$15</f>
        <v>1.0890167427701671E-7</v>
      </c>
      <c r="E127" s="31">
        <f>'Group Means'!F12/1000*Parameters!$D$15</f>
        <v>6.558051750380517E-8</v>
      </c>
      <c r="F127" s="31">
        <f>'Group Means'!G12/1000*Parameters!$D$15</f>
        <v>1.0395799086757992E-7</v>
      </c>
      <c r="G127" s="31">
        <f>'Group Means'!H12/1000*Parameters!$D$15</f>
        <v>2.6779847792998477E-7</v>
      </c>
      <c r="H127" s="31">
        <f>'Group Means'!I12/1000*Parameters!$D$15</f>
        <v>7.4662404870624039E-8</v>
      </c>
      <c r="I127" s="31">
        <f>'Group Means'!J12/1000*Parameters!$D$15</f>
        <v>1.4707884322678844E-7</v>
      </c>
      <c r="J127" s="31">
        <f>'Group Means'!K12/1000*Parameters!$D$15</f>
        <v>2.9789954337899544E-8</v>
      </c>
      <c r="K127" s="31">
        <f>'Group Means'!L12/1000*Parameters!$D$15</f>
        <v>7.0136377473363785E-8</v>
      </c>
      <c r="L127" s="31">
        <f>'Group Means'!M12/1000*Parameters!$D$15</f>
        <v>2.6802435312024353E-8</v>
      </c>
      <c r="M127" s="31">
        <f>'Group Means'!N12/1000*Parameters!$D$15</f>
        <v>4.8124200913242004E-8</v>
      </c>
      <c r="N127" s="31">
        <f>'Group Means'!O12/1000*Parameters!$D$15</f>
        <v>4.2524200913242007E-8</v>
      </c>
      <c r="O127" s="31">
        <f>'Group Means'!P12/1000*Parameters!$D$15</f>
        <v>7.3302891933028913E-8</v>
      </c>
    </row>
    <row r="128" spans="1:19" ht="15" customHeight="1" x14ac:dyDescent="0.25">
      <c r="A128" s="10" t="s">
        <v>79</v>
      </c>
      <c r="B128" s="31">
        <f>'Group Means'!C13/1000*Parameters!$D$15</f>
        <v>1.2089863013698631E-7</v>
      </c>
      <c r="C128" s="31">
        <f>'Group Means'!D13/1000*Parameters!$D$15</f>
        <v>1.2829710806697105E-7</v>
      </c>
      <c r="D128" s="31">
        <f>'Group Means'!E13/1000*Parameters!$D$15</f>
        <v>8.1647488584474889E-8</v>
      </c>
      <c r="E128" s="31">
        <f>'Group Means'!F13/1000*Parameters!$D$15</f>
        <v>1.1073850837138508E-7</v>
      </c>
      <c r="F128" s="31">
        <f>'Group Means'!G13/1000*Parameters!$D$15</f>
        <v>1.1840121765601218E-7</v>
      </c>
      <c r="G128" s="31">
        <f>'Group Means'!H13/1000*Parameters!$D$15</f>
        <v>2.7143378995433786E-7</v>
      </c>
      <c r="H128" s="31">
        <f>'Group Means'!I13/1000*Parameters!$D$15</f>
        <v>9.5370471841704714E-8</v>
      </c>
      <c r="I128" s="31">
        <f>'Group Means'!J13/1000*Parameters!$D$15</f>
        <v>1.8788980213089803E-7</v>
      </c>
      <c r="J128" s="31">
        <f>'Group Means'!K13/1000*Parameters!$D$15</f>
        <v>2.8912024353120246E-8</v>
      </c>
      <c r="K128" s="31">
        <f>'Group Means'!L13/1000*Parameters!$D$15</f>
        <v>7.7300456621004558E-8</v>
      </c>
      <c r="L128" s="31">
        <f>'Group Means'!M13/1000*Parameters!$D$15</f>
        <v>4.2583866057838662E-8</v>
      </c>
      <c r="M128" s="31">
        <f>'Group Means'!N13/1000*Parameters!$D$15</f>
        <v>5.9405175038051752E-8</v>
      </c>
      <c r="N128" s="31">
        <f>'Group Means'!O13/1000*Parameters!$D$15</f>
        <v>3.6638660578386613E-8</v>
      </c>
      <c r="O128" s="31">
        <f>'Group Means'!P13/1000*Parameters!$D$15</f>
        <v>6.9130593607305939E-8</v>
      </c>
    </row>
    <row r="129" spans="1:15" ht="15" customHeight="1" x14ac:dyDescent="0.25">
      <c r="A129" s="10" t="s">
        <v>83</v>
      </c>
      <c r="B129" s="31">
        <f>'Group Means'!C14/1000*Parameters!$D$15</f>
        <v>1.2764931506849313E-7</v>
      </c>
      <c r="C129" s="31">
        <f>'Group Means'!D14/1000*Parameters!$D$15</f>
        <v>1.6855829528158295E-7</v>
      </c>
      <c r="D129" s="31">
        <f>'Group Means'!E14/1000*Parameters!$D$15</f>
        <v>1.1722070015220703E-7</v>
      </c>
      <c r="E129" s="31">
        <f>'Group Means'!F14/1000*Parameters!$D$15</f>
        <v>8.342465753424657E-8</v>
      </c>
      <c r="F129" s="31">
        <f>'Group Means'!G14/1000*Parameters!$D$15</f>
        <v>1.1724627092846271E-7</v>
      </c>
      <c r="G129" s="31">
        <f>'Group Means'!H14/1000*Parameters!$D$15</f>
        <v>3.0593729071537291E-7</v>
      </c>
      <c r="H129" s="31">
        <f>'Group Means'!I14/1000*Parameters!$D$15</f>
        <v>8.6113850837138502E-8</v>
      </c>
      <c r="I129" s="31">
        <f>'Group Means'!J14/1000*Parameters!$D$15</f>
        <v>1.7050167427701673E-7</v>
      </c>
      <c r="J129" s="31">
        <f>'Group Means'!K14/1000*Parameters!$D$15</f>
        <v>4.536681887366819E-8</v>
      </c>
      <c r="K129" s="31">
        <f>'Group Means'!L14/1000*Parameters!$D$15</f>
        <v>1.0548371385083712E-7</v>
      </c>
      <c r="L129" s="31">
        <f>'Group Means'!M14/1000*Parameters!$D$15</f>
        <v>5.5279756468797562E-8</v>
      </c>
      <c r="M129" s="31">
        <f>'Group Means'!N14/1000*Parameters!$D$15</f>
        <v>9.2442617960426177E-8</v>
      </c>
      <c r="N129" s="31">
        <f>'Group Means'!O14/1000*Parameters!$D$15</f>
        <v>6.3381430745814312E-8</v>
      </c>
      <c r="O129" s="31">
        <f>'Group Means'!P14/1000*Parameters!$D$15</f>
        <v>1.0535159817351598E-7</v>
      </c>
    </row>
    <row r="130" spans="1:15" ht="15" customHeight="1" x14ac:dyDescent="0.25">
      <c r="A130" s="10" t="s">
        <v>87</v>
      </c>
      <c r="B130" s="31">
        <f>'Group Means'!C15/1000*Parameters!$D$15</f>
        <v>1.5503135464231355E-7</v>
      </c>
      <c r="C130" s="31">
        <f>'Group Means'!D15/1000*Parameters!$D$15</f>
        <v>1.7711598173515979E-7</v>
      </c>
      <c r="D130" s="31">
        <f>'Group Means'!E15/1000*Parameters!$D$15</f>
        <v>1.4721095890410961E-7</v>
      </c>
      <c r="E130" s="31">
        <f>'Group Means'!F15/1000*Parameters!$D$15</f>
        <v>1.1905327245053273E-7</v>
      </c>
      <c r="F130" s="31">
        <f>'Group Means'!G15/1000*Parameters!$D$15</f>
        <v>1.4578751902587517E-7</v>
      </c>
      <c r="G130" s="31">
        <f>'Group Means'!H15/1000*Parameters!$D$15</f>
        <v>3.8296499238964986E-7</v>
      </c>
      <c r="H130" s="31">
        <f>'Group Means'!I15/1000*Parameters!$D$15</f>
        <v>1.075421613394216E-7</v>
      </c>
      <c r="I130" s="31">
        <f>'Group Means'!J15/1000*Parameters!$D$15</f>
        <v>2.1228432267884325E-7</v>
      </c>
      <c r="J130" s="31">
        <f>'Group Means'!K15/1000*Parameters!$D$15</f>
        <v>5.7095281582952807E-8</v>
      </c>
      <c r="K130" s="31">
        <f>'Group Means'!L15/1000*Parameters!$D$15</f>
        <v>1.9631537290715373E-7</v>
      </c>
      <c r="L130" s="31">
        <f>'Group Means'!M15/1000*Parameters!$D$15</f>
        <v>9.9538508371385094E-8</v>
      </c>
      <c r="M130" s="31">
        <f>'Group Means'!N15/1000*Parameters!$D$15</f>
        <v>1.3718721461187212E-7</v>
      </c>
      <c r="N130" s="31">
        <f>'Group Means'!O15/1000*Parameters!$D$15</f>
        <v>1.1713546423135463E-7</v>
      </c>
      <c r="O130" s="31">
        <f>'Group Means'!P15/1000*Parameters!$D$15</f>
        <v>1.733400304414003E-7</v>
      </c>
    </row>
    <row r="131" spans="1:15" ht="15" customHeight="1" x14ac:dyDescent="0.25">
      <c r="A131" s="17" t="s">
        <v>44</v>
      </c>
      <c r="B131" s="31">
        <f>'Group Means'!C16/1000*Parameters!$D$15</f>
        <v>4.6267478437341454E-8</v>
      </c>
      <c r="C131" s="31">
        <f>'Group Means'!D16/1000*Parameters!$D$15</f>
        <v>9.662628107559615E-8</v>
      </c>
      <c r="D131" s="31">
        <f>'Group Means'!E16/1000*Parameters!$D$15</f>
        <v>4.8151192288178582E-8</v>
      </c>
      <c r="E131" s="31">
        <f>'Group Means'!F16/1000*Parameters!$D$15</f>
        <v>5.4957280568239474E-8</v>
      </c>
      <c r="F131" s="31">
        <f>'Group Means'!G16/1000*Parameters!$D$15</f>
        <v>1.0487569761542364E-7</v>
      </c>
      <c r="G131" s="31">
        <f>'Group Means'!H16/1000*Parameters!$D$15</f>
        <v>1.6164850329781836E-7</v>
      </c>
      <c r="H131" s="31">
        <f>'Group Means'!I16/1000*Parameters!$D$15</f>
        <v>4.4504515474378487E-8</v>
      </c>
      <c r="I131" s="31">
        <f>'Group Means'!J16/1000*Parameters!$D$15</f>
        <v>8.7676509386098413E-8</v>
      </c>
      <c r="J131" s="31">
        <f>'Group Means'!K16/1000*Parameters!$D$15</f>
        <v>1.9989244038559107E-8</v>
      </c>
      <c r="K131" s="31">
        <f>'Group Means'!L16/1000*Parameters!$D$15</f>
        <v>2.2498021308980213E-8</v>
      </c>
      <c r="L131" s="31">
        <f>'Group Means'!M16/1000*Parameters!$D$15</f>
        <v>2.2861694571283613E-8</v>
      </c>
      <c r="M131" s="31">
        <f>'Group Means'!N16/1000*Parameters!$D$15</f>
        <v>3.698244545915778E-8</v>
      </c>
      <c r="N131" s="31">
        <f>'Group Means'!O16/1000*Parameters!$D$15</f>
        <v>3.2942262810755964E-8</v>
      </c>
      <c r="O131" s="31">
        <f>'Group Means'!P16/1000*Parameters!$D$15</f>
        <v>5.2268087265347536E-8</v>
      </c>
    </row>
    <row r="132" spans="1:15" ht="15" customHeight="1" x14ac:dyDescent="0.25">
      <c r="A132" s="17" t="s">
        <v>57</v>
      </c>
      <c r="B132" s="31">
        <f>'Group Means'!C17/1000*Parameters!$D$15</f>
        <v>7.2238863521055291E-8</v>
      </c>
      <c r="C132" s="31">
        <f>'Group Means'!D17/1000*Parameters!$D$15</f>
        <v>1.0175038051750379E-7</v>
      </c>
      <c r="D132" s="31">
        <f>'Group Means'!E17/1000*Parameters!$D$15</f>
        <v>4.8490715372907154E-8</v>
      </c>
      <c r="E132" s="31">
        <f>'Group Means'!F17/1000*Parameters!$D$15</f>
        <v>5.7994520547945207E-8</v>
      </c>
      <c r="F132" s="31">
        <f>'Group Means'!G17/1000*Parameters!$D$15</f>
        <v>9.1961035007610359E-8</v>
      </c>
      <c r="G132" s="31">
        <f>'Group Means'!H17/1000*Parameters!$D$15</f>
        <v>2.2264474885844752E-7</v>
      </c>
      <c r="H132" s="31">
        <f>'Group Means'!I17/1000*Parameters!$D$15</f>
        <v>5.2921562658548954E-8</v>
      </c>
      <c r="I132" s="31">
        <f>'Group Means'!J17/1000*Parameters!$D$15</f>
        <v>1.0453617453069507E-7</v>
      </c>
      <c r="J132" s="31">
        <f>'Group Means'!K17/1000*Parameters!$D$15</f>
        <v>6.3926940639269404E-9</v>
      </c>
      <c r="K132" s="31">
        <f>'Group Means'!L17/1000*Parameters!$D$15</f>
        <v>2.908817858954845E-8</v>
      </c>
      <c r="L132" s="31">
        <f>'Group Means'!M17/1000*Parameters!$D$15</f>
        <v>1.3569558599695583E-8</v>
      </c>
      <c r="M132" s="31">
        <f>'Group Means'!N17/1000*Parameters!$D$15</f>
        <v>2.7168949771689499E-8</v>
      </c>
      <c r="N132" s="31">
        <f>'Group Means'!O17/1000*Parameters!$D$15</f>
        <v>1.2869203450025368E-8</v>
      </c>
      <c r="O132" s="31">
        <f>'Group Means'!P17/1000*Parameters!$D$15</f>
        <v>3.3381227803145605E-8</v>
      </c>
    </row>
    <row r="133" spans="1:15" ht="15" customHeight="1" x14ac:dyDescent="0.25">
      <c r="A133" s="17" t="s">
        <v>70</v>
      </c>
      <c r="B133" s="31">
        <f>'Group Means'!C18/1000*Parameters!$D$15</f>
        <v>1.2563348554033487E-7</v>
      </c>
      <c r="C133" s="31">
        <f>'Group Means'!D18/1000*Parameters!$D$15</f>
        <v>1.3989175038051749E-7</v>
      </c>
      <c r="D133" s="31">
        <f>'Group Means'!E18/1000*Parameters!$D$15</f>
        <v>9.2274703196347034E-8</v>
      </c>
      <c r="E133" s="31">
        <f>'Group Means'!F18/1000*Parameters!$D$15</f>
        <v>8.8602739726027404E-8</v>
      </c>
      <c r="F133" s="31">
        <f>'Group Means'!G18/1000*Parameters!$D$15</f>
        <v>1.1650983257229832E-7</v>
      </c>
      <c r="G133" s="31">
        <f>'Group Means'!H18/1000*Parameters!$D$15</f>
        <v>2.9646331811263316E-7</v>
      </c>
      <c r="H133" s="31">
        <f>'Group Means'!I18/1000*Parameters!$D$15</f>
        <v>9.0097777777777762E-8</v>
      </c>
      <c r="I133" s="31">
        <f>'Group Means'!J18/1000*Parameters!$D$15</f>
        <v>1.7775013698630134E-7</v>
      </c>
      <c r="J133" s="31">
        <f>'Group Means'!K18/1000*Parameters!$D$15</f>
        <v>3.9237503805175041E-8</v>
      </c>
      <c r="K133" s="31">
        <f>'Group Means'!L18/1000*Parameters!$D$15</f>
        <v>9.8012785388127841E-8</v>
      </c>
      <c r="L133" s="31">
        <f>'Group Means'!M18/1000*Parameters!$D$15</f>
        <v>4.9268066971080667E-8</v>
      </c>
      <c r="M133" s="31">
        <f>'Group Means'!N18/1000*Parameters!$D$15</f>
        <v>7.6869162861491605E-8</v>
      </c>
      <c r="N133" s="31">
        <f>'Group Means'!O18/1000*Parameters!$D$15</f>
        <v>5.3214490106544899E-8</v>
      </c>
      <c r="O133" s="31">
        <f>'Group Means'!P18/1000*Parameters!$D$15</f>
        <v>9.233522070015217E-8</v>
      </c>
    </row>
    <row r="134" spans="1:15" ht="15" customHeight="1" x14ac:dyDescent="0.25">
      <c r="A134" s="17" t="s">
        <v>127</v>
      </c>
      <c r="B134" s="31">
        <f>'Group Means'!C19/1000*Parameters!$D$15</f>
        <v>8.9426041234260421E-8</v>
      </c>
      <c r="C134" s="31">
        <f>'Group Means'!D19/1000*Parameters!$D$15</f>
        <v>1.1768988515289887E-7</v>
      </c>
      <c r="D134" s="31">
        <f>'Group Means'!E19/1000*Parameters!$D$15</f>
        <v>6.8299930814999293E-8</v>
      </c>
      <c r="E134" s="31">
        <f>'Group Means'!F19/1000*Parameters!$D$15</f>
        <v>7.1079009270790084E-8</v>
      </c>
      <c r="F134" s="31">
        <f>'Group Means'!G19/1000*Parameters!$D$15</f>
        <v>1.066417600664176E-7</v>
      </c>
      <c r="G134" s="31">
        <f>'Group Means'!H19/1000*Parameters!$D$15</f>
        <v>2.3956330427563297E-7</v>
      </c>
      <c r="H134" s="31">
        <f>'Group Means'!I19/1000*Parameters!$D$15</f>
        <v>6.752428393524285E-8</v>
      </c>
      <c r="I134" s="31">
        <f>'Group Means'!J19/1000*Parameters!$D$15</f>
        <v>1.3321715788017158E-7</v>
      </c>
      <c r="J134" s="31">
        <f>'Group Means'!K19/1000*Parameters!$D$15</f>
        <v>2.5030303030303031E-8</v>
      </c>
      <c r="K134" s="31">
        <f>'Group Means'!L19/1000*Parameters!$D$15</f>
        <v>5.8620229694202291E-8</v>
      </c>
      <c r="L134" s="31">
        <f>'Group Means'!M19/1000*Parameters!$D$15</f>
        <v>3.2330372215303723E-8</v>
      </c>
      <c r="M134" s="31">
        <f>'Group Means'!N19/1000*Parameters!$D$15</f>
        <v>5.2436363636363631E-8</v>
      </c>
      <c r="N134" s="31">
        <f>'Group Means'!O19/1000*Parameters!$D$15</f>
        <v>3.6682440846824397E-8</v>
      </c>
      <c r="O134" s="31">
        <f>'Group Means'!P19/1000*Parameters!$D$15</f>
        <v>6.5329458973294586E-8</v>
      </c>
    </row>
    <row r="137" spans="1:15" ht="15" customHeight="1" x14ac:dyDescent="0.25">
      <c r="A137" s="17" t="s">
        <v>332</v>
      </c>
    </row>
    <row r="138" spans="1:15" ht="23.25" customHeight="1" x14ac:dyDescent="0.25">
      <c r="A138" s="6" t="s">
        <v>130</v>
      </c>
      <c r="B138" s="6" t="s">
        <v>25</v>
      </c>
      <c r="C138" s="6" t="s">
        <v>26</v>
      </c>
      <c r="D138" s="6" t="s">
        <v>27</v>
      </c>
      <c r="E138" s="6" t="s">
        <v>28</v>
      </c>
      <c r="F138" s="6" t="s">
        <v>29</v>
      </c>
      <c r="G138" s="6" t="s">
        <v>30</v>
      </c>
      <c r="H138" s="6" t="s">
        <v>31</v>
      </c>
      <c r="I138" s="6" t="s">
        <v>32</v>
      </c>
      <c r="J138" s="6" t="s">
        <v>33</v>
      </c>
      <c r="K138" s="6" t="s">
        <v>34</v>
      </c>
      <c r="L138" s="6" t="s">
        <v>35</v>
      </c>
      <c r="M138" s="6" t="s">
        <v>36</v>
      </c>
      <c r="N138" s="6" t="s">
        <v>37</v>
      </c>
      <c r="O138" s="6" t="s">
        <v>38</v>
      </c>
    </row>
    <row r="139" spans="1:15" ht="15" customHeight="1" x14ac:dyDescent="0.25">
      <c r="A139" s="10" t="s">
        <v>45</v>
      </c>
      <c r="B139" s="31">
        <f>'Group Means'!C5/1000*Parameters!$D$16*Toxicity!$D$5</f>
        <v>3.0013954337899543E-9</v>
      </c>
      <c r="C139" s="31">
        <f>'Group Means'!D5/1000*Parameters!$D$16*Toxicity!$D$6</f>
        <v>6.8855963470319642E-9</v>
      </c>
      <c r="D139" s="31">
        <f>'Group Means'!E5/1000*Parameters!$D$16*Toxicity!$D$7</f>
        <v>4.0624803652968032E-9</v>
      </c>
      <c r="E139" s="31">
        <f>'Group Means'!F5/1000*Parameters!$D$16*Toxicity!$D$8</f>
        <v>4.0624803652968041E-9</v>
      </c>
      <c r="F139" s="31">
        <f>'Group Means'!G5/1000*Parameters!$D$16*Toxicity!$D$9</f>
        <v>8.7235214611872122E-9</v>
      </c>
      <c r="G139" s="31">
        <f>'Group Means'!H5/1000*Parameters!$D$16*Toxicity!$D$10</f>
        <v>1.1688759817351596E-8</v>
      </c>
      <c r="H139" s="31">
        <f>'Group Means'!I5/1000*Parameters!$D$16*Toxicity!$D$11</f>
        <v>3.6238222222222223E-9</v>
      </c>
      <c r="I139" s="31">
        <f>'Group Means'!J5/1000*Parameters!$D$16*Toxicity!$D$12</f>
        <v>7.1392925418569256E-9</v>
      </c>
      <c r="J139" s="31">
        <f>'Group Means'!K5/1000*Parameters!$D$16*Toxicity!$D$13</f>
        <v>7.1598173515981741E-10</v>
      </c>
      <c r="K139" s="31">
        <f>'Group Means'!L5/1000*Parameters!$D$16*Toxicity!$D$14</f>
        <v>7.1598173515981741E-10</v>
      </c>
      <c r="L139" s="31">
        <f>'Group Means'!M5/1000*Parameters!$D$16*Toxicity!$D$15</f>
        <v>1.7899543378995435E-9</v>
      </c>
      <c r="M139" s="31">
        <f>'Group Means'!N5/1000*Parameters!$D$16*Toxicity!$D$16</f>
        <v>3.7410045662100459E-9</v>
      </c>
      <c r="N139" s="31">
        <f>'Group Means'!O5/1000*Parameters!$D$16*Toxicity!$D$17</f>
        <v>1.7899543378995435E-9</v>
      </c>
      <c r="O139" s="31">
        <f>'Group Means'!P5/1000*Parameters!$D$16*Toxicity!$D$18</f>
        <v>7.9008584474885848E-9</v>
      </c>
    </row>
    <row r="140" spans="1:15" ht="15" customHeight="1" x14ac:dyDescent="0.25">
      <c r="A140" s="10" t="s">
        <v>49</v>
      </c>
      <c r="B140" s="31">
        <f>'Group Means'!C6/1000*Parameters!$D$16*Toxicity!$D$5</f>
        <v>5.3698630136986298E-10</v>
      </c>
      <c r="C140" s="31">
        <f>'Group Means'!D6/1000*Parameters!$D$16*Toxicity!$D$6</f>
        <v>5.0218958904109585E-9</v>
      </c>
      <c r="D140" s="31">
        <f>'Group Means'!E6/1000*Parameters!$D$16*Toxicity!$D$7</f>
        <v>5.3698630136986298E-10</v>
      </c>
      <c r="E140" s="31">
        <f>'Group Means'!F6/1000*Parameters!$D$16*Toxicity!$D$8</f>
        <v>5.3698630136986298E-10</v>
      </c>
      <c r="F140" s="31">
        <f>'Group Means'!G6/1000*Parameters!$D$16*Toxicity!$D$9</f>
        <v>7.798473059360729E-9</v>
      </c>
      <c r="G140" s="31">
        <f>'Group Means'!H6/1000*Parameters!$D$16*Toxicity!$D$10</f>
        <v>8.9522776255707754E-9</v>
      </c>
      <c r="H140" s="31">
        <f>'Group Means'!I6/1000*Parameters!$D$16*Toxicity!$D$11</f>
        <v>7.1598173515981741E-10</v>
      </c>
      <c r="I140" s="31">
        <f>'Group Means'!J6/1000*Parameters!$D$16*Toxicity!$D$12</f>
        <v>1.4104840182648402E-9</v>
      </c>
      <c r="J140" s="31">
        <f>'Group Means'!K6/1000*Parameters!$D$16*Toxicity!$D$13</f>
        <v>7.1598173515981741E-10</v>
      </c>
      <c r="K140" s="31">
        <f>'Group Means'!L6/1000*Parameters!$D$16*Toxicity!$D$14</f>
        <v>7.1598173515981741E-10</v>
      </c>
      <c r="L140" s="31">
        <f>'Group Means'!M6/1000*Parameters!$D$16*Toxicity!$D$15</f>
        <v>1.7899543378995435E-9</v>
      </c>
      <c r="M140" s="31">
        <f>'Group Means'!N6/1000*Parameters!$D$16*Toxicity!$D$16</f>
        <v>1.7899543378995435E-9</v>
      </c>
      <c r="N140" s="31">
        <f>'Group Means'!O6/1000*Parameters!$D$16*Toxicity!$D$17</f>
        <v>1.7899543378995435E-9</v>
      </c>
      <c r="O140" s="31">
        <f>'Group Means'!P6/1000*Parameters!$D$16*Toxicity!$D$18</f>
        <v>1.7899543378995435E-9</v>
      </c>
    </row>
    <row r="141" spans="1:15" ht="15" customHeight="1" x14ac:dyDescent="0.25">
      <c r="A141" s="10" t="s">
        <v>53</v>
      </c>
      <c r="B141" s="31">
        <f>'Group Means'!C7/1000*Parameters!$D$16*Toxicity!$D$5</f>
        <v>8.1210228310502271E-9</v>
      </c>
      <c r="C141" s="31">
        <f>'Group Means'!D7/1000*Parameters!$D$16*Toxicity!$D$6</f>
        <v>1.2442330593607304E-8</v>
      </c>
      <c r="D141" s="31">
        <f>'Group Means'!E7/1000*Parameters!$D$16*Toxicity!$D$7</f>
        <v>7.5346337899543382E-9</v>
      </c>
      <c r="E141" s="31">
        <f>'Group Means'!F7/1000*Parameters!$D$16*Toxicity!$D$8</f>
        <v>9.2497680365296812E-9</v>
      </c>
      <c r="F141" s="31">
        <f>'Group Means'!G7/1000*Parameters!$D$16*Toxicity!$D$9</f>
        <v>9.9066812785388139E-9</v>
      </c>
      <c r="G141" s="31">
        <f>'Group Means'!H7/1000*Parameters!$D$16*Toxicity!$D$10</f>
        <v>2.0094385388127855E-8</v>
      </c>
      <c r="H141" s="31">
        <f>'Group Means'!I7/1000*Parameters!$D$16*Toxicity!$D$11</f>
        <v>1.0613713242009133E-8</v>
      </c>
      <c r="I141" s="31">
        <f>'Group Means'!J7/1000*Parameters!$D$16*Toxicity!$D$12</f>
        <v>2.0909530593607303E-8</v>
      </c>
      <c r="J141" s="31">
        <f>'Group Means'!K7/1000*Parameters!$D$16*Toxicity!$D$13</f>
        <v>5.2844225266362251E-9</v>
      </c>
      <c r="K141" s="31">
        <f>'Group Means'!L7/1000*Parameters!$D$16*Toxicity!$D$14</f>
        <v>6.1273716894977173E-9</v>
      </c>
      <c r="L141" s="31">
        <f>'Group Means'!M7/1000*Parameters!$D$16*Toxicity!$D$15</f>
        <v>1.562391476407915E-8</v>
      </c>
      <c r="M141" s="31">
        <f>'Group Means'!N7/1000*Parameters!$D$16*Toxicity!$D$16</f>
        <v>2.5534295281582955E-8</v>
      </c>
      <c r="N141" s="31">
        <f>'Group Means'!O7/1000*Parameters!$D$16*Toxicity!$D$17</f>
        <v>2.4091592085235924E-8</v>
      </c>
      <c r="O141" s="31">
        <f>'Group Means'!P7/1000*Parameters!$D$16*Toxicity!$D$18</f>
        <v>3.4214380517503812E-8</v>
      </c>
    </row>
    <row r="142" spans="1:15" ht="15" customHeight="1" x14ac:dyDescent="0.25">
      <c r="A142" s="10" t="s">
        <v>58</v>
      </c>
      <c r="B142" s="31">
        <f>'Group Means'!C8/1000*Parameters!$D$16*Toxicity!$D$5</f>
        <v>4.6159342465753411E-9</v>
      </c>
      <c r="C142" s="31">
        <f>'Group Means'!D8/1000*Parameters!$D$16*Toxicity!$D$6</f>
        <v>6.5759342465753426E-9</v>
      </c>
      <c r="D142" s="31">
        <f>'Group Means'!E8/1000*Parameters!$D$16*Toxicity!$D$7</f>
        <v>5.3698630136986298E-10</v>
      </c>
      <c r="E142" s="31">
        <f>'Group Means'!F8/1000*Parameters!$D$16*Toxicity!$D$8</f>
        <v>5.8674703196347034E-9</v>
      </c>
      <c r="F142" s="31">
        <f>'Group Means'!G8/1000*Parameters!$D$16*Toxicity!$D$9</f>
        <v>7.032372602739725E-9</v>
      </c>
      <c r="G142" s="31">
        <f>'Group Means'!H8/1000*Parameters!$D$16*Toxicity!$D$10</f>
        <v>1.3961643835616437E-8</v>
      </c>
      <c r="H142" s="31">
        <f>'Group Means'!I8/1000*Parameters!$D$16*Toxicity!$D$11</f>
        <v>4.4386094368340942E-9</v>
      </c>
      <c r="I142" s="31">
        <f>'Group Means'!J8/1000*Parameters!$D$16*Toxicity!$D$12</f>
        <v>8.7430916286149174E-9</v>
      </c>
      <c r="J142" s="31">
        <f>'Group Means'!K8/1000*Parameters!$D$16*Toxicity!$D$13</f>
        <v>7.1598173515981741E-10</v>
      </c>
      <c r="K142" s="31">
        <f>'Group Means'!L8/1000*Parameters!$D$16*Toxicity!$D$14</f>
        <v>7.1598173515981741E-10</v>
      </c>
      <c r="L142" s="31">
        <f>'Group Means'!M8/1000*Parameters!$D$16*Toxicity!$D$15</f>
        <v>4.2290654490106543E-9</v>
      </c>
      <c r="M142" s="31">
        <f>'Group Means'!N8/1000*Parameters!$D$16*Toxicity!$D$16</f>
        <v>1.2017753424657532E-8</v>
      </c>
      <c r="N142" s="31">
        <f>'Group Means'!O8/1000*Parameters!$D$16*Toxicity!$D$17</f>
        <v>1.7899543378995435E-9</v>
      </c>
      <c r="O142" s="31">
        <f>'Group Means'!P8/1000*Parameters!$D$16*Toxicity!$D$18</f>
        <v>1.7899543378995435E-9</v>
      </c>
    </row>
    <row r="143" spans="1:15" ht="15" customHeight="1" x14ac:dyDescent="0.25">
      <c r="A143" s="10" t="s">
        <v>62</v>
      </c>
      <c r="B143" s="31">
        <f>'Group Means'!C9/1000*Parameters!$D$16*Toxicity!$D$5</f>
        <v>6.502546118721461E-9</v>
      </c>
      <c r="C143" s="31">
        <f>'Group Means'!D9/1000*Parameters!$D$16*Toxicity!$D$6</f>
        <v>9.3181442922374434E-9</v>
      </c>
      <c r="D143" s="31">
        <f>'Group Means'!E9/1000*Parameters!$D$16*Toxicity!$D$7</f>
        <v>5.3902684931506833E-9</v>
      </c>
      <c r="E143" s="31">
        <f>'Group Means'!F9/1000*Parameters!$D$16*Toxicity!$D$8</f>
        <v>3.6436310502283106E-9</v>
      </c>
      <c r="F143" s="31">
        <f>'Group Means'!G9/1000*Parameters!$D$16*Toxicity!$D$9</f>
        <v>7.9345095890410948E-9</v>
      </c>
      <c r="G143" s="31">
        <f>'Group Means'!H9/1000*Parameters!$D$16*Toxicity!$D$10</f>
        <v>2.0287342465753426E-8</v>
      </c>
      <c r="H143" s="31">
        <f>'Group Means'!I9/1000*Parameters!$D$16*Toxicity!$D$11</f>
        <v>5.7426508371385095E-9</v>
      </c>
      <c r="I143" s="31">
        <f>'Group Means'!J9/1000*Parameters!$D$16*Toxicity!$D$12</f>
        <v>1.1312988736681888E-8</v>
      </c>
      <c r="J143" s="31">
        <f>'Group Means'!K9/1000*Parameters!$D$16*Toxicity!$D$13</f>
        <v>7.1598173515981741E-10</v>
      </c>
      <c r="K143" s="31">
        <f>'Group Means'!L9/1000*Parameters!$D$16*Toxicity!$D$14</f>
        <v>4.2581820395738203E-9</v>
      </c>
      <c r="L143" s="31">
        <f>'Group Means'!M9/1000*Parameters!$D$16*Toxicity!$D$15</f>
        <v>1.7899543378995435E-9</v>
      </c>
      <c r="M143" s="31">
        <f>'Group Means'!N9/1000*Parameters!$D$16*Toxicity!$D$16</f>
        <v>9.0142100456621016E-9</v>
      </c>
      <c r="N143" s="31">
        <f>'Group Means'!O9/1000*Parameters!$D$16*Toxicity!$D$17</f>
        <v>4.244578386605785E-9</v>
      </c>
      <c r="O143" s="31">
        <f>'Group Means'!P9/1000*Parameters!$D$16*Toxicity!$D$18</f>
        <v>1.3590526636225267E-8</v>
      </c>
    </row>
    <row r="144" spans="1:15" ht="15" customHeight="1" x14ac:dyDescent="0.25">
      <c r="A144" s="10" t="s">
        <v>66</v>
      </c>
      <c r="B144" s="31">
        <f>'Group Means'!C10/1000*Parameters!$D$16*Toxicity!$D$5</f>
        <v>7.0857132420091318E-9</v>
      </c>
      <c r="C144" s="31">
        <f>'Group Means'!D10/1000*Parameters!$D$16*Toxicity!$D$6</f>
        <v>9.7470173515981767E-9</v>
      </c>
      <c r="D144" s="31">
        <f>'Group Means'!E10/1000*Parameters!$D$16*Toxicity!$D$7</f>
        <v>6.2924054794520531E-9</v>
      </c>
      <c r="E144" s="31">
        <f>'Group Means'!F10/1000*Parameters!$D$16*Toxicity!$D$8</f>
        <v>5.1035178082191775E-9</v>
      </c>
      <c r="F144" s="31">
        <f>'Group Means'!G10/1000*Parameters!$D$16*Toxicity!$D$9</f>
        <v>8.2072986301369868E-9</v>
      </c>
      <c r="G144" s="31">
        <f>'Group Means'!H10/1000*Parameters!$D$16*Toxicity!$D$10</f>
        <v>2.1857490410958905E-8</v>
      </c>
      <c r="H144" s="31">
        <f>'Group Means'!I10/1000*Parameters!$D$16*Toxicity!$D$11</f>
        <v>7.600384779299847E-9</v>
      </c>
      <c r="I144" s="31">
        <f>'Group Means'!J10/1000*Parameters!$D$16*Toxicity!$D$12</f>
        <v>1.5068074277016746E-8</v>
      </c>
      <c r="J144" s="31">
        <f>'Group Means'!K10/1000*Parameters!$D$16*Toxicity!$D$13</f>
        <v>7.1598173515981741E-10</v>
      </c>
      <c r="K144" s="31">
        <f>'Group Means'!L10/1000*Parameters!$D$16*Toxicity!$D$14</f>
        <v>4.7994642313546422E-9</v>
      </c>
      <c r="L144" s="31">
        <f>'Group Means'!M10/1000*Parameters!$D$16*Toxicity!$D$15</f>
        <v>5.379409436834095E-9</v>
      </c>
      <c r="M144" s="31">
        <f>'Group Means'!N10/1000*Parameters!$D$16*Toxicity!$D$16</f>
        <v>1.7899543378995435E-9</v>
      </c>
      <c r="N144" s="31">
        <f>'Group Means'!O10/1000*Parameters!$D$16*Toxicity!$D$17</f>
        <v>4.7755981735159815E-9</v>
      </c>
      <c r="O144" s="31">
        <f>'Group Means'!P10/1000*Parameters!$D$16*Toxicity!$D$18</f>
        <v>1.2659750380517505E-8</v>
      </c>
    </row>
    <row r="145" spans="1:19" ht="15" customHeight="1" x14ac:dyDescent="0.25">
      <c r="A145" s="10" t="s">
        <v>71</v>
      </c>
      <c r="B145" s="31">
        <f>'Group Means'!C11/1000*Parameters!$D$16*Toxicity!$D$5</f>
        <v>8.9662392694063934E-9</v>
      </c>
      <c r="C145" s="31">
        <f>'Group Means'!D11/1000*Parameters!$D$16*Toxicity!$D$6</f>
        <v>9.5794776255707759E-9</v>
      </c>
      <c r="D145" s="31">
        <f>'Group Means'!E11/1000*Parameters!$D$16*Toxicity!$D$7</f>
        <v>5.3698630136986298E-10</v>
      </c>
      <c r="E145" s="31">
        <f>'Group Means'!F11/1000*Parameters!$D$16*Toxicity!$D$8</f>
        <v>5.3942063926940635E-9</v>
      </c>
      <c r="F145" s="31">
        <f>'Group Means'!G11/1000*Parameters!$D$16*Toxicity!$D$9</f>
        <v>8.1611178082191765E-9</v>
      </c>
      <c r="G145" s="31">
        <f>'Group Means'!H11/1000*Parameters!$D$16*Toxicity!$D$10</f>
        <v>2.1351291324200915E-8</v>
      </c>
      <c r="H145" s="31">
        <f>'Group Means'!I11/1000*Parameters!$D$16*Toxicity!$D$11</f>
        <v>9.7216000000000025E-9</v>
      </c>
      <c r="I145" s="31">
        <f>'Group Means'!J11/1000*Parameters!$D$16*Toxicity!$D$12</f>
        <v>1.9151556773211567E-8</v>
      </c>
      <c r="J145" s="31">
        <f>'Group Means'!K11/1000*Parameters!$D$16*Toxicity!$D$13</f>
        <v>3.9226252663622523E-9</v>
      </c>
      <c r="K145" s="31">
        <f>'Group Means'!L11/1000*Parameters!$D$16*Toxicity!$D$14</f>
        <v>4.572736681887367E-9</v>
      </c>
      <c r="L145" s="31">
        <f>'Group Means'!M11/1000*Parameters!$D$16*Toxicity!$D$15</f>
        <v>6.1980152207001528E-9</v>
      </c>
      <c r="M145" s="31">
        <f>'Group Means'!N11/1000*Parameters!$D$16*Toxicity!$D$16</f>
        <v>1.3212249619482499E-8</v>
      </c>
      <c r="N145" s="31">
        <f>'Group Means'!O11/1000*Parameters!$D$16*Toxicity!$D$17</f>
        <v>1.7899543378995435E-9</v>
      </c>
      <c r="O145" s="31">
        <f>'Group Means'!P11/1000*Parameters!$D$16*Toxicity!$D$18</f>
        <v>1.1354277016742772E-8</v>
      </c>
    </row>
    <row r="146" spans="1:19" ht="15" customHeight="1" x14ac:dyDescent="0.25">
      <c r="A146" s="10" t="s">
        <v>75</v>
      </c>
      <c r="B146" s="31">
        <f>'Group Means'!C12/1000*Parameters!$D$16*Toxicity!$D$5</f>
        <v>9.8991634703196337E-9</v>
      </c>
      <c r="C146" s="31">
        <f>'Group Means'!D12/1000*Parameters!$D$16*Toxicity!$D$6</f>
        <v>9.3614611872146117E-9</v>
      </c>
      <c r="D146" s="31">
        <f>'Group Means'!E12/1000*Parameters!$D$16*Toxicity!$D$7</f>
        <v>9.1477406392694039E-9</v>
      </c>
      <c r="E146" s="31">
        <f>'Group Means'!F12/1000*Parameters!$D$16*Toxicity!$D$8</f>
        <v>5.5087634703196344E-9</v>
      </c>
      <c r="F146" s="31">
        <f>'Group Means'!G12/1000*Parameters!$D$16*Toxicity!$D$9</f>
        <v>8.7324712328767134E-9</v>
      </c>
      <c r="G146" s="31">
        <f>'Group Means'!H12/1000*Parameters!$D$16*Toxicity!$D$10</f>
        <v>2.2495072146118723E-8</v>
      </c>
      <c r="H146" s="31">
        <f>'Group Means'!I12/1000*Parameters!$D$16*Toxicity!$D$11</f>
        <v>8.3621893455098939E-9</v>
      </c>
      <c r="I146" s="31">
        <f>'Group Means'!J12/1000*Parameters!$D$16*Toxicity!$D$12</f>
        <v>1.6472830441400307E-8</v>
      </c>
      <c r="J146" s="31">
        <f>'Group Means'!K12/1000*Parameters!$D$16*Toxicity!$D$13</f>
        <v>3.336474885844749E-9</v>
      </c>
      <c r="K146" s="31">
        <f>'Group Means'!L12/1000*Parameters!$D$16*Toxicity!$D$14</f>
        <v>7.8552742770167433E-9</v>
      </c>
      <c r="L146" s="31">
        <f>'Group Means'!M12/1000*Parameters!$D$16*Toxicity!$D$15</f>
        <v>7.5046818873668191E-9</v>
      </c>
      <c r="M146" s="31">
        <f>'Group Means'!N12/1000*Parameters!$D$16*Toxicity!$D$16</f>
        <v>1.3474776255707763E-8</v>
      </c>
      <c r="N146" s="31">
        <f>'Group Means'!O12/1000*Parameters!$D$16*Toxicity!$D$17</f>
        <v>1.1906776255707762E-8</v>
      </c>
      <c r="O146" s="31">
        <f>'Group Means'!P12/1000*Parameters!$D$16*Toxicity!$D$18</f>
        <v>2.05248097412481E-8</v>
      </c>
    </row>
    <row r="147" spans="1:19" ht="15" customHeight="1" x14ac:dyDescent="0.25">
      <c r="A147" s="10" t="s">
        <v>79</v>
      </c>
      <c r="B147" s="31">
        <f>'Group Means'!C13/1000*Parameters!$D$16*Toxicity!$D$5</f>
        <v>1.0155484931506849E-8</v>
      </c>
      <c r="C147" s="31">
        <f>'Group Means'!D13/1000*Parameters!$D$16*Toxicity!$D$6</f>
        <v>1.0776957077625569E-8</v>
      </c>
      <c r="D147" s="31">
        <f>'Group Means'!E13/1000*Parameters!$D$16*Toxicity!$D$7</f>
        <v>6.8583890410958904E-9</v>
      </c>
      <c r="E147" s="31">
        <f>'Group Means'!F13/1000*Parameters!$D$16*Toxicity!$D$8</f>
        <v>9.3020347031963473E-9</v>
      </c>
      <c r="F147" s="31">
        <f>'Group Means'!G13/1000*Parameters!$D$16*Toxicity!$D$9</f>
        <v>9.9457022831050242E-9</v>
      </c>
      <c r="G147" s="31">
        <f>'Group Means'!H13/1000*Parameters!$D$16*Toxicity!$D$10</f>
        <v>2.280043835616438E-8</v>
      </c>
      <c r="H147" s="31">
        <f>'Group Means'!I13/1000*Parameters!$D$16*Toxicity!$D$11</f>
        <v>1.0681492846270928E-8</v>
      </c>
      <c r="I147" s="31">
        <f>'Group Means'!J13/1000*Parameters!$D$16*Toxicity!$D$12</f>
        <v>2.1043657838660579E-8</v>
      </c>
      <c r="J147" s="31">
        <f>'Group Means'!K13/1000*Parameters!$D$16*Toxicity!$D$13</f>
        <v>3.2381467275494677E-9</v>
      </c>
      <c r="K147" s="31">
        <f>'Group Means'!L13/1000*Parameters!$D$16*Toxicity!$D$14</f>
        <v>8.6576511415525116E-9</v>
      </c>
      <c r="L147" s="31">
        <f>'Group Means'!M13/1000*Parameters!$D$16*Toxicity!$D$15</f>
        <v>1.1923482496194827E-8</v>
      </c>
      <c r="M147" s="31">
        <f>'Group Means'!N13/1000*Parameters!$D$16*Toxicity!$D$16</f>
        <v>1.6633449010654495E-8</v>
      </c>
      <c r="N147" s="31">
        <f>'Group Means'!O13/1000*Parameters!$D$16*Toxicity!$D$17</f>
        <v>1.0258824961948252E-8</v>
      </c>
      <c r="O147" s="31">
        <f>'Group Means'!P13/1000*Parameters!$D$16*Toxicity!$D$18</f>
        <v>1.9356566210045665E-8</v>
      </c>
    </row>
    <row r="148" spans="1:19" ht="15" customHeight="1" x14ac:dyDescent="0.25">
      <c r="A148" s="10" t="s">
        <v>83</v>
      </c>
      <c r="B148" s="31">
        <f>'Group Means'!C14/1000*Parameters!$D$16*Toxicity!$D$5</f>
        <v>1.0722542465753425E-8</v>
      </c>
      <c r="C148" s="31">
        <f>'Group Means'!D14/1000*Parameters!$D$16*Toxicity!$D$6</f>
        <v>1.4158896803652967E-8</v>
      </c>
      <c r="D148" s="31">
        <f>'Group Means'!E14/1000*Parameters!$D$16*Toxicity!$D$7</f>
        <v>9.8465388127853906E-9</v>
      </c>
      <c r="E148" s="31">
        <f>'Group Means'!F14/1000*Parameters!$D$16*Toxicity!$D$8</f>
        <v>7.007671232876712E-9</v>
      </c>
      <c r="F148" s="31">
        <f>'Group Means'!G14/1000*Parameters!$D$16*Toxicity!$D$9</f>
        <v>9.8486867579908687E-9</v>
      </c>
      <c r="G148" s="31">
        <f>'Group Means'!H14/1000*Parameters!$D$16*Toxicity!$D$10</f>
        <v>2.5698732420091325E-8</v>
      </c>
      <c r="H148" s="31">
        <f>'Group Means'!I14/1000*Parameters!$D$16*Toxicity!$D$11</f>
        <v>9.6447512937595127E-9</v>
      </c>
      <c r="I148" s="31">
        <f>'Group Means'!J14/1000*Parameters!$D$16*Toxicity!$D$12</f>
        <v>1.9096187519025875E-8</v>
      </c>
      <c r="J148" s="31">
        <f>'Group Means'!K14/1000*Parameters!$D$16*Toxicity!$D$13</f>
        <v>5.0810837138508378E-9</v>
      </c>
      <c r="K148" s="31">
        <f>'Group Means'!L14/1000*Parameters!$D$16*Toxicity!$D$14</f>
        <v>1.1814175951293758E-8</v>
      </c>
      <c r="L148" s="31">
        <f>'Group Means'!M14/1000*Parameters!$D$16*Toxicity!$D$15</f>
        <v>1.5478331811263319E-8</v>
      </c>
      <c r="M148" s="31">
        <f>'Group Means'!N14/1000*Parameters!$D$16*Toxicity!$D$16</f>
        <v>2.5883933028919333E-8</v>
      </c>
      <c r="N148" s="31">
        <f>'Group Means'!O14/1000*Parameters!$D$16*Toxicity!$D$17</f>
        <v>1.7746800608828005E-8</v>
      </c>
      <c r="O148" s="31">
        <f>'Group Means'!P14/1000*Parameters!$D$16*Toxicity!$D$18</f>
        <v>2.949844748858448E-8</v>
      </c>
    </row>
    <row r="149" spans="1:19" ht="15" customHeight="1" x14ac:dyDescent="0.25">
      <c r="A149" s="10" t="s">
        <v>87</v>
      </c>
      <c r="B149" s="31">
        <f>'Group Means'!C15/1000*Parameters!$D$16*Toxicity!$D$5</f>
        <v>1.3022633789954339E-8</v>
      </c>
      <c r="C149" s="31">
        <f>'Group Means'!D15/1000*Parameters!$D$16*Toxicity!$D$6</f>
        <v>1.4877742465753422E-8</v>
      </c>
      <c r="D149" s="31">
        <f>'Group Means'!E15/1000*Parameters!$D$16*Toxicity!$D$7</f>
        <v>1.2365720547945206E-8</v>
      </c>
      <c r="E149" s="31">
        <f>'Group Means'!F15/1000*Parameters!$D$16*Toxicity!$D$8</f>
        <v>1.000047488584475E-8</v>
      </c>
      <c r="F149" s="31">
        <f>'Group Means'!G15/1000*Parameters!$D$16*Toxicity!$D$9</f>
        <v>1.2246151598173517E-8</v>
      </c>
      <c r="G149" s="31">
        <f>'Group Means'!H15/1000*Parameters!$D$16*Toxicity!$D$10</f>
        <v>3.2169059360730591E-8</v>
      </c>
      <c r="H149" s="31">
        <f>'Group Means'!I15/1000*Parameters!$D$16*Toxicity!$D$11</f>
        <v>1.2044722070015221E-8</v>
      </c>
      <c r="I149" s="31">
        <f>'Group Means'!J15/1000*Parameters!$D$16*Toxicity!$D$12</f>
        <v>2.3775844140030445E-8</v>
      </c>
      <c r="J149" s="31">
        <f>'Group Means'!K15/1000*Parameters!$D$16*Toxicity!$D$13</f>
        <v>6.3946715372907147E-9</v>
      </c>
      <c r="K149" s="31">
        <f>'Group Means'!L15/1000*Parameters!$D$16*Toxicity!$D$14</f>
        <v>2.1987321765601218E-8</v>
      </c>
      <c r="L149" s="31">
        <f>'Group Means'!M15/1000*Parameters!$D$16*Toxicity!$D$15</f>
        <v>2.7870782343987827E-8</v>
      </c>
      <c r="M149" s="31">
        <f>'Group Means'!N15/1000*Parameters!$D$16*Toxicity!$D$16</f>
        <v>3.8412420091324196E-8</v>
      </c>
      <c r="N149" s="31">
        <f>'Group Means'!O15/1000*Parameters!$D$16*Toxicity!$D$17</f>
        <v>3.2797929984779299E-8</v>
      </c>
      <c r="O149" s="31">
        <f>'Group Means'!P15/1000*Parameters!$D$16*Toxicity!$D$18</f>
        <v>4.8535208523592091E-8</v>
      </c>
    </row>
    <row r="150" spans="1:19" ht="15" customHeight="1" x14ac:dyDescent="0.25">
      <c r="A150" s="17" t="s">
        <v>44</v>
      </c>
      <c r="B150" s="31">
        <f>'Group Means'!C16/1000*Parameters!$D$16*Toxicity!$D$5</f>
        <v>3.8864681887366823E-9</v>
      </c>
      <c r="C150" s="31">
        <f>'Group Means'!D16/1000*Parameters!$D$16*Toxicity!$D$6</f>
        <v>8.1166076103500774E-9</v>
      </c>
      <c r="D150" s="31">
        <f>'Group Means'!E16/1000*Parameters!$D$16*Toxicity!$D$7</f>
        <v>4.044700152207001E-9</v>
      </c>
      <c r="E150" s="31">
        <f>'Group Means'!F16/1000*Parameters!$D$16*Toxicity!$D$8</f>
        <v>4.6164115677321164E-9</v>
      </c>
      <c r="F150" s="31">
        <f>'Group Means'!G16/1000*Parameters!$D$16*Toxicity!$D$9</f>
        <v>8.809558599695585E-9</v>
      </c>
      <c r="G150" s="31">
        <f>'Group Means'!H16/1000*Parameters!$D$16*Toxicity!$D$10</f>
        <v>1.3578474277016744E-8</v>
      </c>
      <c r="H150" s="31">
        <f>'Group Means'!I16/1000*Parameters!$D$16*Toxicity!$D$11</f>
        <v>4.9845057331303918E-9</v>
      </c>
      <c r="I150" s="31">
        <f>'Group Means'!J16/1000*Parameters!$D$16*Toxicity!$D$12</f>
        <v>9.8197690512430237E-9</v>
      </c>
      <c r="J150" s="31">
        <f>'Group Means'!K16/1000*Parameters!$D$16*Toxicity!$D$13</f>
        <v>2.2387953323186202E-9</v>
      </c>
      <c r="K150" s="31">
        <f>'Group Means'!L16/1000*Parameters!$D$16*Toxicity!$D$14</f>
        <v>2.5197783866057841E-9</v>
      </c>
      <c r="L150" s="31">
        <f>'Group Means'!M16/1000*Parameters!$D$16*Toxicity!$D$15</f>
        <v>6.4012744799594118E-9</v>
      </c>
      <c r="M150" s="31">
        <f>'Group Means'!N16/1000*Parameters!$D$16*Toxicity!$D$16</f>
        <v>1.0355084728564181E-8</v>
      </c>
      <c r="N150" s="31">
        <f>'Group Means'!O16/1000*Parameters!$D$16*Toxicity!$D$17</f>
        <v>9.2238335870116715E-9</v>
      </c>
      <c r="O150" s="31">
        <f>'Group Means'!P16/1000*Parameters!$D$16*Toxicity!$D$18</f>
        <v>1.4635064434297311E-8</v>
      </c>
    </row>
    <row r="151" spans="1:19" ht="15" customHeight="1" x14ac:dyDescent="0.25">
      <c r="A151" s="17" t="s">
        <v>57</v>
      </c>
      <c r="B151" s="31">
        <f>'Group Means'!C17/1000*Parameters!$D$16*Toxicity!$D$5</f>
        <v>6.0680645357686455E-9</v>
      </c>
      <c r="C151" s="31">
        <f>'Group Means'!D17/1000*Parameters!$D$16*Toxicity!$D$6</f>
        <v>8.5470319634703184E-9</v>
      </c>
      <c r="D151" s="31">
        <f>'Group Means'!E17/1000*Parameters!$D$16*Toxicity!$D$7</f>
        <v>4.0732200913242015E-9</v>
      </c>
      <c r="E151" s="31">
        <f>'Group Means'!F17/1000*Parameters!$D$16*Toxicity!$D$8</f>
        <v>4.871539726027397E-9</v>
      </c>
      <c r="F151" s="31">
        <f>'Group Means'!G17/1000*Parameters!$D$16*Toxicity!$D$9</f>
        <v>7.7247269406392697E-9</v>
      </c>
      <c r="G151" s="31">
        <f>'Group Means'!H17/1000*Parameters!$D$16*Toxicity!$D$10</f>
        <v>1.8702158904109592E-8</v>
      </c>
      <c r="H151" s="31">
        <f>'Group Means'!I17/1000*Parameters!$D$16*Toxicity!$D$11</f>
        <v>5.9272150177574839E-9</v>
      </c>
      <c r="I151" s="31">
        <f>'Group Means'!J17/1000*Parameters!$D$16*Toxicity!$D$12</f>
        <v>1.1708051547437848E-8</v>
      </c>
      <c r="J151" s="31">
        <f>'Group Means'!K17/1000*Parameters!$D$16*Toxicity!$D$13</f>
        <v>7.1598173515981741E-10</v>
      </c>
      <c r="K151" s="31">
        <f>'Group Means'!L17/1000*Parameters!$D$16*Toxicity!$D$14</f>
        <v>3.2578760020294267E-9</v>
      </c>
      <c r="L151" s="31">
        <f>'Group Means'!M17/1000*Parameters!$D$16*Toxicity!$D$15</f>
        <v>3.7994764079147638E-9</v>
      </c>
      <c r="M151" s="31">
        <f>'Group Means'!N17/1000*Parameters!$D$16*Toxicity!$D$16</f>
        <v>7.6073059360730601E-9</v>
      </c>
      <c r="N151" s="31">
        <f>'Group Means'!O17/1000*Parameters!$D$16*Toxicity!$D$17</f>
        <v>3.603376966007104E-9</v>
      </c>
      <c r="O151" s="31">
        <f>'Group Means'!P17/1000*Parameters!$D$16*Toxicity!$D$18</f>
        <v>9.3467437848807716E-9</v>
      </c>
    </row>
    <row r="152" spans="1:19" ht="15" customHeight="1" x14ac:dyDescent="0.25">
      <c r="A152" s="17" t="s">
        <v>70</v>
      </c>
      <c r="B152" s="31">
        <f>'Group Means'!C18/1000*Parameters!$D$16*Toxicity!$D$5</f>
        <v>1.0553212785388129E-8</v>
      </c>
      <c r="C152" s="31">
        <f>'Group Means'!D18/1000*Parameters!$D$16*Toxicity!$D$6</f>
        <v>1.1750907031963469E-8</v>
      </c>
      <c r="D152" s="31">
        <f>'Group Means'!E18/1000*Parameters!$D$16*Toxicity!$D$7</f>
        <v>7.7510750684931522E-9</v>
      </c>
      <c r="E152" s="31">
        <f>'Group Means'!F18/1000*Parameters!$D$16*Toxicity!$D$8</f>
        <v>7.442630136986302E-9</v>
      </c>
      <c r="F152" s="31">
        <f>'Group Means'!G18/1000*Parameters!$D$16*Toxicity!$D$9</f>
        <v>9.786825936073058E-9</v>
      </c>
      <c r="G152" s="31">
        <f>'Group Means'!H18/1000*Parameters!$D$16*Toxicity!$D$10</f>
        <v>2.4902918721461188E-8</v>
      </c>
      <c r="H152" s="31">
        <f>'Group Means'!I18/1000*Parameters!$D$16*Toxicity!$D$11</f>
        <v>1.009095111111111E-8</v>
      </c>
      <c r="I152" s="31">
        <f>'Group Means'!J18/1000*Parameters!$D$16*Toxicity!$D$12</f>
        <v>1.9908015342465754E-8</v>
      </c>
      <c r="J152" s="31">
        <f>'Group Means'!K18/1000*Parameters!$D$16*Toxicity!$D$13</f>
        <v>4.3946004261796053E-9</v>
      </c>
      <c r="K152" s="31">
        <f>'Group Means'!L18/1000*Parameters!$D$16*Toxicity!$D$14</f>
        <v>1.0977431963470318E-8</v>
      </c>
      <c r="L152" s="31">
        <f>'Group Means'!M18/1000*Parameters!$D$16*Toxicity!$D$15</f>
        <v>1.3795058751902588E-8</v>
      </c>
      <c r="M152" s="31">
        <f>'Group Means'!N18/1000*Parameters!$D$16*Toxicity!$D$16</f>
        <v>2.1523365601217651E-8</v>
      </c>
      <c r="N152" s="31">
        <f>'Group Means'!O18/1000*Parameters!$D$16*Toxicity!$D$17</f>
        <v>1.4900057229832573E-8</v>
      </c>
      <c r="O152" s="31">
        <f>'Group Means'!P18/1000*Parameters!$D$16*Toxicity!$D$18</f>
        <v>2.5853861796042609E-8</v>
      </c>
    </row>
    <row r="153" spans="1:19" ht="15" customHeight="1" x14ac:dyDescent="0.25">
      <c r="A153" s="17" t="s">
        <v>127</v>
      </c>
      <c r="B153" s="31">
        <f>'Group Means'!C19/1000*Parameters!$D$16*Toxicity!$D$5</f>
        <v>7.5117874636778754E-9</v>
      </c>
      <c r="C153" s="31">
        <f>'Group Means'!D19/1000*Parameters!$D$16*Toxicity!$D$6</f>
        <v>9.885950352843506E-9</v>
      </c>
      <c r="D153" s="31">
        <f>'Group Means'!E19/1000*Parameters!$D$16*Toxicity!$D$7</f>
        <v>5.7371941884599415E-9</v>
      </c>
      <c r="E153" s="31">
        <f>'Group Means'!F19/1000*Parameters!$D$16*Toxicity!$D$8</f>
        <v>5.9706367787463669E-9</v>
      </c>
      <c r="F153" s="31">
        <f>'Group Means'!G19/1000*Parameters!$D$16*Toxicity!$D$9</f>
        <v>8.9579078455790797E-9</v>
      </c>
      <c r="G153" s="31">
        <f>'Group Means'!H19/1000*Parameters!$D$16*Toxicity!$D$10</f>
        <v>2.0123317559153169E-8</v>
      </c>
      <c r="H153" s="31">
        <f>'Group Means'!I19/1000*Parameters!$D$16*Toxicity!$D$11</f>
        <v>7.5627198007472002E-9</v>
      </c>
      <c r="I153" s="31">
        <f>'Group Means'!J19/1000*Parameters!$D$16*Toxicity!$D$12</f>
        <v>1.4920321682579218E-8</v>
      </c>
      <c r="J153" s="31">
        <f>'Group Means'!K19/1000*Parameters!$D$16*Toxicity!$D$13</f>
        <v>2.8033939393939396E-9</v>
      </c>
      <c r="K153" s="31">
        <f>'Group Means'!L19/1000*Parameters!$D$16*Toxicity!$D$14</f>
        <v>6.5654657257506577E-9</v>
      </c>
      <c r="L153" s="31">
        <f>'Group Means'!M19/1000*Parameters!$D$16*Toxicity!$D$15</f>
        <v>9.0525042202850436E-9</v>
      </c>
      <c r="M153" s="31">
        <f>'Group Means'!N19/1000*Parameters!$D$16*Toxicity!$D$16</f>
        <v>1.4682181818181816E-8</v>
      </c>
      <c r="N153" s="31">
        <f>'Group Means'!O19/1000*Parameters!$D$16*Toxicity!$D$17</f>
        <v>1.0271083437110833E-8</v>
      </c>
      <c r="O153" s="31">
        <f>'Group Means'!P19/1000*Parameters!$D$16*Toxicity!$D$18</f>
        <v>1.8292248512522486E-8</v>
      </c>
    </row>
    <row r="156" spans="1:19" ht="15" customHeight="1" x14ac:dyDescent="0.25">
      <c r="A156" s="17" t="s">
        <v>333</v>
      </c>
    </row>
    <row r="157" spans="1:19" ht="23.25" customHeight="1" x14ac:dyDescent="0.25">
      <c r="A157" s="6" t="s">
        <v>130</v>
      </c>
      <c r="B157" s="6" t="s">
        <v>25</v>
      </c>
      <c r="C157" s="6" t="s">
        <v>26</v>
      </c>
      <c r="D157" s="6" t="s">
        <v>27</v>
      </c>
      <c r="E157" s="6" t="s">
        <v>28</v>
      </c>
      <c r="F157" s="6" t="s">
        <v>29</v>
      </c>
      <c r="G157" s="6" t="s">
        <v>30</v>
      </c>
      <c r="H157" s="6" t="s">
        <v>31</v>
      </c>
      <c r="I157" s="6" t="s">
        <v>32</v>
      </c>
      <c r="J157" s="6" t="s">
        <v>33</v>
      </c>
      <c r="K157" s="6" t="s">
        <v>34</v>
      </c>
      <c r="L157" s="6" t="s">
        <v>35</v>
      </c>
      <c r="M157" s="6" t="s">
        <v>36</v>
      </c>
      <c r="N157" s="6" t="s">
        <v>37</v>
      </c>
      <c r="O157" s="6" t="s">
        <v>38</v>
      </c>
      <c r="P157" s="6" t="s">
        <v>320</v>
      </c>
      <c r="Q157" s="6" t="s">
        <v>321</v>
      </c>
      <c r="R157" s="6" t="s">
        <v>322</v>
      </c>
      <c r="S157" s="6" t="s">
        <v>323</v>
      </c>
    </row>
    <row r="158" spans="1:19" ht="15" customHeight="1" x14ac:dyDescent="0.25">
      <c r="A158" s="10" t="s">
        <v>45</v>
      </c>
      <c r="B158" s="31">
        <f>(B120+B139)/Toxicity!$B$5</f>
        <v>7.7464586910197867E-5</v>
      </c>
      <c r="C158" s="31">
        <f>(C120+C139)/Toxicity!$B$6</f>
        <v>1.7771396286149165E-4</v>
      </c>
      <c r="D158" s="31">
        <f>(D120+D139)/Toxicity!$B$7</f>
        <v>1.0485068371385082E-4</v>
      </c>
      <c r="E158" s="31">
        <f>(E120+E139)/Toxicity!$B$8</f>
        <v>1.0485068371385085E-4</v>
      </c>
      <c r="F158" s="31">
        <f>(F120+F139)/Toxicity!$B$9</f>
        <v>2.2514993485540328E-4</v>
      </c>
      <c r="G158" s="31">
        <f>(G120+G139)/Toxicity!$B$10</f>
        <v>3.0168132480974116E-4</v>
      </c>
      <c r="H158" s="31">
        <f>(H120+H139)/Toxicity!$B$11</f>
        <v>1.1993125925925924E-4</v>
      </c>
      <c r="I158" s="31">
        <f>(I120+I139)/Toxicity!$B$12</f>
        <v>2.3627658650431254E-4</v>
      </c>
      <c r="J158" s="31">
        <f>(J120+J139)/Toxicity!$B$13</f>
        <v>2.3695585996955861E-5</v>
      </c>
      <c r="K158" s="31">
        <f>(K120+K139)/Toxicity!$B$14</f>
        <v>2.3695585996955861E-5</v>
      </c>
      <c r="L158" s="31">
        <f>(L120+L139)/Toxicity!$B$15</f>
        <v>2.7275494672754949E-4</v>
      </c>
      <c r="M158" s="31">
        <f>(M120+M139)/Toxicity!$B$16</f>
        <v>3.4203470319634698E-4</v>
      </c>
      <c r="N158" s="31">
        <f>(N120+N139)/Toxicity!$B$17</f>
        <v>1.6365296803652968E-5</v>
      </c>
      <c r="O158" s="31">
        <f>(O120+O139)/Toxicity!$B$18</f>
        <v>2.7783238496663157E-3</v>
      </c>
      <c r="P158" s="31">
        <f>B120/Toxicity!$B$5+C120/Toxicity!$B$6+D120/Toxicity!$B$7+E120/Toxicity!$B$8+F120/Toxicity!$B$9+G120/Toxicity!$B$10+H120/Toxicity!$B$11+I120/Toxicity!$B$12+J120/Toxicity!$B$13+K120/Toxicity!$B$14+L120/Toxicity!$B$15+M120/Toxicity!$B$16+N120/Toxicity!$B$17+O120/Toxicity!$B$18</f>
        <v>3.9414667759434877E-3</v>
      </c>
      <c r="Q158" s="31">
        <f>B139/Toxicity!$B$5+C139/Toxicity!$B$6+D139/Toxicity!$B$7+E139/Toxicity!$B$8+F139/Toxicity!$B$9+G139/Toxicity!$B$10+H139/Toxicity!$B$11+I139/Toxicity!$B$12+J139/Toxicity!$B$13+K139/Toxicity!$B$14+L139/Toxicity!$B$15+M139/Toxicity!$B$16+N139/Toxicity!$B$17+O139/Toxicity!$B$18</f>
        <v>8.6332221507239601E-4</v>
      </c>
      <c r="R158" s="32">
        <f t="shared" ref="R158:R172" si="4">SUM(B158:O158)</f>
        <v>4.8047889910158839E-3</v>
      </c>
      <c r="S158" s="15" t="str">
        <f t="shared" ref="S158:S172" si="5">IF(R158&lt;1,"Yes — no appreciable hazard","No — hazard")</f>
        <v>Yes — no appreciable hazard</v>
      </c>
    </row>
    <row r="159" spans="1:19" ht="15" customHeight="1" x14ac:dyDescent="0.25">
      <c r="A159" s="10" t="s">
        <v>49</v>
      </c>
      <c r="B159" s="31">
        <f>(B121+B140)/Toxicity!$B$5</f>
        <v>1.3859360730593607E-5</v>
      </c>
      <c r="C159" s="31">
        <f>(C121+C140)/Toxicity!$B$6</f>
        <v>1.296127415525114E-4</v>
      </c>
      <c r="D159" s="31">
        <f>(D121+D140)/Toxicity!$B$7</f>
        <v>1.3859360730593607E-5</v>
      </c>
      <c r="E159" s="31">
        <f>(E121+E140)/Toxicity!$B$8</f>
        <v>1.3859360730593607E-5</v>
      </c>
      <c r="F159" s="31">
        <f>(F121+F140)/Toxicity!$B$9</f>
        <v>2.0127487610350074E-4</v>
      </c>
      <c r="G159" s="31">
        <f>(G121+G140)/Toxicity!$B$10</f>
        <v>2.310540225266362E-4</v>
      </c>
      <c r="H159" s="31">
        <f>(H121+H140)/Toxicity!$B$11</f>
        <v>2.3695585996955861E-5</v>
      </c>
      <c r="I159" s="31">
        <f>(I121+I140)/Toxicity!$B$12</f>
        <v>4.6680304414003045E-5</v>
      </c>
      <c r="J159" s="31">
        <f>(J121+J140)/Toxicity!$B$13</f>
        <v>2.3695585996955861E-5</v>
      </c>
      <c r="K159" s="31">
        <f>(K121+K140)/Toxicity!$B$14</f>
        <v>2.3695585996955861E-5</v>
      </c>
      <c r="L159" s="31">
        <f>(L121+L140)/Toxicity!$B$15</f>
        <v>2.7275494672754949E-4</v>
      </c>
      <c r="M159" s="31">
        <f>(M121+M140)/Toxicity!$B$16</f>
        <v>1.6365296803652968E-4</v>
      </c>
      <c r="N159" s="31">
        <f>(N121+N140)/Toxicity!$B$17</f>
        <v>1.6365296803652968E-5</v>
      </c>
      <c r="O159" s="31">
        <f>(O121+O140)/Toxicity!$B$18</f>
        <v>6.2943449244819117E-4</v>
      </c>
      <c r="P159" s="31">
        <f>B121/Toxicity!$B$5+C121/Toxicity!$B$6+D121/Toxicity!$B$7+E121/Toxicity!$B$8+F121/Toxicity!$B$9+G121/Toxicity!$B$10+H121/Toxicity!$B$11+I121/Toxicity!$B$12+J121/Toxicity!$B$13+K121/Toxicity!$B$14+L121/Toxicity!$B$15+M121/Toxicity!$B$16+N121/Toxicity!$B$17+O121/Toxicity!$B$18</f>
        <v>1.5081329118370214E-3</v>
      </c>
      <c r="Q159" s="31">
        <f>B140/Toxicity!$B$5+C140/Toxicity!$B$6+D140/Toxicity!$B$7+E140/Toxicity!$B$8+F140/Toxicity!$B$9+G140/Toxicity!$B$10+H140/Toxicity!$B$11+I140/Toxicity!$B$12+J140/Toxicity!$B$13+K140/Toxicity!$B$14+L140/Toxicity!$B$15+M140/Toxicity!$B$16+N140/Toxicity!$B$17+O140/Toxicity!$B$18</f>
        <v>2.953615769582016E-4</v>
      </c>
      <c r="R159" s="32">
        <f t="shared" si="4"/>
        <v>1.8034944887952232E-3</v>
      </c>
      <c r="S159" s="15" t="str">
        <f t="shared" si="5"/>
        <v>Yes — no appreciable hazard</v>
      </c>
    </row>
    <row r="160" spans="1:19" ht="15" customHeight="1" x14ac:dyDescent="0.25">
      <c r="A160" s="10" t="s">
        <v>53</v>
      </c>
      <c r="B160" s="31">
        <f>(B122+B141)/Toxicity!$B$5</f>
        <v>2.0959973211567731E-4</v>
      </c>
      <c r="C160" s="31">
        <f>(C122+C141)/Toxicity!$B$6</f>
        <v>3.2113062770167426E-4</v>
      </c>
      <c r="D160" s="31">
        <f>(D122+D141)/Toxicity!$B$7</f>
        <v>1.944653101978691E-4</v>
      </c>
      <c r="E160" s="31">
        <f>(E122+E141)/Toxicity!$B$8</f>
        <v>2.3873210837138507E-4</v>
      </c>
      <c r="F160" s="31">
        <f>(F122+F141)/Toxicity!$B$9</f>
        <v>2.556867263318113E-4</v>
      </c>
      <c r="G160" s="31">
        <f>(G122+G141)/Toxicity!$B$10</f>
        <v>5.186265181126332E-4</v>
      </c>
      <c r="H160" s="31">
        <f>(H122+H141)/Toxicity!$B$11</f>
        <v>3.5126336681887366E-4</v>
      </c>
      <c r="I160" s="31">
        <f>(I122+I141)/Toxicity!$B$12</f>
        <v>6.9200589345509895E-4</v>
      </c>
      <c r="J160" s="31">
        <f>(J122+J141)/Toxicity!$B$13</f>
        <v>1.7488922171486555E-4</v>
      </c>
      <c r="K160" s="31">
        <f>(K122+K141)/Toxicity!$B$14</f>
        <v>2.0278682496194827E-4</v>
      </c>
      <c r="L160" s="31">
        <f>(L122+L141)/Toxicity!$B$15</f>
        <v>2.3807870116692035E-3</v>
      </c>
      <c r="M160" s="31">
        <f>(M122+M141)/Toxicity!$B$16</f>
        <v>2.3345641400304411E-3</v>
      </c>
      <c r="N160" s="31">
        <f>(N122+N141)/Toxicity!$B$17</f>
        <v>2.2026598477929983E-4</v>
      </c>
      <c r="O160" s="31">
        <f>(O122+O141)/Toxicity!$B$18</f>
        <v>1.2031430511649692E-2</v>
      </c>
      <c r="P160" s="31">
        <f>B122/Toxicity!$B$5+C122/Toxicity!$B$6+D122/Toxicity!$B$7+E122/Toxicity!$B$8+F122/Toxicity!$B$9+G122/Toxicity!$B$10+H122/Toxicity!$B$11+I122/Toxicity!$B$12+J122/Toxicity!$B$13+K122/Toxicity!$B$14+L122/Toxicity!$B$15+M122/Toxicity!$B$16+N122/Toxicity!$B$17+O122/Toxicity!$B$18</f>
        <v>1.6136877867540884E-2</v>
      </c>
      <c r="Q160" s="31">
        <f>B141/Toxicity!$B$5+C141/Toxicity!$B$6+D141/Toxicity!$B$7+E141/Toxicity!$B$8+F141/Toxicity!$B$9+G141/Toxicity!$B$10+H141/Toxicity!$B$11+I141/Toxicity!$B$12+J141/Toxicity!$B$13+K141/Toxicity!$B$14+L141/Toxicity!$B$15+M141/Toxicity!$B$16+N141/Toxicity!$B$17+O141/Toxicity!$B$18</f>
        <v>3.9893561103695905E-3</v>
      </c>
      <c r="R160" s="32">
        <f t="shared" si="4"/>
        <v>2.0126233977910475E-2</v>
      </c>
      <c r="S160" s="15" t="str">
        <f t="shared" si="5"/>
        <v>Yes — no appreciable hazard</v>
      </c>
    </row>
    <row r="161" spans="1:19" ht="15" customHeight="1" x14ac:dyDescent="0.25">
      <c r="A161" s="10" t="s">
        <v>58</v>
      </c>
      <c r="B161" s="31">
        <f>(B123+B142)/Toxicity!$B$5</f>
        <v>1.191350648401826E-4</v>
      </c>
      <c r="C161" s="31">
        <f>(C123+C142)/Toxicity!$B$6</f>
        <v>1.697217315068493E-4</v>
      </c>
      <c r="D161" s="31">
        <f>(D123+D142)/Toxicity!$B$7</f>
        <v>1.3859360730593607E-5</v>
      </c>
      <c r="E161" s="31">
        <f>(E123+E142)/Toxicity!$B$8</f>
        <v>1.5143661491628615E-4</v>
      </c>
      <c r="F161" s="31">
        <f>(F123+F142)/Toxicity!$B$9</f>
        <v>1.8150218812785384E-4</v>
      </c>
      <c r="G161" s="31">
        <f>(G123+G142)/Toxicity!$B$10</f>
        <v>3.6034337899543373E-4</v>
      </c>
      <c r="H161" s="31">
        <f>(H123+H142)/Toxicity!$B$11</f>
        <v>1.4689683612379502E-4</v>
      </c>
      <c r="I161" s="31">
        <f>(I123+I142)/Toxicity!$B$12</f>
        <v>2.8935469913749369E-4</v>
      </c>
      <c r="J161" s="31">
        <f>(J123+J142)/Toxicity!$B$13</f>
        <v>2.3695585996955861E-5</v>
      </c>
      <c r="K161" s="31">
        <f>(K123+K142)/Toxicity!$B$14</f>
        <v>2.3695585996955861E-5</v>
      </c>
      <c r="L161" s="31">
        <f>(L123+L142)/Toxicity!$B$15</f>
        <v>6.4442902080162352E-4</v>
      </c>
      <c r="M161" s="31">
        <f>(M123+M142)/Toxicity!$B$16</f>
        <v>1.09876602739726E-3</v>
      </c>
      <c r="N161" s="31">
        <f>(N123+N142)/Toxicity!$B$17</f>
        <v>1.6365296803652968E-5</v>
      </c>
      <c r="O161" s="31">
        <f>(O123+O142)/Toxicity!$B$18</f>
        <v>6.2943449244819117E-4</v>
      </c>
      <c r="P161" s="31">
        <f>B123/Toxicity!$B$5+C123/Toxicity!$B$6+D123/Toxicity!$B$7+E123/Toxicity!$B$8+F123/Toxicity!$B$9+G123/Toxicity!$B$10+H123/Toxicity!$B$11+I123/Toxicity!$B$12+J123/Toxicity!$B$13+K123/Toxicity!$B$14+L123/Toxicity!$B$15+M123/Toxicity!$B$16+N123/Toxicity!$B$17+O123/Toxicity!$B$18</f>
        <v>3.2201503649065292E-3</v>
      </c>
      <c r="Q161" s="31">
        <f>B142/Toxicity!$B$5+C142/Toxicity!$B$6+D142/Toxicity!$B$7+E142/Toxicity!$B$8+F142/Toxicity!$B$9+G142/Toxicity!$B$10+H142/Toxicity!$B$11+I142/Toxicity!$B$12+J142/Toxicity!$B$13+K142/Toxicity!$B$14+L142/Toxicity!$B$15+M142/Toxicity!$B$16+N142/Toxicity!$B$17+O142/Toxicity!$B$18</f>
        <v>6.4848551891659824E-4</v>
      </c>
      <c r="R161" s="32">
        <f t="shared" si="4"/>
        <v>3.8686358838231271E-3</v>
      </c>
      <c r="S161" s="15" t="str">
        <f t="shared" si="5"/>
        <v>Yes — no appreciable hazard</v>
      </c>
    </row>
    <row r="162" spans="1:19" ht="15" customHeight="1" x14ac:dyDescent="0.25">
      <c r="A162" s="10" t="s">
        <v>62</v>
      </c>
      <c r="B162" s="31">
        <f>(B124+B143)/Toxicity!$B$5</f>
        <v>1.6782761887366816E-4</v>
      </c>
      <c r="C162" s="31">
        <f>(C124+C143)/Toxicity!$B$6</f>
        <v>2.4049686697108068E-4</v>
      </c>
      <c r="D162" s="31">
        <f>(D124+D143)/Toxicity!$B$7</f>
        <v>1.3912026301369861E-4</v>
      </c>
      <c r="E162" s="31">
        <f>(E124+E143)/Toxicity!$B$8</f>
        <v>9.4040382343987824E-5</v>
      </c>
      <c r="F162" s="31">
        <f>(F124+F143)/Toxicity!$B$9</f>
        <v>2.0478591415525109E-4</v>
      </c>
      <c r="G162" s="31">
        <f>(G124+G143)/Toxicity!$B$10</f>
        <v>5.236066484018264E-4</v>
      </c>
      <c r="H162" s="31">
        <f>(H124+H143)/Toxicity!$B$11</f>
        <v>1.9005439675291732E-4</v>
      </c>
      <c r="I162" s="31">
        <f>(I124+I143)/Toxicity!$B$12</f>
        <v>3.7440605580923395E-4</v>
      </c>
      <c r="J162" s="31">
        <f>(J124+J143)/Toxicity!$B$13</f>
        <v>2.3695585996955861E-5</v>
      </c>
      <c r="K162" s="31">
        <f>(K124+K143)/Toxicity!$B$14</f>
        <v>1.4092554845256214E-4</v>
      </c>
      <c r="L162" s="31">
        <f>(L124+L143)/Toxicity!$B$15</f>
        <v>2.7275494672754949E-4</v>
      </c>
      <c r="M162" s="31">
        <f>(M124+M143)/Toxicity!$B$16</f>
        <v>8.2415634703196343E-4</v>
      </c>
      <c r="N162" s="31">
        <f>(N124+N143)/Toxicity!$B$17</f>
        <v>3.8807573820395744E-5</v>
      </c>
      <c r="O162" s="31">
        <f>(O124+O143)/Toxicity!$B$18</f>
        <v>4.7790862896616325E-3</v>
      </c>
      <c r="P162" s="31">
        <f>B124/Toxicity!$B$5+C124/Toxicity!$B$6+D124/Toxicity!$B$7+E124/Toxicity!$B$8+F124/Toxicity!$B$9+G124/Toxicity!$B$10+H124/Toxicity!$B$11+I124/Toxicity!$B$12+J124/Toxicity!$B$13+K124/Toxicity!$B$14+L124/Toxicity!$B$15+M124/Toxicity!$B$16+N124/Toxicity!$B$17+O124/Toxicity!$B$18</f>
        <v>6.5403152480193573E-3</v>
      </c>
      <c r="Q162" s="31">
        <f>B143/Toxicity!$B$5+C143/Toxicity!$B$6+D143/Toxicity!$B$7+E143/Toxicity!$B$8+F143/Toxicity!$B$9+G143/Toxicity!$B$10+H143/Toxicity!$B$11+I143/Toxicity!$B$12+J143/Toxicity!$B$13+K143/Toxicity!$B$14+L143/Toxicity!$B$15+M143/Toxicity!$B$16+N143/Toxicity!$B$17+O143/Toxicity!$B$18</f>
        <v>1.4734491899933656E-3</v>
      </c>
      <c r="R162" s="32">
        <f t="shared" si="4"/>
        <v>8.0137644380127229E-3</v>
      </c>
      <c r="S162" s="15" t="str">
        <f t="shared" si="5"/>
        <v>Yes — no appreciable hazard</v>
      </c>
    </row>
    <row r="163" spans="1:19" ht="15" customHeight="1" x14ac:dyDescent="0.25">
      <c r="A163" s="10" t="s">
        <v>66</v>
      </c>
      <c r="B163" s="31">
        <f>(B125+B144)/Toxicity!$B$5</f>
        <v>1.8287888462709283E-4</v>
      </c>
      <c r="C163" s="31">
        <f>(C125+C144)/Toxicity!$B$6</f>
        <v>2.5156587640791481E-4</v>
      </c>
      <c r="D163" s="31">
        <f>(D125+D144)/Toxicity!$B$7</f>
        <v>1.6240398904109586E-4</v>
      </c>
      <c r="E163" s="31">
        <f>(E125+E144)/Toxicity!$B$8</f>
        <v>1.3171936438356166E-4</v>
      </c>
      <c r="F163" s="31">
        <f>(F125+F144)/Toxicity!$B$9</f>
        <v>2.1182646940639269E-4</v>
      </c>
      <c r="G163" s="31">
        <f>(G125+G144)/Toxicity!$B$10</f>
        <v>5.6413141917808216E-4</v>
      </c>
      <c r="H163" s="31">
        <f>(H125+H144)/Toxicity!$B$11</f>
        <v>2.5153654388635209E-4</v>
      </c>
      <c r="I163" s="31">
        <f>(I125+I144)/Toxicity!$B$12</f>
        <v>4.986815058346018E-4</v>
      </c>
      <c r="J163" s="31">
        <f>(J125+J144)/Toxicity!$B$13</f>
        <v>2.3695585996955861E-5</v>
      </c>
      <c r="K163" s="31">
        <f>(K125+K144)/Toxicity!$B$14</f>
        <v>1.5883941146626078E-4</v>
      </c>
      <c r="L163" s="31">
        <f>(L125+L144)/Toxicity!$B$15</f>
        <v>8.1971953323186199E-4</v>
      </c>
      <c r="M163" s="31">
        <f>(M125+M144)/Toxicity!$B$16</f>
        <v>1.6365296803652968E-4</v>
      </c>
      <c r="N163" s="31">
        <f>(N125+N144)/Toxicity!$B$17</f>
        <v>4.3662611872146113E-5</v>
      </c>
      <c r="O163" s="31">
        <f>(O125+O144)/Toxicity!$B$18</f>
        <v>4.4517803535885732E-3</v>
      </c>
      <c r="P163" s="31">
        <f>B125/Toxicity!$B$5+C125/Toxicity!$B$6+D125/Toxicity!$B$7+E125/Toxicity!$B$8+F125/Toxicity!$B$9+G125/Toxicity!$B$10+H125/Toxicity!$B$11+I125/Toxicity!$B$12+J125/Toxicity!$B$13+K125/Toxicity!$B$14+L125/Toxicity!$B$15+M125/Toxicity!$B$16+N125/Toxicity!$B$17+O125/Toxicity!$B$18</f>
        <v>6.5070703976895759E-3</v>
      </c>
      <c r="Q163" s="31">
        <f>B144/Toxicity!$B$5+C144/Toxicity!$B$6+D144/Toxicity!$B$7+E144/Toxicity!$B$8+F144/Toxicity!$B$9+G144/Toxicity!$B$10+H144/Toxicity!$B$11+I144/Toxicity!$B$12+J144/Toxicity!$B$13+K144/Toxicity!$B$14+L144/Toxicity!$B$15+M144/Toxicity!$B$16+N144/Toxicity!$B$17+O144/Toxicity!$B$18</f>
        <v>1.4090241192678454E-3</v>
      </c>
      <c r="R163" s="32">
        <f t="shared" si="4"/>
        <v>7.9160945169574216E-3</v>
      </c>
      <c r="S163" s="15" t="str">
        <f t="shared" si="5"/>
        <v>Yes — no appreciable hazard</v>
      </c>
    </row>
    <row r="164" spans="1:19" ht="15" customHeight="1" x14ac:dyDescent="0.25">
      <c r="A164" s="10" t="s">
        <v>71</v>
      </c>
      <c r="B164" s="31">
        <f>(B126+B145)/Toxicity!$B$5</f>
        <v>2.3141436590563169E-4</v>
      </c>
      <c r="C164" s="31">
        <f>(C126+C145)/Toxicity!$B$6</f>
        <v>2.4724175585996949E-4</v>
      </c>
      <c r="D164" s="31">
        <f>(D126+D145)/Toxicity!$B$7</f>
        <v>1.3859360730593607E-5</v>
      </c>
      <c r="E164" s="31">
        <f>(E126+E145)/Toxicity!$B$8</f>
        <v>1.3922189832572297E-4</v>
      </c>
      <c r="F164" s="31">
        <f>(F126+F145)/Toxicity!$B$9</f>
        <v>2.106345643835616E-4</v>
      </c>
      <c r="G164" s="31">
        <f>(G126+G145)/Toxicity!$B$10</f>
        <v>5.5106666179604257E-4</v>
      </c>
      <c r="H164" s="31">
        <f>(H126+H145)/Toxicity!$B$11</f>
        <v>3.2173866666666676E-4</v>
      </c>
      <c r="I164" s="31">
        <f>(I126+I145)/Toxicity!$B$12</f>
        <v>6.338253313039068E-4</v>
      </c>
      <c r="J164" s="31">
        <f>(J126+J145)/Toxicity!$B$13</f>
        <v>1.298202171486555E-4</v>
      </c>
      <c r="K164" s="31">
        <f>(K126+K145)/Toxicity!$B$14</f>
        <v>1.5133580923389143E-4</v>
      </c>
      <c r="L164" s="31">
        <f>(L126+L145)/Toxicity!$B$15</f>
        <v>9.4445946220192802E-4</v>
      </c>
      <c r="M164" s="31">
        <f>(M126+M145)/Toxicity!$B$16</f>
        <v>1.207977108066971E-3</v>
      </c>
      <c r="N164" s="31">
        <f>(N126+N145)/Toxicity!$B$17</f>
        <v>1.6365296803652968E-5</v>
      </c>
      <c r="O164" s="31">
        <f>(O126+O145)/Toxicity!$B$18</f>
        <v>3.9927127970963592E-3</v>
      </c>
      <c r="P164" s="31">
        <f>B126/Toxicity!$B$5+C126/Toxicity!$B$6+D126/Toxicity!$B$7+E126/Toxicity!$B$8+F126/Toxicity!$B$9+G126/Toxicity!$B$10+H126/Toxicity!$B$11+I126/Toxicity!$B$12+J126/Toxicity!$B$13+K126/Toxicity!$B$14+L126/Toxicity!$B$15+M126/Toxicity!$B$16+N126/Toxicity!$B$17+O126/Toxicity!$B$18</f>
        <v>7.2113015962221444E-3</v>
      </c>
      <c r="Q164" s="31">
        <f>B145/Toxicity!$B$5+C145/Toxicity!$B$6+D145/Toxicity!$B$7+E145/Toxicity!$B$8+F145/Toxicity!$B$9+G145/Toxicity!$B$10+H145/Toxicity!$B$11+I145/Toxicity!$B$12+J145/Toxicity!$B$13+K145/Toxicity!$B$14+L145/Toxicity!$B$15+M145/Toxicity!$B$16+N145/Toxicity!$B$17+O145/Toxicity!$B$18</f>
        <v>1.580371699301409E-3</v>
      </c>
      <c r="R164" s="32">
        <f t="shared" si="4"/>
        <v>8.7916732955235534E-3</v>
      </c>
      <c r="S164" s="15" t="str">
        <f t="shared" si="5"/>
        <v>Yes — no appreciable hazard</v>
      </c>
    </row>
    <row r="165" spans="1:19" ht="15" customHeight="1" x14ac:dyDescent="0.25">
      <c r="A165" s="10" t="s">
        <v>75</v>
      </c>
      <c r="B165" s="31">
        <f>(B127+B146)/Toxicity!$B$5</f>
        <v>2.5549269528158292E-4</v>
      </c>
      <c r="C165" s="31">
        <f>(C127+C146)/Toxicity!$B$6</f>
        <v>2.4161485540334849E-4</v>
      </c>
      <c r="D165" s="31">
        <f>(D127+D146)/Toxicity!$B$7</f>
        <v>2.3609882983257222E-4</v>
      </c>
      <c r="E165" s="31">
        <f>(E127+E146)/Toxicity!$B$8</f>
        <v>1.4217856194824962E-4</v>
      </c>
      <c r="F165" s="31">
        <f>(F127+F146)/Toxicity!$B$9</f>
        <v>2.2538092420091327E-4</v>
      </c>
      <c r="G165" s="31">
        <f>(G127+G146)/Toxicity!$B$10</f>
        <v>5.8058710015220698E-4</v>
      </c>
      <c r="H165" s="31">
        <f>(H127+H146)/Toxicity!$B$11</f>
        <v>2.767486473871131E-4</v>
      </c>
      <c r="I165" s="31">
        <f>(I127+I146)/Toxicity!$B$12</f>
        <v>5.4517224556062925E-4</v>
      </c>
      <c r="J165" s="31">
        <f>(J127+J146)/Toxicity!$B$13</f>
        <v>1.1042143074581432E-4</v>
      </c>
      <c r="K165" s="31">
        <f>(K127+K146)/Toxicity!$B$14</f>
        <v>2.5997217250126845E-4</v>
      </c>
      <c r="L165" s="31">
        <f>(L127+L146)/Toxicity!$B$15</f>
        <v>1.143570573313039E-3</v>
      </c>
      <c r="M165" s="31">
        <f>(M127+M146)/Toxicity!$B$16</f>
        <v>1.2319795433789952E-3</v>
      </c>
      <c r="N165" s="31">
        <f>(N127+N146)/Toxicity!$B$17</f>
        <v>1.0886195433789953E-4</v>
      </c>
      <c r="O165" s="31">
        <f>(O127+O146)/Toxicity!$B$18</f>
        <v>7.2175155134059244E-3</v>
      </c>
      <c r="P165" s="31">
        <f>B127/Toxicity!$B$5+C127/Toxicity!$B$6+D127/Toxicity!$B$7+E127/Toxicity!$B$8+F127/Toxicity!$B$9+G127/Toxicity!$B$10+H127/Toxicity!$B$11+I127/Toxicity!$B$12+J127/Toxicity!$B$13+K127/Toxicity!$B$14+L127/Toxicity!$B$15+M127/Toxicity!$B$16+N127/Toxicity!$B$17+O127/Toxicity!$B$18</f>
        <v>1.0202919814229404E-2</v>
      </c>
      <c r="Q165" s="31">
        <f>B146/Toxicity!$B$5+C146/Toxicity!$B$6+D146/Toxicity!$B$7+E146/Toxicity!$B$8+F146/Toxicity!$B$9+G146/Toxicity!$B$10+H146/Toxicity!$B$11+I146/Toxicity!$B$12+J146/Toxicity!$B$13+K146/Toxicity!$B$14+L146/Toxicity!$B$15+M146/Toxicity!$B$16+N146/Toxicity!$B$17+O146/Toxicity!$B$18</f>
        <v>2.372675233220154E-3</v>
      </c>
      <c r="R165" s="32">
        <f t="shared" si="4"/>
        <v>1.2575595047449557E-2</v>
      </c>
      <c r="S165" s="15" t="str">
        <f t="shared" si="5"/>
        <v>Yes — no appreciable hazard</v>
      </c>
    </row>
    <row r="166" spans="1:19" ht="15" customHeight="1" x14ac:dyDescent="0.25">
      <c r="A166" s="10" t="s">
        <v>79</v>
      </c>
      <c r="B166" s="31">
        <f>(B128+B147)/Toxicity!$B$5</f>
        <v>2.6210823013698628E-4</v>
      </c>
      <c r="C166" s="31">
        <f>(C128+C147)/Toxicity!$B$6</f>
        <v>2.7814813028919321E-4</v>
      </c>
      <c r="D166" s="31">
        <f>(D128+D147)/Toxicity!$B$7</f>
        <v>1.7701175525114155E-4</v>
      </c>
      <c r="E166" s="31">
        <f>(E128+E147)/Toxicity!$B$8</f>
        <v>2.4008108614916284E-4</v>
      </c>
      <c r="F166" s="31">
        <f>(F128+F147)/Toxicity!$B$9</f>
        <v>2.566938398782344E-4</v>
      </c>
      <c r="G166" s="31">
        <f>(G128+G147)/Toxicity!$B$10</f>
        <v>5.8846845662100455E-4</v>
      </c>
      <c r="H166" s="31">
        <f>(H128+H147)/Toxicity!$B$11</f>
        <v>3.5350654895991888E-4</v>
      </c>
      <c r="I166" s="31">
        <f>(I128+I147)/Toxicity!$B$12</f>
        <v>6.9644486656519542E-4</v>
      </c>
      <c r="J166" s="31">
        <f>(J128+J147)/Toxicity!$B$13</f>
        <v>1.0716723693556573E-4</v>
      </c>
      <c r="K166" s="31">
        <f>(K128+K147)/Toxicity!$B$14</f>
        <v>2.8652702587519024E-4</v>
      </c>
      <c r="L166" s="31">
        <f>(L128+L147)/Toxicity!$B$15</f>
        <v>1.8169116184677829E-3</v>
      </c>
      <c r="M166" s="31">
        <f>(M128+M147)/Toxicity!$B$16</f>
        <v>1.5207724809741248E-3</v>
      </c>
      <c r="N166" s="31">
        <f>(N128+N147)/Toxicity!$B$17</f>
        <v>9.3794971080669723E-5</v>
      </c>
      <c r="O166" s="31">
        <f>(O128+O147)/Toxicity!$B$18</f>
        <v>6.8067046013347392E-3</v>
      </c>
      <c r="P166" s="31">
        <f>B128/Toxicity!$B$5+C128/Toxicity!$B$6+D128/Toxicity!$B$7+E128/Toxicity!$B$8+F128/Toxicity!$B$9+G128/Toxicity!$B$10+H128/Toxicity!$B$11+I128/Toxicity!$B$12+J128/Toxicity!$B$13+K128/Toxicity!$B$14+L128/Toxicity!$B$15+M128/Toxicity!$B$16+N128/Toxicity!$B$17+O128/Toxicity!$B$18</f>
        <v>1.0959656995667954E-2</v>
      </c>
      <c r="Q166" s="31">
        <f>B147/Toxicity!$B$5+C147/Toxicity!$B$6+D147/Toxicity!$B$7+E147/Toxicity!$B$8+F147/Toxicity!$B$9+G147/Toxicity!$B$10+H147/Toxicity!$B$11+I147/Toxicity!$B$12+J147/Toxicity!$B$13+K147/Toxicity!$B$14+L147/Toxicity!$B$15+M147/Toxicity!$B$16+N147/Toxicity!$B$17+O147/Toxicity!$B$18</f>
        <v>2.5246838528509546E-3</v>
      </c>
      <c r="R166" s="32">
        <f t="shared" si="4"/>
        <v>1.3484340848518909E-2</v>
      </c>
      <c r="S166" s="15" t="str">
        <f t="shared" si="5"/>
        <v>Yes — no appreciable hazard</v>
      </c>
    </row>
    <row r="167" spans="1:19" ht="15" customHeight="1" x14ac:dyDescent="0.25">
      <c r="A167" s="10" t="s">
        <v>83</v>
      </c>
      <c r="B167" s="31">
        <f>(B129+B148)/Toxicity!$B$5</f>
        <v>2.7674371506849311E-4</v>
      </c>
      <c r="C167" s="31">
        <f>(C129+C148)/Toxicity!$B$6</f>
        <v>3.6543438417047179E-4</v>
      </c>
      <c r="D167" s="31">
        <f>(D129+D148)/Toxicity!$B$7</f>
        <v>2.5413447792998486E-4</v>
      </c>
      <c r="E167" s="31">
        <f>(E129+E148)/Toxicity!$B$8</f>
        <v>1.8086465753424657E-4</v>
      </c>
      <c r="F167" s="31">
        <f>(F129+F148)/Toxicity!$B$9</f>
        <v>2.5418991537290718E-4</v>
      </c>
      <c r="G167" s="31">
        <f>(G129+G148)/Toxicity!$B$10</f>
        <v>6.632720462709284E-4</v>
      </c>
      <c r="H167" s="31">
        <f>(H129+H148)/Toxicity!$B$11</f>
        <v>3.1919534043632673E-4</v>
      </c>
      <c r="I167" s="31">
        <f>(I129+I148)/Toxicity!$B$12</f>
        <v>6.3199287265347536E-4</v>
      </c>
      <c r="J167" s="31">
        <f>(J129+J148)/Toxicity!$B$13</f>
        <v>1.6815967529173009E-4</v>
      </c>
      <c r="K167" s="31">
        <f>(K129+K148)/Toxicity!$B$14</f>
        <v>3.9099296600710292E-4</v>
      </c>
      <c r="L167" s="31">
        <f>(L129+L148)/Toxicity!$B$15</f>
        <v>2.3586029426686961E-3</v>
      </c>
      <c r="M167" s="31">
        <f>(M129+M148)/Toxicity!$B$16</f>
        <v>2.3665310197869102E-3</v>
      </c>
      <c r="N167" s="31">
        <f>(N129+N148)/Toxicity!$B$17</f>
        <v>1.6225646270928462E-4</v>
      </c>
      <c r="O167" s="31">
        <f>(O129+O148)/Toxicity!$B$18</f>
        <v>1.0373080435546189E-2</v>
      </c>
      <c r="P167" s="31">
        <f>B129/Toxicity!$B$5+C129/Toxicity!$B$6+D129/Toxicity!$B$7+E129/Toxicity!$B$8+F129/Toxicity!$B$9+G129/Toxicity!$B$10+H129/Toxicity!$B$11+I129/Toxicity!$B$12+J129/Toxicity!$B$13+K129/Toxicity!$B$14+L129/Toxicity!$B$15+M129/Toxicity!$B$16+N129/Toxicity!$B$17+O129/Toxicity!$B$18</f>
        <v>1.5120536112086797E-2</v>
      </c>
      <c r="Q167" s="31">
        <f>B148/Toxicity!$B$5+C148/Toxicity!$B$6+D148/Toxicity!$B$7+E148/Toxicity!$B$8+F148/Toxicity!$B$9+G148/Toxicity!$B$10+H148/Toxicity!$B$11+I148/Toxicity!$B$12+J148/Toxicity!$B$13+K148/Toxicity!$B$14+L148/Toxicity!$B$15+M148/Toxicity!$B$16+N148/Toxicity!$B$17+O148/Toxicity!$B$18</f>
        <v>3.6449147993599506E-3</v>
      </c>
      <c r="R167" s="32">
        <f t="shared" si="4"/>
        <v>1.8765450911446747E-2</v>
      </c>
      <c r="S167" s="15" t="str">
        <f t="shared" si="5"/>
        <v>Yes — no appreciable hazard</v>
      </c>
    </row>
    <row r="168" spans="1:19" ht="15" customHeight="1" x14ac:dyDescent="0.25">
      <c r="A168" s="10" t="s">
        <v>87</v>
      </c>
      <c r="B168" s="31">
        <f>(B130+B149)/Toxicity!$B$5</f>
        <v>3.3610797686453581E-4</v>
      </c>
      <c r="C168" s="31">
        <f>(C130+C149)/Toxicity!$B$6</f>
        <v>3.8398744840182643E-4</v>
      </c>
      <c r="D168" s="31">
        <f>(D130+D149)/Toxicity!$B$7</f>
        <v>3.1915335890410964E-4</v>
      </c>
      <c r="E168" s="31">
        <f>(E130+E149)/Toxicity!$B$8</f>
        <v>2.5810749467275495E-4</v>
      </c>
      <c r="F168" s="31">
        <f>(F130+F149)/Toxicity!$B$9</f>
        <v>3.1606734124809733E-4</v>
      </c>
      <c r="G168" s="31">
        <f>(G130+G149)/Toxicity!$B$10</f>
        <v>8.3026810350076091E-4</v>
      </c>
      <c r="H168" s="31">
        <f>(H130+H149)/Toxicity!$B$11</f>
        <v>3.986229446981228E-4</v>
      </c>
      <c r="I168" s="31">
        <f>(I130+I149)/Toxicity!$B$12</f>
        <v>7.8686722272957904E-4</v>
      </c>
      <c r="J168" s="31">
        <f>(J130+J149)/Toxicity!$B$13</f>
        <v>2.1163317706747843E-4</v>
      </c>
      <c r="K168" s="31">
        <f>(K130+K149)/Toxicity!$B$14</f>
        <v>7.2767564890918322E-4</v>
      </c>
      <c r="L168" s="31">
        <f>(L130+L149)/Toxicity!$B$15</f>
        <v>4.2469763571790975E-3</v>
      </c>
      <c r="M168" s="31">
        <f>(M130+M149)/Toxicity!$B$16</f>
        <v>3.5119926940639264E-3</v>
      </c>
      <c r="N168" s="31">
        <f>(N130+N149)/Toxicity!$B$17</f>
        <v>2.9986678843226786E-4</v>
      </c>
      <c r="O168" s="31">
        <f>(O130+O149)/Toxicity!$B$18</f>
        <v>1.7067326074230185E-2</v>
      </c>
      <c r="P168" s="31">
        <f>B130/Toxicity!$B$5+C130/Toxicity!$B$6+D130/Toxicity!$B$7+E130/Toxicity!$B$8+F130/Toxicity!$B$9+G130/Toxicity!$B$10+H130/Toxicity!$B$11+I130/Toxicity!$B$12+J130/Toxicity!$B$13+K130/Toxicity!$B$14+L130/Toxicity!$B$15+M130/Toxicity!$B$16+N130/Toxicity!$B$17+O130/Toxicity!$B$18</f>
        <v>2.3794932615228505E-2</v>
      </c>
      <c r="Q168" s="31">
        <f>B149/Toxicity!$B$5+C149/Toxicity!$B$6+D149/Toxicity!$B$7+E149/Toxicity!$B$8+F149/Toxicity!$B$9+G149/Toxicity!$B$10+H149/Toxicity!$B$11+I149/Toxicity!$B$12+J149/Toxicity!$B$13+K149/Toxicity!$B$14+L149/Toxicity!$B$15+M149/Toxicity!$B$16+N149/Toxicity!$B$17+O149/Toxicity!$B$18</f>
        <v>5.899720015673419E-3</v>
      </c>
      <c r="R168" s="32">
        <f t="shared" si="4"/>
        <v>2.9694652630901926E-2</v>
      </c>
      <c r="S168" s="15" t="str">
        <f t="shared" si="5"/>
        <v>Yes — no appreciable hazard</v>
      </c>
    </row>
    <row r="169" spans="1:19" ht="15" customHeight="1" x14ac:dyDescent="0.25">
      <c r="A169" s="17" t="s">
        <v>44</v>
      </c>
      <c r="B169" s="31">
        <f>(B131+B150)/Toxicity!$B$5</f>
        <v>1.0030789325215627E-4</v>
      </c>
      <c r="C169" s="31">
        <f>(C131+C150)/Toxicity!$B$6</f>
        <v>2.0948577737189245E-4</v>
      </c>
      <c r="D169" s="31">
        <f>(D131+D150)/Toxicity!$B$7</f>
        <v>1.0439178488077116E-4</v>
      </c>
      <c r="E169" s="31">
        <f>(E131+E150)/Toxicity!$B$8</f>
        <v>1.1914738427194317E-4</v>
      </c>
      <c r="F169" s="31">
        <f>(F131+F150)/Toxicity!$B$9</f>
        <v>2.2737051243023845E-4</v>
      </c>
      <c r="G169" s="31">
        <f>(G131+G150)/Toxicity!$B$10</f>
        <v>3.5045395514967021E-4</v>
      </c>
      <c r="H169" s="31">
        <f>(H131+H150)/Toxicity!$B$11</f>
        <v>1.6496340402502962E-4</v>
      </c>
      <c r="I169" s="31">
        <f>(I131+I150)/Toxicity!$B$12</f>
        <v>3.2498759479113816E-4</v>
      </c>
      <c r="J169" s="31">
        <f>(J131+J150)/Toxicity!$B$13</f>
        <v>7.4093464569592428E-5</v>
      </c>
      <c r="K169" s="31">
        <f>(K131+K150)/Toxicity!$B$14</f>
        <v>8.3392665651953321E-5</v>
      </c>
      <c r="L169" s="31">
        <f>(L131+L150)/Toxicity!$B$15</f>
        <v>9.7543230170810081E-4</v>
      </c>
      <c r="M169" s="31">
        <f>(M131+M150)/Toxicity!$B$16</f>
        <v>9.4675060375443924E-4</v>
      </c>
      <c r="N169" s="31">
        <f>(N131+N150)/Toxicity!$B$17</f>
        <v>8.4332192795535279E-5</v>
      </c>
      <c r="O169" s="31">
        <f>(O131+O150)/Toxicity!$B$18</f>
        <v>5.1463962845880659E-3</v>
      </c>
      <c r="P169" s="31">
        <f>B131/Toxicity!$B$5+C131/Toxicity!$B$6+D131/Toxicity!$B$7+E131/Toxicity!$B$8+F131/Toxicity!$B$9+G131/Toxicity!$B$10+H131/Toxicity!$B$11+I131/Toxicity!$B$12+J131/Toxicity!$B$13+K131/Toxicity!$B$14+L131/Toxicity!$B$15+M131/Toxicity!$B$16+N131/Toxicity!$B$17+O131/Toxicity!$B$18</f>
        <v>7.1954925184404637E-3</v>
      </c>
      <c r="Q169" s="31">
        <f>B150/Toxicity!$B$5+C150/Toxicity!$B$6+D150/Toxicity!$B$7+E150/Toxicity!$B$8+F150/Toxicity!$B$9+G150/Toxicity!$B$10+H150/Toxicity!$B$11+I150/Toxicity!$B$12+J150/Toxicity!$B$13+K150/Toxicity!$B$14+L150/Toxicity!$B$15+M150/Toxicity!$B$16+N150/Toxicity!$B$17+O150/Toxicity!$B$18</f>
        <v>1.7160133008000625E-3</v>
      </c>
      <c r="R169" s="32">
        <f t="shared" si="4"/>
        <v>8.9115058192405262E-3</v>
      </c>
      <c r="S169" s="15" t="str">
        <f t="shared" si="5"/>
        <v>Yes — no appreciable hazard</v>
      </c>
    </row>
    <row r="170" spans="1:19" ht="15" customHeight="1" x14ac:dyDescent="0.25">
      <c r="A170" s="17" t="s">
        <v>57</v>
      </c>
      <c r="B170" s="31">
        <f>(B132+B151)/Toxicity!$B$5</f>
        <v>1.5661385611364788E-4</v>
      </c>
      <c r="C170" s="31">
        <f>(C132+C151)/Toxicity!$B$6</f>
        <v>2.2059482496194821E-4</v>
      </c>
      <c r="D170" s="31">
        <f>(D132+D151)/Toxicity!$B$7</f>
        <v>1.0512787092846272E-4</v>
      </c>
      <c r="E170" s="31">
        <f>(E132+E151)/Toxicity!$B$8</f>
        <v>1.257321205479452E-4</v>
      </c>
      <c r="F170" s="31">
        <f>(F132+F151)/Toxicity!$B$9</f>
        <v>1.9937152389649926E-4</v>
      </c>
      <c r="G170" s="31">
        <f>(G132+G151)/Toxicity!$B$10</f>
        <v>4.826938155251142E-4</v>
      </c>
      <c r="H170" s="31">
        <f>(H132+H151)/Toxicity!$B$11</f>
        <v>1.9616259225435482E-4</v>
      </c>
      <c r="I170" s="31">
        <f>(I132+I151)/Toxicity!$B$12</f>
        <v>3.8748075359377641E-4</v>
      </c>
      <c r="J170" s="31">
        <f>(J132+J151)/Toxicity!$B$13</f>
        <v>2.3695585996955861E-5</v>
      </c>
      <c r="K170" s="31">
        <f>(K132+K151)/Toxicity!$B$14</f>
        <v>1.0782018197192626E-4</v>
      </c>
      <c r="L170" s="31">
        <f>(L132+L151)/Toxicity!$B$15</f>
        <v>5.7896783358701148E-4</v>
      </c>
      <c r="M170" s="31">
        <f>(M132+M151)/Toxicity!$B$16</f>
        <v>6.9552511415525112E-4</v>
      </c>
      <c r="N170" s="31">
        <f>(N132+N151)/Toxicity!$B$17</f>
        <v>3.2945160832064941E-5</v>
      </c>
      <c r="O170" s="31">
        <f>(O132+O151)/Toxicity!$B$18</f>
        <v>3.2867670452327983E-3</v>
      </c>
      <c r="P170" s="31">
        <f>B132/Toxicity!$B$5+C132/Toxicity!$B$6+D132/Toxicity!$B$7+E132/Toxicity!$B$8+F132/Toxicity!$B$9+G132/Toxicity!$B$10+H132/Toxicity!$B$11+I132/Toxicity!$B$12+J132/Toxicity!$B$13+K132/Toxicity!$B$14+L132/Toxicity!$B$15+M132/Toxicity!$B$16+N132/Toxicity!$B$17+O132/Toxicity!$B$18</f>
        <v>5.4225120035384863E-3</v>
      </c>
      <c r="Q170" s="31">
        <f>B151/Toxicity!$B$5+C151/Toxicity!$B$6+D151/Toxicity!$B$7+E151/Toxicity!$B$8+F151/Toxicity!$B$9+G151/Toxicity!$B$10+H151/Toxicity!$B$11+I151/Toxicity!$B$12+J151/Toxicity!$B$13+K151/Toxicity!$B$14+L151/Toxicity!$B$15+M151/Toxicity!$B$16+N151/Toxicity!$B$17+O151/Toxicity!$B$18</f>
        <v>1.1769862760592697E-3</v>
      </c>
      <c r="R170" s="32">
        <f t="shared" si="4"/>
        <v>6.5994982795977569E-3</v>
      </c>
      <c r="S170" s="15" t="str">
        <f t="shared" si="5"/>
        <v>Yes — no appreciable hazard</v>
      </c>
    </row>
    <row r="171" spans="1:19" ht="15" customHeight="1" x14ac:dyDescent="0.25">
      <c r="A171" s="17" t="s">
        <v>70</v>
      </c>
      <c r="B171" s="31">
        <f>(B133+B152)/Toxicity!$B$5</f>
        <v>2.7237339665144603E-4</v>
      </c>
      <c r="C171" s="31">
        <f>(C133+C152)/Toxicity!$B$6</f>
        <v>3.0328531482496192E-4</v>
      </c>
      <c r="D171" s="31">
        <f>(D133+D152)/Toxicity!$B$7</f>
        <v>2.0005155652968039E-4</v>
      </c>
      <c r="E171" s="31">
        <f>(E133+E152)/Toxicity!$B$8</f>
        <v>1.9209073972602741E-4</v>
      </c>
      <c r="F171" s="31">
        <f>(F133+F152)/Toxicity!$B$9</f>
        <v>2.5259331701674273E-4</v>
      </c>
      <c r="G171" s="31">
        <f>(G133+G152)/Toxicity!$B$10</f>
        <v>6.4273247366818868E-4</v>
      </c>
      <c r="H171" s="31">
        <f>(H133+H152)/Toxicity!$B$11</f>
        <v>3.339624296296296E-4</v>
      </c>
      <c r="I171" s="31">
        <f>(I133+I152)/Toxicity!$B$12</f>
        <v>6.5886050776255709E-4</v>
      </c>
      <c r="J171" s="31">
        <f>(J133+J152)/Toxicity!$B$13</f>
        <v>1.4544034743784883E-4</v>
      </c>
      <c r="K171" s="31">
        <f>(K133+K152)/Toxicity!$B$14</f>
        <v>3.633007245053272E-4</v>
      </c>
      <c r="L171" s="31">
        <f>(L133+L152)/Toxicity!$B$15</f>
        <v>2.1021041907661082E-3</v>
      </c>
      <c r="M171" s="31">
        <f>(M133+M152)/Toxicity!$B$16</f>
        <v>1.9678505692541847E-3</v>
      </c>
      <c r="N171" s="31">
        <f>(N133+N152)/Toxicity!$B$17</f>
        <v>1.3622909467275496E-4</v>
      </c>
      <c r="O171" s="31">
        <f>(O133+O152)/Toxicity!$B$18</f>
        <v>9.0914678843226765E-3</v>
      </c>
      <c r="P171" s="31">
        <f>B133/Toxicity!$B$5+C133/Toxicity!$B$6+D133/Toxicity!$B$7+E133/Toxicity!$B$8+F133/Toxicity!$B$9+G133/Toxicity!$B$10+H133/Toxicity!$B$11+I133/Toxicity!$B$12+J133/Toxicity!$B$13+K133/Toxicity!$B$14+L133/Toxicity!$B$15+M133/Toxicity!$B$16+N133/Toxicity!$B$17+O133/Toxicity!$B$18</f>
        <v>1.3457869426686957E-2</v>
      </c>
      <c r="Q171" s="31">
        <f>B152/Toxicity!$B$5+C152/Toxicity!$B$6+D152/Toxicity!$B$7+E152/Toxicity!$B$8+F152/Toxicity!$B$9+G152/Toxicity!$B$10+H152/Toxicity!$B$11+I152/Toxicity!$B$12+J152/Toxicity!$B$13+K152/Toxicity!$B$14+L152/Toxicity!$B$15+M152/Toxicity!$B$16+N152/Toxicity!$B$17+O152/Toxicity!$B$18</f>
        <v>3.2044731200811766E-3</v>
      </c>
      <c r="R171" s="32">
        <f t="shared" si="4"/>
        <v>1.6662342546768134E-2</v>
      </c>
      <c r="S171" s="15" t="str">
        <f t="shared" si="5"/>
        <v>Yes — no appreciable hazard</v>
      </c>
    </row>
    <row r="172" spans="1:19" ht="15" customHeight="1" x14ac:dyDescent="0.25">
      <c r="A172" s="17" t="s">
        <v>127</v>
      </c>
      <c r="B172" s="31">
        <f>(B134+B153)/Toxicity!$B$5</f>
        <v>1.9387565739587657E-4</v>
      </c>
      <c r="C172" s="31">
        <f>(C134+C153)/Toxicity!$B$6</f>
        <v>2.5515167101148472E-4</v>
      </c>
      <c r="D172" s="31">
        <f>(D134+D153)/Toxicity!$B$7</f>
        <v>1.4807425000691848E-4</v>
      </c>
      <c r="E172" s="31">
        <f>(E134+E153)/Toxicity!$B$8</f>
        <v>1.5409929209907289E-4</v>
      </c>
      <c r="F172" s="31">
        <f>(F134+F153)/Toxicity!$B$9</f>
        <v>2.3119933582399336E-4</v>
      </c>
      <c r="G172" s="31">
        <f>(G134+G153)/Toxicity!$B$10</f>
        <v>5.1937324366957221E-4</v>
      </c>
      <c r="H172" s="31">
        <f>(H134+H153)/Toxicity!$B$11</f>
        <v>2.5029001245330018E-4</v>
      </c>
      <c r="I172" s="31">
        <f>(I134+I153)/Toxicity!$B$12</f>
        <v>4.9379159854250271E-4</v>
      </c>
      <c r="J172" s="31">
        <f>(J134+J153)/Toxicity!$B$13</f>
        <v>9.2778989898989911E-5</v>
      </c>
      <c r="K172" s="31">
        <f>(K134+K153)/Toxicity!$B$14</f>
        <v>2.1728565139984317E-4</v>
      </c>
      <c r="L172" s="31">
        <f>(L134+L153)/Toxicity!$B$15</f>
        <v>1.3794292145196255E-3</v>
      </c>
      <c r="M172" s="31">
        <f>(M134+M153)/Toxicity!$B$16</f>
        <v>1.3423709090909087E-3</v>
      </c>
      <c r="N172" s="31">
        <f>(N134+N153)/Toxicity!$B$17</f>
        <v>9.3907048567870463E-5</v>
      </c>
      <c r="O172" s="31">
        <f>(O134+O153)/Toxicity!$B$18</f>
        <v>6.432439037370544E-3</v>
      </c>
      <c r="P172" s="31">
        <f>B134/Toxicity!$B$5+C134/Toxicity!$B$6+D134/Toxicity!$B$7+E134/Toxicity!$B$8+F134/Toxicity!$B$9+G134/Toxicity!$B$10+H134/Toxicity!$B$11+I134/Toxicity!$B$12+J134/Toxicity!$B$13+K134/Toxicity!$B$14+L134/Toxicity!$B$15+M134/Toxicity!$B$16+N134/Toxicity!$B$17+O134/Toxicity!$B$18</f>
        <v>9.5584873363065148E-3</v>
      </c>
      <c r="Q172" s="31">
        <f>B153/Toxicity!$B$5+C153/Toxicity!$B$6+D153/Toxicity!$B$7+E153/Toxicity!$B$8+F153/Toxicity!$B$9+G153/Toxicity!$B$10+H153/Toxicity!$B$11+I153/Toxicity!$B$12+J153/Toxicity!$B$13+K153/Toxicity!$B$14+L153/Toxicity!$B$15+M153/Toxicity!$B$16+N153/Toxicity!$B$17+O153/Toxicity!$B$18</f>
        <v>2.2455785755439894E-3</v>
      </c>
      <c r="R172" s="32">
        <f t="shared" si="4"/>
        <v>1.1804065911850504E-2</v>
      </c>
      <c r="S172" s="15" t="str">
        <f t="shared" si="5"/>
        <v>Yes — no appreciable hazard</v>
      </c>
    </row>
    <row r="175" spans="1:19" ht="15" customHeight="1" x14ac:dyDescent="0.25">
      <c r="A175" s="17" t="s">
        <v>334</v>
      </c>
    </row>
    <row r="176" spans="1:19" ht="23.25" customHeight="1" x14ac:dyDescent="0.25">
      <c r="A176" s="6" t="s">
        <v>130</v>
      </c>
      <c r="B176" s="6" t="s">
        <v>25</v>
      </c>
      <c r="C176" s="6" t="s">
        <v>26</v>
      </c>
      <c r="D176" s="6" t="s">
        <v>27</v>
      </c>
      <c r="E176" s="6" t="s">
        <v>28</v>
      </c>
      <c r="F176" s="6" t="s">
        <v>29</v>
      </c>
      <c r="G176" s="6" t="s">
        <v>30</v>
      </c>
      <c r="H176" s="6" t="s">
        <v>31</v>
      </c>
      <c r="I176" s="6" t="s">
        <v>32</v>
      </c>
      <c r="J176" s="6" t="s">
        <v>33</v>
      </c>
      <c r="K176" s="6" t="s">
        <v>34</v>
      </c>
      <c r="L176" s="6" t="s">
        <v>35</v>
      </c>
      <c r="M176" s="6" t="s">
        <v>36</v>
      </c>
      <c r="N176" s="6" t="s">
        <v>37</v>
      </c>
      <c r="O176" s="6" t="s">
        <v>38</v>
      </c>
    </row>
    <row r="177" spans="1:15" ht="15" customHeight="1" x14ac:dyDescent="0.25">
      <c r="A177" s="10" t="s">
        <v>45</v>
      </c>
      <c r="B177" s="31">
        <f>'Group Means'!C5/1000*Parameters!$D$17</f>
        <v>3.0626484018264841E-9</v>
      </c>
      <c r="C177" s="31">
        <f>'Group Means'!D5/1000*Parameters!$D$17</f>
        <v>7.0261187214611879E-9</v>
      </c>
      <c r="D177" s="31">
        <f>'Group Means'!E5/1000*Parameters!$D$17</f>
        <v>4.1453881278538808E-9</v>
      </c>
      <c r="E177" s="31">
        <f>'Group Means'!F5/1000*Parameters!$D$17</f>
        <v>4.1453881278538816E-9</v>
      </c>
      <c r="F177" s="31">
        <f>'Group Means'!G5/1000*Parameters!$D$17</f>
        <v>8.9015525114155231E-9</v>
      </c>
      <c r="G177" s="31">
        <f>'Group Means'!H5/1000*Parameters!$D$17</f>
        <v>1.1927305936073057E-8</v>
      </c>
      <c r="H177" s="31">
        <f>'Group Means'!I5/1000*Parameters!$D$17</f>
        <v>2.7733333333333333E-9</v>
      </c>
      <c r="I177" s="31">
        <f>'Group Means'!J5/1000*Parameters!$D$17</f>
        <v>5.4637442922374432E-9</v>
      </c>
      <c r="J177" s="31">
        <f>'Group Means'!K5/1000*Parameters!$D$17</f>
        <v>5.4794520547945208E-10</v>
      </c>
      <c r="K177" s="31">
        <f>'Group Means'!L5/1000*Parameters!$D$17</f>
        <v>5.4794520547945208E-10</v>
      </c>
      <c r="L177" s="31">
        <f>'Group Means'!M5/1000*Parameters!$D$17</f>
        <v>5.4794520547945208E-10</v>
      </c>
      <c r="M177" s="31">
        <f>'Group Means'!N5/1000*Parameters!$D$17</f>
        <v>1.1452054794520546E-9</v>
      </c>
      <c r="N177" s="31">
        <f>'Group Means'!O5/1000*Parameters!$D$17</f>
        <v>5.4794520547945208E-10</v>
      </c>
      <c r="O177" s="31">
        <f>'Group Means'!P5/1000*Parameters!$D$17</f>
        <v>2.4186301369863016E-9</v>
      </c>
    </row>
    <row r="178" spans="1:15" ht="15" customHeight="1" x14ac:dyDescent="0.25">
      <c r="A178" s="10" t="s">
        <v>49</v>
      </c>
      <c r="B178" s="31">
        <f>'Group Means'!C6/1000*Parameters!$D$17</f>
        <v>5.4794520547945208E-10</v>
      </c>
      <c r="C178" s="31">
        <f>'Group Means'!D6/1000*Parameters!$D$17</f>
        <v>5.1243835616438359E-9</v>
      </c>
      <c r="D178" s="31">
        <f>'Group Means'!E6/1000*Parameters!$D$17</f>
        <v>5.4794520547945208E-10</v>
      </c>
      <c r="E178" s="31">
        <f>'Group Means'!F6/1000*Parameters!$D$17</f>
        <v>5.4794520547945208E-10</v>
      </c>
      <c r="F178" s="31">
        <f>'Group Means'!G6/1000*Parameters!$D$17</f>
        <v>7.9576255707762555E-9</v>
      </c>
      <c r="G178" s="31">
        <f>'Group Means'!H6/1000*Parameters!$D$17</f>
        <v>9.134977168949772E-9</v>
      </c>
      <c r="H178" s="31">
        <f>'Group Means'!I6/1000*Parameters!$D$17</f>
        <v>5.4794520547945208E-10</v>
      </c>
      <c r="I178" s="31">
        <f>'Group Means'!J6/1000*Parameters!$D$17</f>
        <v>1.0794520547945205E-9</v>
      </c>
      <c r="J178" s="31">
        <f>'Group Means'!K6/1000*Parameters!$D$17</f>
        <v>5.4794520547945208E-10</v>
      </c>
      <c r="K178" s="31">
        <f>'Group Means'!L6/1000*Parameters!$D$17</f>
        <v>5.4794520547945208E-10</v>
      </c>
      <c r="L178" s="31">
        <f>'Group Means'!M6/1000*Parameters!$D$17</f>
        <v>5.4794520547945208E-10</v>
      </c>
      <c r="M178" s="31">
        <f>'Group Means'!N6/1000*Parameters!$D$17</f>
        <v>5.4794520547945208E-10</v>
      </c>
      <c r="N178" s="31">
        <f>'Group Means'!O6/1000*Parameters!$D$17</f>
        <v>5.4794520547945208E-10</v>
      </c>
      <c r="O178" s="31">
        <f>'Group Means'!P6/1000*Parameters!$D$17</f>
        <v>5.4794520547945208E-10</v>
      </c>
    </row>
    <row r="179" spans="1:15" ht="15" customHeight="1" x14ac:dyDescent="0.25">
      <c r="A179" s="10" t="s">
        <v>53</v>
      </c>
      <c r="B179" s="31">
        <f>'Group Means'!C7/1000*Parameters!$D$17</f>
        <v>8.2867579908675793E-9</v>
      </c>
      <c r="C179" s="31">
        <f>'Group Means'!D7/1000*Parameters!$D$17</f>
        <v>1.2696255707762556E-8</v>
      </c>
      <c r="D179" s="31">
        <f>'Group Means'!E7/1000*Parameters!$D$17</f>
        <v>7.6884018264840185E-9</v>
      </c>
      <c r="E179" s="31">
        <f>'Group Means'!F7/1000*Parameters!$D$17</f>
        <v>9.4385388127853895E-9</v>
      </c>
      <c r="F179" s="31">
        <f>'Group Means'!G7/1000*Parameters!$D$17</f>
        <v>1.0108858447488585E-8</v>
      </c>
      <c r="G179" s="31">
        <f>'Group Means'!H7/1000*Parameters!$D$17</f>
        <v>2.050447488584475E-8</v>
      </c>
      <c r="H179" s="31">
        <f>'Group Means'!I7/1000*Parameters!$D$17</f>
        <v>8.1227397260273975E-9</v>
      </c>
      <c r="I179" s="31">
        <f>'Group Means'!J7/1000*Parameters!$D$17</f>
        <v>1.6002191780821915E-8</v>
      </c>
      <c r="J179" s="31">
        <f>'Group Means'!K7/1000*Parameters!$D$17</f>
        <v>4.0442009132420094E-9</v>
      </c>
      <c r="K179" s="31">
        <f>'Group Means'!L7/1000*Parameters!$D$17</f>
        <v>4.6893150684931506E-9</v>
      </c>
      <c r="L179" s="31">
        <f>'Group Means'!M7/1000*Parameters!$D$17</f>
        <v>4.7828310502283106E-9</v>
      </c>
      <c r="M179" s="31">
        <f>'Group Means'!N7/1000*Parameters!$D$17</f>
        <v>7.8166210045662104E-9</v>
      </c>
      <c r="N179" s="31">
        <f>'Group Means'!O7/1000*Parameters!$D$17</f>
        <v>7.3749771689497715E-9</v>
      </c>
      <c r="O179" s="31">
        <f>'Group Means'!P7/1000*Parameters!$D$17</f>
        <v>1.0473789954337901E-8</v>
      </c>
    </row>
    <row r="180" spans="1:15" ht="15" customHeight="1" x14ac:dyDescent="0.25">
      <c r="A180" s="10" t="s">
        <v>58</v>
      </c>
      <c r="B180" s="31">
        <f>'Group Means'!C8/1000*Parameters!$D$17</f>
        <v>4.7101369863013682E-9</v>
      </c>
      <c r="C180" s="31">
        <f>'Group Means'!D8/1000*Parameters!$D$17</f>
        <v>6.7101369863013696E-9</v>
      </c>
      <c r="D180" s="31">
        <f>'Group Means'!E8/1000*Parameters!$D$17</f>
        <v>5.4794520547945208E-10</v>
      </c>
      <c r="E180" s="31">
        <f>'Group Means'!F8/1000*Parameters!$D$17</f>
        <v>5.9872146118721468E-9</v>
      </c>
      <c r="F180" s="31">
        <f>'Group Means'!G8/1000*Parameters!$D$17</f>
        <v>7.175890410958903E-9</v>
      </c>
      <c r="G180" s="31">
        <f>'Group Means'!H8/1000*Parameters!$D$17</f>
        <v>1.4246575342465752E-8</v>
      </c>
      <c r="H180" s="31">
        <f>'Group Means'!I8/1000*Parameters!$D$17</f>
        <v>3.3968949771689492E-9</v>
      </c>
      <c r="I180" s="31">
        <f>'Group Means'!J8/1000*Parameters!$D$17</f>
        <v>6.6911415525114161E-9</v>
      </c>
      <c r="J180" s="31">
        <f>'Group Means'!K8/1000*Parameters!$D$17</f>
        <v>5.4794520547945208E-10</v>
      </c>
      <c r="K180" s="31">
        <f>'Group Means'!L8/1000*Parameters!$D$17</f>
        <v>5.4794520547945208E-10</v>
      </c>
      <c r="L180" s="31">
        <f>'Group Means'!M8/1000*Parameters!$D$17</f>
        <v>1.2946118721461186E-9</v>
      </c>
      <c r="M180" s="31">
        <f>'Group Means'!N8/1000*Parameters!$D$17</f>
        <v>3.6789041095890406E-9</v>
      </c>
      <c r="N180" s="31">
        <f>'Group Means'!O8/1000*Parameters!$D$17</f>
        <v>5.4794520547945208E-10</v>
      </c>
      <c r="O180" s="31">
        <f>'Group Means'!P8/1000*Parameters!$D$17</f>
        <v>5.4794520547945208E-10</v>
      </c>
    </row>
    <row r="181" spans="1:15" ht="15" customHeight="1" x14ac:dyDescent="0.25">
      <c r="A181" s="10" t="s">
        <v>62</v>
      </c>
      <c r="B181" s="31">
        <f>'Group Means'!C9/1000*Parameters!$D$17</f>
        <v>6.6352511415525108E-9</v>
      </c>
      <c r="C181" s="31">
        <f>'Group Means'!D9/1000*Parameters!$D$17</f>
        <v>9.5083105022831057E-9</v>
      </c>
      <c r="D181" s="31">
        <f>'Group Means'!E9/1000*Parameters!$D$17</f>
        <v>5.5002739726027385E-9</v>
      </c>
      <c r="E181" s="31">
        <f>'Group Means'!F9/1000*Parameters!$D$17</f>
        <v>3.7179908675799093E-9</v>
      </c>
      <c r="F181" s="31">
        <f>'Group Means'!G9/1000*Parameters!$D$17</f>
        <v>8.0964383561643816E-9</v>
      </c>
      <c r="G181" s="31">
        <f>'Group Means'!H9/1000*Parameters!$D$17</f>
        <v>2.0701369863013699E-8</v>
      </c>
      <c r="H181" s="31">
        <f>'Group Means'!I9/1000*Parameters!$D$17</f>
        <v>4.3948858447488588E-9</v>
      </c>
      <c r="I181" s="31">
        <f>'Group Means'!J9/1000*Parameters!$D$17</f>
        <v>8.6578995433789957E-9</v>
      </c>
      <c r="J181" s="31">
        <f>'Group Means'!K9/1000*Parameters!$D$17</f>
        <v>5.4794520547945208E-10</v>
      </c>
      <c r="K181" s="31">
        <f>'Group Means'!L9/1000*Parameters!$D$17</f>
        <v>3.2588127853881278E-9</v>
      </c>
      <c r="L181" s="31">
        <f>'Group Means'!M9/1000*Parameters!$D$17</f>
        <v>5.4794520547945208E-10</v>
      </c>
      <c r="M181" s="31">
        <f>'Group Means'!N9/1000*Parameters!$D$17</f>
        <v>2.7594520547945207E-9</v>
      </c>
      <c r="N181" s="31">
        <f>'Group Means'!O9/1000*Parameters!$D$17</f>
        <v>1.2993607305936074E-9</v>
      </c>
      <c r="O181" s="31">
        <f>'Group Means'!P9/1000*Parameters!$D$17</f>
        <v>4.1603652968036529E-9</v>
      </c>
    </row>
    <row r="182" spans="1:15" ht="15" customHeight="1" x14ac:dyDescent="0.25">
      <c r="A182" s="10" t="s">
        <v>66</v>
      </c>
      <c r="B182" s="31">
        <f>'Group Means'!C10/1000*Parameters!$D$17</f>
        <v>7.2303196347031948E-9</v>
      </c>
      <c r="C182" s="31">
        <f>'Group Means'!D10/1000*Parameters!$D$17</f>
        <v>9.945936073059364E-9</v>
      </c>
      <c r="D182" s="31">
        <f>'Group Means'!E10/1000*Parameters!$D$17</f>
        <v>6.4208219178082179E-9</v>
      </c>
      <c r="E182" s="31">
        <f>'Group Means'!F10/1000*Parameters!$D$17</f>
        <v>5.2076712328767125E-9</v>
      </c>
      <c r="F182" s="31">
        <f>'Group Means'!G10/1000*Parameters!$D$17</f>
        <v>8.3747945205479452E-9</v>
      </c>
      <c r="G182" s="31">
        <f>'Group Means'!H10/1000*Parameters!$D$17</f>
        <v>2.2303561643835618E-8</v>
      </c>
      <c r="H182" s="31">
        <f>'Group Means'!I10/1000*Parameters!$D$17</f>
        <v>5.8166210045662099E-9</v>
      </c>
      <c r="I182" s="31">
        <f>'Group Means'!J10/1000*Parameters!$D$17</f>
        <v>1.1531689497716896E-8</v>
      </c>
      <c r="J182" s="31">
        <f>'Group Means'!K10/1000*Parameters!$D$17</f>
        <v>5.4794520547945208E-10</v>
      </c>
      <c r="K182" s="31">
        <f>'Group Means'!L10/1000*Parameters!$D$17</f>
        <v>3.6730593607305934E-9</v>
      </c>
      <c r="L182" s="31">
        <f>'Group Means'!M10/1000*Parameters!$D$17</f>
        <v>1.6467579908675799E-9</v>
      </c>
      <c r="M182" s="31">
        <f>'Group Means'!N10/1000*Parameters!$D$17</f>
        <v>5.4794520547945208E-10</v>
      </c>
      <c r="N182" s="31">
        <f>'Group Means'!O10/1000*Parameters!$D$17</f>
        <v>1.461917808219178E-9</v>
      </c>
      <c r="O182" s="31">
        <f>'Group Means'!P10/1000*Parameters!$D$17</f>
        <v>3.8754337899543374E-9</v>
      </c>
    </row>
    <row r="183" spans="1:15" ht="15" customHeight="1" x14ac:dyDescent="0.25">
      <c r="A183" s="10" t="s">
        <v>71</v>
      </c>
      <c r="B183" s="31">
        <f>'Group Means'!C11/1000*Parameters!$D$17</f>
        <v>9.1492237442922378E-9</v>
      </c>
      <c r="C183" s="31">
        <f>'Group Means'!D11/1000*Parameters!$D$17</f>
        <v>9.7749771689497715E-9</v>
      </c>
      <c r="D183" s="31">
        <f>'Group Means'!E11/1000*Parameters!$D$17</f>
        <v>5.4794520547945208E-10</v>
      </c>
      <c r="E183" s="31">
        <f>'Group Means'!F11/1000*Parameters!$D$17</f>
        <v>5.5042922374429224E-9</v>
      </c>
      <c r="F183" s="31">
        <f>'Group Means'!G11/1000*Parameters!$D$17</f>
        <v>8.3276712328767116E-9</v>
      </c>
      <c r="G183" s="31">
        <f>'Group Means'!H11/1000*Parameters!$D$17</f>
        <v>2.178703196347032E-8</v>
      </c>
      <c r="H183" s="31">
        <f>'Group Means'!I11/1000*Parameters!$D$17</f>
        <v>7.4400000000000008E-9</v>
      </c>
      <c r="I183" s="31">
        <f>'Group Means'!J11/1000*Parameters!$D$17</f>
        <v>1.4656803652968036E-8</v>
      </c>
      <c r="J183" s="31">
        <f>'Group Means'!K11/1000*Parameters!$D$17</f>
        <v>3.0020091324200911E-9</v>
      </c>
      <c r="K183" s="31">
        <f>'Group Means'!L11/1000*Parameters!$D$17</f>
        <v>3.4995433789954337E-9</v>
      </c>
      <c r="L183" s="31">
        <f>'Group Means'!M11/1000*Parameters!$D$17</f>
        <v>1.8973515981735161E-9</v>
      </c>
      <c r="M183" s="31">
        <f>'Group Means'!N11/1000*Parameters!$D$17</f>
        <v>4.0445662100456625E-9</v>
      </c>
      <c r="N183" s="31">
        <f>'Group Means'!O11/1000*Parameters!$D$17</f>
        <v>5.4794520547945208E-10</v>
      </c>
      <c r="O183" s="31">
        <f>'Group Means'!P11/1000*Parameters!$D$17</f>
        <v>3.4757990867579911E-9</v>
      </c>
    </row>
    <row r="184" spans="1:15" ht="15" customHeight="1" x14ac:dyDescent="0.25">
      <c r="A184" s="10" t="s">
        <v>75</v>
      </c>
      <c r="B184" s="31">
        <f>'Group Means'!C12/1000*Parameters!$D$17</f>
        <v>1.0101187214611872E-8</v>
      </c>
      <c r="C184" s="31">
        <f>'Group Means'!D12/1000*Parameters!$D$17</f>
        <v>9.552511415525114E-9</v>
      </c>
      <c r="D184" s="31">
        <f>'Group Means'!E12/1000*Parameters!$D$17</f>
        <v>9.3344292237442895E-9</v>
      </c>
      <c r="E184" s="31">
        <f>'Group Means'!F12/1000*Parameters!$D$17</f>
        <v>5.6211872146118714E-9</v>
      </c>
      <c r="F184" s="31">
        <f>'Group Means'!G12/1000*Parameters!$D$17</f>
        <v>8.9106849315068496E-9</v>
      </c>
      <c r="G184" s="31">
        <f>'Group Means'!H12/1000*Parameters!$D$17</f>
        <v>2.2954155251141555E-8</v>
      </c>
      <c r="H184" s="31">
        <f>'Group Means'!I12/1000*Parameters!$D$17</f>
        <v>6.3996347031963471E-9</v>
      </c>
      <c r="I184" s="31">
        <f>'Group Means'!J12/1000*Parameters!$D$17</f>
        <v>1.2606757990867581E-8</v>
      </c>
      <c r="J184" s="31">
        <f>'Group Means'!K12/1000*Parameters!$D$17</f>
        <v>2.5534246575342467E-9</v>
      </c>
      <c r="K184" s="31">
        <f>'Group Means'!L12/1000*Parameters!$D$17</f>
        <v>6.0116894977168953E-9</v>
      </c>
      <c r="L184" s="31">
        <f>'Group Means'!M12/1000*Parameters!$D$17</f>
        <v>2.297351598173516E-9</v>
      </c>
      <c r="M184" s="31">
        <f>'Group Means'!N12/1000*Parameters!$D$17</f>
        <v>4.1249315068493146E-9</v>
      </c>
      <c r="N184" s="31">
        <f>'Group Means'!O12/1000*Parameters!$D$17</f>
        <v>3.644931506849315E-9</v>
      </c>
      <c r="O184" s="31">
        <f>'Group Means'!P12/1000*Parameters!$D$17</f>
        <v>6.2831050228310504E-9</v>
      </c>
    </row>
    <row r="185" spans="1:15" ht="15" customHeight="1" x14ac:dyDescent="0.25">
      <c r="A185" s="10" t="s">
        <v>79</v>
      </c>
      <c r="B185" s="31">
        <f>'Group Means'!C13/1000*Parameters!$D$17</f>
        <v>1.0362739726027398E-8</v>
      </c>
      <c r="C185" s="31">
        <f>'Group Means'!D13/1000*Parameters!$D$17</f>
        <v>1.0996894977168949E-8</v>
      </c>
      <c r="D185" s="31">
        <f>'Group Means'!E13/1000*Parameters!$D$17</f>
        <v>6.9983561643835618E-9</v>
      </c>
      <c r="E185" s="31">
        <f>'Group Means'!F13/1000*Parameters!$D$17</f>
        <v>9.491872146118721E-9</v>
      </c>
      <c r="F185" s="31">
        <f>'Group Means'!G13/1000*Parameters!$D$17</f>
        <v>1.0148675799086758E-8</v>
      </c>
      <c r="G185" s="31">
        <f>'Group Means'!H13/1000*Parameters!$D$17</f>
        <v>2.3265753424657532E-8</v>
      </c>
      <c r="H185" s="31">
        <f>'Group Means'!I13/1000*Parameters!$D$17</f>
        <v>8.1746118721461181E-9</v>
      </c>
      <c r="I185" s="31">
        <f>'Group Means'!J13/1000*Parameters!$D$17</f>
        <v>1.6104840182648404E-8</v>
      </c>
      <c r="J185" s="31">
        <f>'Group Means'!K13/1000*Parameters!$D$17</f>
        <v>2.4781735159817352E-9</v>
      </c>
      <c r="K185" s="31">
        <f>'Group Means'!L13/1000*Parameters!$D$17</f>
        <v>6.6257534246575336E-9</v>
      </c>
      <c r="L185" s="31">
        <f>'Group Means'!M13/1000*Parameters!$D$17</f>
        <v>3.6500456621004572E-9</v>
      </c>
      <c r="M185" s="31">
        <f>'Group Means'!N13/1000*Parameters!$D$17</f>
        <v>5.0918721461187221E-9</v>
      </c>
      <c r="N185" s="31">
        <f>'Group Means'!O13/1000*Parameters!$D$17</f>
        <v>3.140456621004567E-9</v>
      </c>
      <c r="O185" s="31">
        <f>'Group Means'!P13/1000*Parameters!$D$17</f>
        <v>5.9254794520547951E-9</v>
      </c>
    </row>
    <row r="186" spans="1:15" ht="15" customHeight="1" x14ac:dyDescent="0.25">
      <c r="A186" s="10" t="s">
        <v>83</v>
      </c>
      <c r="B186" s="31">
        <f>'Group Means'!C14/1000*Parameters!$D$17</f>
        <v>1.0941369863013698E-8</v>
      </c>
      <c r="C186" s="31">
        <f>'Group Means'!D14/1000*Parameters!$D$17</f>
        <v>1.4447853881278538E-8</v>
      </c>
      <c r="D186" s="31">
        <f>'Group Means'!E14/1000*Parameters!$D$17</f>
        <v>1.0047488584474888E-8</v>
      </c>
      <c r="E186" s="31">
        <f>'Group Means'!F14/1000*Parameters!$D$17</f>
        <v>7.1506849315068491E-9</v>
      </c>
      <c r="F186" s="31">
        <f>'Group Means'!G14/1000*Parameters!$D$17</f>
        <v>1.0049680365296805E-8</v>
      </c>
      <c r="G186" s="31">
        <f>'Group Means'!H14/1000*Parameters!$D$17</f>
        <v>2.6223196347031965E-8</v>
      </c>
      <c r="H186" s="31">
        <f>'Group Means'!I14/1000*Parameters!$D$17</f>
        <v>7.3811872146118711E-9</v>
      </c>
      <c r="I186" s="31">
        <f>'Group Means'!J14/1000*Parameters!$D$17</f>
        <v>1.4614429223744291E-8</v>
      </c>
      <c r="J186" s="31">
        <f>'Group Means'!K14/1000*Parameters!$D$17</f>
        <v>3.8885844748858445E-9</v>
      </c>
      <c r="K186" s="31">
        <f>'Group Means'!L14/1000*Parameters!$D$17</f>
        <v>9.0414611872146095E-9</v>
      </c>
      <c r="L186" s="31">
        <f>'Group Means'!M14/1000*Parameters!$D$17</f>
        <v>4.7382648401826483E-9</v>
      </c>
      <c r="M186" s="31">
        <f>'Group Means'!N14/1000*Parameters!$D$17</f>
        <v>7.9236529680365291E-9</v>
      </c>
      <c r="N186" s="31">
        <f>'Group Means'!O14/1000*Parameters!$D$17</f>
        <v>5.4326940639269412E-9</v>
      </c>
      <c r="O186" s="31">
        <f>'Group Means'!P14/1000*Parameters!$D$17</f>
        <v>9.0301369863013707E-9</v>
      </c>
    </row>
    <row r="187" spans="1:15" ht="15" customHeight="1" x14ac:dyDescent="0.25">
      <c r="A187" s="10" t="s">
        <v>87</v>
      </c>
      <c r="B187" s="31">
        <f>'Group Means'!C15/1000*Parameters!$D$17</f>
        <v>1.3288401826484019E-8</v>
      </c>
      <c r="C187" s="31">
        <f>'Group Means'!D15/1000*Parameters!$D$17</f>
        <v>1.5181369863013697E-8</v>
      </c>
      <c r="D187" s="31">
        <f>'Group Means'!E15/1000*Parameters!$D$17</f>
        <v>1.2618082191780823E-8</v>
      </c>
      <c r="E187" s="31">
        <f>'Group Means'!F15/1000*Parameters!$D$17</f>
        <v>1.0204566210045664E-8</v>
      </c>
      <c r="F187" s="31">
        <f>'Group Means'!G15/1000*Parameters!$D$17</f>
        <v>1.2496073059360731E-8</v>
      </c>
      <c r="G187" s="31">
        <f>'Group Means'!H15/1000*Parameters!$D$17</f>
        <v>3.2825570776255702E-8</v>
      </c>
      <c r="H187" s="31">
        <f>'Group Means'!I15/1000*Parameters!$D$17</f>
        <v>9.2178995433789954E-9</v>
      </c>
      <c r="I187" s="31">
        <f>'Group Means'!J15/1000*Parameters!$D$17</f>
        <v>1.8195799086757993E-8</v>
      </c>
      <c r="J187" s="31">
        <f>'Group Means'!K15/1000*Parameters!$D$17</f>
        <v>4.8938812785388123E-9</v>
      </c>
      <c r="K187" s="31">
        <f>'Group Means'!L15/1000*Parameters!$D$17</f>
        <v>1.682703196347032E-8</v>
      </c>
      <c r="L187" s="31">
        <f>'Group Means'!M15/1000*Parameters!$D$17</f>
        <v>8.5318721461187227E-9</v>
      </c>
      <c r="M187" s="31">
        <f>'Group Means'!N15/1000*Parameters!$D$17</f>
        <v>1.1758904109589039E-8</v>
      </c>
      <c r="N187" s="31">
        <f>'Group Means'!O15/1000*Parameters!$D$17</f>
        <v>1.0040182648401826E-8</v>
      </c>
      <c r="O187" s="31">
        <f>'Group Means'!P15/1000*Parameters!$D$17</f>
        <v>1.485771689497717E-8</v>
      </c>
    </row>
    <row r="188" spans="1:15" ht="15" customHeight="1" x14ac:dyDescent="0.25">
      <c r="A188" s="17" t="s">
        <v>44</v>
      </c>
      <c r="B188" s="31">
        <f>'Group Means'!C16/1000*Parameters!$D$17</f>
        <v>3.9657838660578392E-9</v>
      </c>
      <c r="C188" s="31">
        <f>'Group Means'!D16/1000*Parameters!$D$17</f>
        <v>8.2822526636225278E-9</v>
      </c>
      <c r="D188" s="31">
        <f>'Group Means'!E16/1000*Parameters!$D$17</f>
        <v>4.1272450532724496E-9</v>
      </c>
      <c r="E188" s="31">
        <f>'Group Means'!F16/1000*Parameters!$D$17</f>
        <v>4.7106240487062408E-9</v>
      </c>
      <c r="F188" s="31">
        <f>'Group Means'!G16/1000*Parameters!$D$17</f>
        <v>8.9893455098934552E-9</v>
      </c>
      <c r="G188" s="31">
        <f>'Group Means'!H16/1000*Parameters!$D$17</f>
        <v>1.385558599695586E-8</v>
      </c>
      <c r="H188" s="31">
        <f>'Group Means'!I16/1000*Parameters!$D$17</f>
        <v>3.8146727549467275E-9</v>
      </c>
      <c r="I188" s="31">
        <f>'Group Means'!J16/1000*Parameters!$D$17</f>
        <v>7.5151293759512934E-9</v>
      </c>
      <c r="J188" s="31">
        <f>'Group Means'!K16/1000*Parameters!$D$17</f>
        <v>1.7133637747336378E-9</v>
      </c>
      <c r="K188" s="31">
        <f>'Group Means'!L16/1000*Parameters!$D$17</f>
        <v>1.9284018264840185E-9</v>
      </c>
      <c r="L188" s="31">
        <f>'Group Means'!M16/1000*Parameters!$D$17</f>
        <v>1.9595738203957382E-9</v>
      </c>
      <c r="M188" s="31">
        <f>'Group Means'!N16/1000*Parameters!$D$17</f>
        <v>3.1699238964992386E-9</v>
      </c>
      <c r="N188" s="31">
        <f>'Group Means'!O16/1000*Parameters!$D$17</f>
        <v>2.8236225266362255E-9</v>
      </c>
      <c r="O188" s="31">
        <f>'Group Means'!P16/1000*Parameters!$D$17</f>
        <v>4.4801217656012171E-9</v>
      </c>
    </row>
    <row r="189" spans="1:15" ht="15" customHeight="1" x14ac:dyDescent="0.25">
      <c r="A189" s="17" t="s">
        <v>57</v>
      </c>
      <c r="B189" s="31">
        <f>'Group Means'!C17/1000*Parameters!$D$17</f>
        <v>6.1919025875190255E-9</v>
      </c>
      <c r="C189" s="31">
        <f>'Group Means'!D17/1000*Parameters!$D$17</f>
        <v>8.7214611872146106E-9</v>
      </c>
      <c r="D189" s="31">
        <f>'Group Means'!E17/1000*Parameters!$D$17</f>
        <v>4.1563470319634706E-9</v>
      </c>
      <c r="E189" s="31">
        <f>'Group Means'!F17/1000*Parameters!$D$17</f>
        <v>4.9709589041095892E-9</v>
      </c>
      <c r="F189" s="31">
        <f>'Group Means'!G17/1000*Parameters!$D$17</f>
        <v>7.8823744292237444E-9</v>
      </c>
      <c r="G189" s="31">
        <f>'Group Means'!H17/1000*Parameters!$D$17</f>
        <v>1.908383561643836E-8</v>
      </c>
      <c r="H189" s="31">
        <f>'Group Means'!I17/1000*Parameters!$D$17</f>
        <v>4.5361339421613393E-9</v>
      </c>
      <c r="I189" s="31">
        <f>'Group Means'!J17/1000*Parameters!$D$17</f>
        <v>8.9602435312024343E-9</v>
      </c>
      <c r="J189" s="31">
        <f>'Group Means'!K17/1000*Parameters!$D$17</f>
        <v>5.4794520547945208E-10</v>
      </c>
      <c r="K189" s="31">
        <f>'Group Means'!L17/1000*Parameters!$D$17</f>
        <v>2.4932724505327241E-9</v>
      </c>
      <c r="L189" s="31">
        <f>'Group Means'!M17/1000*Parameters!$D$17</f>
        <v>1.1631050228310501E-9</v>
      </c>
      <c r="M189" s="31">
        <f>'Group Means'!N17/1000*Parameters!$D$17</f>
        <v>2.3287671232876715E-9</v>
      </c>
      <c r="N189" s="31">
        <f>'Group Means'!O17/1000*Parameters!$D$17</f>
        <v>1.1030745814307459E-9</v>
      </c>
      <c r="O189" s="31">
        <f>'Group Means'!P17/1000*Parameters!$D$17</f>
        <v>2.8612480974124806E-9</v>
      </c>
    </row>
    <row r="190" spans="1:15" ht="15" customHeight="1" x14ac:dyDescent="0.25">
      <c r="A190" s="17" t="s">
        <v>70</v>
      </c>
      <c r="B190" s="31">
        <f>'Group Means'!C18/1000*Parameters!$D$17</f>
        <v>1.0768584474885846E-8</v>
      </c>
      <c r="C190" s="31">
        <f>'Group Means'!D18/1000*Parameters!$D$17</f>
        <v>1.1990721461187213E-8</v>
      </c>
      <c r="D190" s="31">
        <f>'Group Means'!E18/1000*Parameters!$D$17</f>
        <v>7.9092602739726033E-9</v>
      </c>
      <c r="E190" s="31">
        <f>'Group Means'!F18/1000*Parameters!$D$17</f>
        <v>7.594520547945207E-9</v>
      </c>
      <c r="F190" s="31">
        <f>'Group Means'!G18/1000*Parameters!$D$17</f>
        <v>9.9865570776255699E-9</v>
      </c>
      <c r="G190" s="31">
        <f>'Group Means'!H18/1000*Parameters!$D$17</f>
        <v>2.5411141552511413E-8</v>
      </c>
      <c r="H190" s="31">
        <f>'Group Means'!I18/1000*Parameters!$D$17</f>
        <v>7.7226666666666648E-9</v>
      </c>
      <c r="I190" s="31">
        <f>'Group Means'!J18/1000*Parameters!$D$17</f>
        <v>1.5235726027397258E-8</v>
      </c>
      <c r="J190" s="31">
        <f>'Group Means'!K18/1000*Parameters!$D$17</f>
        <v>3.3632146118721468E-9</v>
      </c>
      <c r="K190" s="31">
        <f>'Group Means'!L18/1000*Parameters!$D$17</f>
        <v>8.4010958904109578E-9</v>
      </c>
      <c r="L190" s="31">
        <f>'Group Means'!M18/1000*Parameters!$D$17</f>
        <v>4.2229771689497716E-9</v>
      </c>
      <c r="M190" s="31">
        <f>'Group Means'!N18/1000*Parameters!$D$17</f>
        <v>6.5887853881278519E-9</v>
      </c>
      <c r="N190" s="31">
        <f>'Group Means'!O18/1000*Parameters!$D$17</f>
        <v>4.5612420091324202E-9</v>
      </c>
      <c r="O190" s="31">
        <f>'Group Means'!P18/1000*Parameters!$D$17</f>
        <v>7.9144474885844718E-9</v>
      </c>
    </row>
    <row r="191" spans="1:15" ht="15" customHeight="1" x14ac:dyDescent="0.25">
      <c r="A191" s="17" t="s">
        <v>127</v>
      </c>
      <c r="B191" s="31">
        <f>'Group Means'!C19/1000*Parameters!$D$17</f>
        <v>7.6650892486508939E-9</v>
      </c>
      <c r="C191" s="31">
        <f>'Group Means'!D19/1000*Parameters!$D$17</f>
        <v>1.0087704441677046E-8</v>
      </c>
      <c r="D191" s="31">
        <f>'Group Means'!E19/1000*Parameters!$D$17</f>
        <v>5.8542797841427968E-9</v>
      </c>
      <c r="E191" s="31">
        <f>'Group Means'!F19/1000*Parameters!$D$17</f>
        <v>6.092486508924864E-9</v>
      </c>
      <c r="F191" s="31">
        <f>'Group Means'!G19/1000*Parameters!$D$17</f>
        <v>9.1407222914072227E-9</v>
      </c>
      <c r="G191" s="31">
        <f>'Group Means'!H19/1000*Parameters!$D$17</f>
        <v>2.0533997509339972E-8</v>
      </c>
      <c r="H191" s="31">
        <f>'Group Means'!I19/1000*Parameters!$D$17</f>
        <v>5.787795765877959E-9</v>
      </c>
      <c r="I191" s="31">
        <f>'Group Means'!J19/1000*Parameters!$D$17</f>
        <v>1.1418613532586137E-8</v>
      </c>
      <c r="J191" s="31">
        <f>'Group Means'!K19/1000*Parameters!$D$17</f>
        <v>2.1454545454545454E-9</v>
      </c>
      <c r="K191" s="31">
        <f>'Group Means'!L19/1000*Parameters!$D$17</f>
        <v>5.0245911166459112E-9</v>
      </c>
      <c r="L191" s="31">
        <f>'Group Means'!M19/1000*Parameters!$D$17</f>
        <v>2.7711747613117477E-9</v>
      </c>
      <c r="M191" s="31">
        <f>'Group Means'!N19/1000*Parameters!$D$17</f>
        <v>4.494545454545454E-9</v>
      </c>
      <c r="N191" s="31">
        <f>'Group Means'!O19/1000*Parameters!$D$17</f>
        <v>3.1442092154420914E-9</v>
      </c>
      <c r="O191" s="31">
        <f>'Group Means'!P19/1000*Parameters!$D$17</f>
        <v>5.5996679119966795E-9</v>
      </c>
    </row>
    <row r="194" spans="1:15" ht="15" customHeight="1" x14ac:dyDescent="0.25">
      <c r="A194" s="17" t="s">
        <v>335</v>
      </c>
    </row>
    <row r="195" spans="1:15" ht="23.25" customHeight="1" x14ac:dyDescent="0.25">
      <c r="A195" s="6" t="s">
        <v>130</v>
      </c>
      <c r="B195" s="6" t="s">
        <v>25</v>
      </c>
      <c r="C195" s="6" t="s">
        <v>26</v>
      </c>
      <c r="D195" s="6" t="s">
        <v>27</v>
      </c>
      <c r="E195" s="6" t="s">
        <v>28</v>
      </c>
      <c r="F195" s="6" t="s">
        <v>29</v>
      </c>
      <c r="G195" s="6" t="s">
        <v>30</v>
      </c>
      <c r="H195" s="6" t="s">
        <v>31</v>
      </c>
      <c r="I195" s="6" t="s">
        <v>32</v>
      </c>
      <c r="J195" s="6" t="s">
        <v>33</v>
      </c>
      <c r="K195" s="6" t="s">
        <v>34</v>
      </c>
      <c r="L195" s="6" t="s">
        <v>35</v>
      </c>
      <c r="M195" s="6" t="s">
        <v>36</v>
      </c>
      <c r="N195" s="6" t="s">
        <v>37</v>
      </c>
      <c r="O195" s="6" t="s">
        <v>38</v>
      </c>
    </row>
    <row r="196" spans="1:15" ht="15" customHeight="1" x14ac:dyDescent="0.25">
      <c r="A196" s="10" t="s">
        <v>45</v>
      </c>
      <c r="B196" s="31">
        <f>'Group Means'!C5/1000*Parameters!$D$18*Toxicity!$D$5</f>
        <v>2.5726246575342466E-10</v>
      </c>
      <c r="C196" s="31">
        <f>'Group Means'!D5/1000*Parameters!$D$18*Toxicity!$D$6</f>
        <v>5.9019397260273973E-10</v>
      </c>
      <c r="D196" s="31">
        <f>'Group Means'!E5/1000*Parameters!$D$18*Toxicity!$D$7</f>
        <v>3.4821260273972598E-10</v>
      </c>
      <c r="E196" s="31">
        <f>'Group Means'!F5/1000*Parameters!$D$18*Toxicity!$D$8</f>
        <v>3.4821260273972603E-10</v>
      </c>
      <c r="F196" s="31">
        <f>'Group Means'!G5/1000*Parameters!$D$18*Toxicity!$D$9</f>
        <v>7.4773041095890398E-10</v>
      </c>
      <c r="G196" s="31">
        <f>'Group Means'!H5/1000*Parameters!$D$18*Toxicity!$D$10</f>
        <v>1.0018936986301367E-9</v>
      </c>
      <c r="H196" s="31">
        <f>'Group Means'!I5/1000*Parameters!$D$18*Toxicity!$D$11</f>
        <v>3.1061333333333332E-10</v>
      </c>
      <c r="I196" s="31">
        <f>'Group Means'!J5/1000*Parameters!$D$18*Toxicity!$D$12</f>
        <v>6.1193936073059363E-10</v>
      </c>
      <c r="J196" s="31">
        <f>'Group Means'!K5/1000*Parameters!$D$18*Toxicity!$D$13</f>
        <v>6.1369863013698624E-11</v>
      </c>
      <c r="K196" s="31">
        <f>'Group Means'!L5/1000*Parameters!$D$18*Toxicity!$D$14</f>
        <v>6.1369863013698624E-11</v>
      </c>
      <c r="L196" s="31">
        <f>'Group Means'!M5/1000*Parameters!$D$18*Toxicity!$D$15</f>
        <v>1.5342465753424658E-10</v>
      </c>
      <c r="M196" s="31">
        <f>'Group Means'!N5/1000*Parameters!$D$18*Toxicity!$D$16</f>
        <v>3.2065753424657535E-10</v>
      </c>
      <c r="N196" s="31">
        <f>'Group Means'!O5/1000*Parameters!$D$18*Toxicity!$D$17</f>
        <v>1.5342465753424658E-10</v>
      </c>
      <c r="O196" s="31">
        <f>'Group Means'!P5/1000*Parameters!$D$18*Toxicity!$D$18</f>
        <v>6.7721643835616447E-10</v>
      </c>
    </row>
    <row r="197" spans="1:15" ht="15" customHeight="1" x14ac:dyDescent="0.25">
      <c r="A197" s="10" t="s">
        <v>49</v>
      </c>
      <c r="B197" s="31">
        <f>'Group Means'!C6/1000*Parameters!$D$18*Toxicity!$D$5</f>
        <v>4.6027397260273968E-11</v>
      </c>
      <c r="C197" s="31">
        <f>'Group Means'!D6/1000*Parameters!$D$18*Toxicity!$D$6</f>
        <v>4.304482191780822E-10</v>
      </c>
      <c r="D197" s="31">
        <f>'Group Means'!E6/1000*Parameters!$D$18*Toxicity!$D$7</f>
        <v>4.6027397260273968E-11</v>
      </c>
      <c r="E197" s="31">
        <f>'Group Means'!F6/1000*Parameters!$D$18*Toxicity!$D$8</f>
        <v>4.6027397260273968E-11</v>
      </c>
      <c r="F197" s="31">
        <f>'Group Means'!G6/1000*Parameters!$D$18*Toxicity!$D$9</f>
        <v>6.6844054794520539E-10</v>
      </c>
      <c r="G197" s="31">
        <f>'Group Means'!H6/1000*Parameters!$D$18*Toxicity!$D$10</f>
        <v>7.6733808219178077E-10</v>
      </c>
      <c r="H197" s="31">
        <f>'Group Means'!I6/1000*Parameters!$D$18*Toxicity!$D$11</f>
        <v>6.1369863013698624E-11</v>
      </c>
      <c r="I197" s="31">
        <f>'Group Means'!J6/1000*Parameters!$D$18*Toxicity!$D$12</f>
        <v>1.2089863013698629E-10</v>
      </c>
      <c r="J197" s="31">
        <f>'Group Means'!K6/1000*Parameters!$D$18*Toxicity!$D$13</f>
        <v>6.1369863013698624E-11</v>
      </c>
      <c r="K197" s="31">
        <f>'Group Means'!L6/1000*Parameters!$D$18*Toxicity!$D$14</f>
        <v>6.1369863013698624E-11</v>
      </c>
      <c r="L197" s="31">
        <f>'Group Means'!M6/1000*Parameters!$D$18*Toxicity!$D$15</f>
        <v>1.5342465753424658E-10</v>
      </c>
      <c r="M197" s="31">
        <f>'Group Means'!N6/1000*Parameters!$D$18*Toxicity!$D$16</f>
        <v>1.5342465753424658E-10</v>
      </c>
      <c r="N197" s="31">
        <f>'Group Means'!O6/1000*Parameters!$D$18*Toxicity!$D$17</f>
        <v>1.5342465753424658E-10</v>
      </c>
      <c r="O197" s="31">
        <f>'Group Means'!P6/1000*Parameters!$D$18*Toxicity!$D$18</f>
        <v>1.5342465753424658E-10</v>
      </c>
    </row>
    <row r="198" spans="1:15" ht="15" customHeight="1" x14ac:dyDescent="0.25">
      <c r="A198" s="10" t="s">
        <v>53</v>
      </c>
      <c r="B198" s="31">
        <f>'Group Means'!C7/1000*Parameters!$D$18*Toxicity!$D$5</f>
        <v>6.960876712328766E-10</v>
      </c>
      <c r="C198" s="31">
        <f>'Group Means'!D7/1000*Parameters!$D$18*Toxicity!$D$6</f>
        <v>1.0664854794520547E-9</v>
      </c>
      <c r="D198" s="31">
        <f>'Group Means'!E7/1000*Parameters!$D$18*Toxicity!$D$7</f>
        <v>6.4582575342465752E-10</v>
      </c>
      <c r="E198" s="31">
        <f>'Group Means'!F7/1000*Parameters!$D$18*Toxicity!$D$8</f>
        <v>7.9283726027397268E-10</v>
      </c>
      <c r="F198" s="31">
        <f>'Group Means'!G7/1000*Parameters!$D$18*Toxicity!$D$9</f>
        <v>8.4914410958904109E-10</v>
      </c>
      <c r="G198" s="31">
        <f>'Group Means'!H7/1000*Parameters!$D$18*Toxicity!$D$10</f>
        <v>1.7223758904109589E-9</v>
      </c>
      <c r="H198" s="31">
        <f>'Group Means'!I7/1000*Parameters!$D$18*Toxicity!$D$11</f>
        <v>9.0974684931506852E-10</v>
      </c>
      <c r="I198" s="31">
        <f>'Group Means'!J7/1000*Parameters!$D$18*Toxicity!$D$12</f>
        <v>1.7922454794520547E-9</v>
      </c>
      <c r="J198" s="31">
        <f>'Group Means'!K7/1000*Parameters!$D$18*Toxicity!$D$13</f>
        <v>4.5295050228310506E-10</v>
      </c>
      <c r="K198" s="31">
        <f>'Group Means'!L7/1000*Parameters!$D$18*Toxicity!$D$14</f>
        <v>5.2520328767123282E-10</v>
      </c>
      <c r="L198" s="31">
        <f>'Group Means'!M7/1000*Parameters!$D$18*Toxicity!$D$15</f>
        <v>1.3391926940639272E-9</v>
      </c>
      <c r="M198" s="31">
        <f>'Group Means'!N7/1000*Parameters!$D$18*Toxicity!$D$16</f>
        <v>2.188653881278539E-9</v>
      </c>
      <c r="N198" s="31">
        <f>'Group Means'!O7/1000*Parameters!$D$18*Toxicity!$D$17</f>
        <v>2.0649936073059361E-9</v>
      </c>
      <c r="O198" s="31">
        <f>'Group Means'!P7/1000*Parameters!$D$18*Toxicity!$D$18</f>
        <v>2.9326611872146122E-9</v>
      </c>
    </row>
    <row r="199" spans="1:15" ht="15" customHeight="1" x14ac:dyDescent="0.25">
      <c r="A199" s="10" t="s">
        <v>58</v>
      </c>
      <c r="B199" s="31">
        <f>'Group Means'!C8/1000*Parameters!$D$18*Toxicity!$D$5</f>
        <v>3.9565150684931493E-10</v>
      </c>
      <c r="C199" s="31">
        <f>'Group Means'!D8/1000*Parameters!$D$18*Toxicity!$D$6</f>
        <v>5.6365150684931508E-10</v>
      </c>
      <c r="D199" s="31">
        <f>'Group Means'!E8/1000*Parameters!$D$18*Toxicity!$D$7</f>
        <v>4.6027397260273968E-11</v>
      </c>
      <c r="E199" s="31">
        <f>'Group Means'!F8/1000*Parameters!$D$18*Toxicity!$D$8</f>
        <v>5.0292602739726032E-10</v>
      </c>
      <c r="F199" s="31">
        <f>'Group Means'!G8/1000*Parameters!$D$18*Toxicity!$D$9</f>
        <v>6.0277479452054785E-10</v>
      </c>
      <c r="G199" s="31">
        <f>'Group Means'!H8/1000*Parameters!$D$18*Toxicity!$D$10</f>
        <v>1.1967123287671232E-9</v>
      </c>
      <c r="H199" s="31">
        <f>'Group Means'!I8/1000*Parameters!$D$18*Toxicity!$D$11</f>
        <v>3.8045223744292237E-10</v>
      </c>
      <c r="I199" s="31">
        <f>'Group Means'!J8/1000*Parameters!$D$18*Toxicity!$D$12</f>
        <v>7.4940785388127861E-10</v>
      </c>
      <c r="J199" s="31">
        <f>'Group Means'!K8/1000*Parameters!$D$18*Toxicity!$D$13</f>
        <v>6.1369863013698624E-11</v>
      </c>
      <c r="K199" s="31">
        <f>'Group Means'!L8/1000*Parameters!$D$18*Toxicity!$D$14</f>
        <v>6.1369863013698624E-11</v>
      </c>
      <c r="L199" s="31">
        <f>'Group Means'!M8/1000*Parameters!$D$18*Toxicity!$D$15</f>
        <v>3.6249132420091325E-10</v>
      </c>
      <c r="M199" s="31">
        <f>'Group Means'!N8/1000*Parameters!$D$18*Toxicity!$D$16</f>
        <v>1.0300931506849315E-9</v>
      </c>
      <c r="N199" s="31">
        <f>'Group Means'!O8/1000*Parameters!$D$18*Toxicity!$D$17</f>
        <v>1.5342465753424658E-10</v>
      </c>
      <c r="O199" s="31">
        <f>'Group Means'!P8/1000*Parameters!$D$18*Toxicity!$D$18</f>
        <v>1.5342465753424658E-10</v>
      </c>
    </row>
    <row r="200" spans="1:15" ht="15" customHeight="1" x14ac:dyDescent="0.25">
      <c r="A200" s="10" t="s">
        <v>62</v>
      </c>
      <c r="B200" s="31">
        <f>'Group Means'!C9/1000*Parameters!$D$18*Toxicity!$D$5</f>
        <v>5.5736109589041086E-10</v>
      </c>
      <c r="C200" s="31">
        <f>'Group Means'!D9/1000*Parameters!$D$18*Toxicity!$D$6</f>
        <v>7.9869808219178085E-10</v>
      </c>
      <c r="D200" s="31">
        <f>'Group Means'!E9/1000*Parameters!$D$18*Toxicity!$D$7</f>
        <v>4.6202301369863005E-10</v>
      </c>
      <c r="E200" s="31">
        <f>'Group Means'!F9/1000*Parameters!$D$18*Toxicity!$D$8</f>
        <v>3.1231123287671236E-10</v>
      </c>
      <c r="F200" s="31">
        <f>'Group Means'!G9/1000*Parameters!$D$18*Toxicity!$D$9</f>
        <v>6.8010082191780811E-10</v>
      </c>
      <c r="G200" s="31">
        <f>'Group Means'!H9/1000*Parameters!$D$18*Toxicity!$D$10</f>
        <v>1.7389150684931507E-9</v>
      </c>
      <c r="H200" s="31">
        <f>'Group Means'!I9/1000*Parameters!$D$18*Toxicity!$D$11</f>
        <v>4.9222721461187214E-10</v>
      </c>
      <c r="I200" s="31">
        <f>'Group Means'!J9/1000*Parameters!$D$18*Toxicity!$D$12</f>
        <v>9.696847488584475E-10</v>
      </c>
      <c r="J200" s="31">
        <f>'Group Means'!K9/1000*Parameters!$D$18*Toxicity!$D$13</f>
        <v>6.1369863013698624E-11</v>
      </c>
      <c r="K200" s="31">
        <f>'Group Means'!L9/1000*Parameters!$D$18*Toxicity!$D$14</f>
        <v>3.649870319634703E-10</v>
      </c>
      <c r="L200" s="31">
        <f>'Group Means'!M9/1000*Parameters!$D$18*Toxicity!$D$15</f>
        <v>1.5342465753424658E-10</v>
      </c>
      <c r="M200" s="31">
        <f>'Group Means'!N9/1000*Parameters!$D$18*Toxicity!$D$16</f>
        <v>7.7264657534246586E-10</v>
      </c>
      <c r="N200" s="31">
        <f>'Group Means'!O9/1000*Parameters!$D$18*Toxicity!$D$17</f>
        <v>3.6382100456621012E-10</v>
      </c>
      <c r="O200" s="31">
        <f>'Group Means'!P9/1000*Parameters!$D$18*Toxicity!$D$18</f>
        <v>1.1649022831050228E-9</v>
      </c>
    </row>
    <row r="201" spans="1:15" ht="15" customHeight="1" x14ac:dyDescent="0.25">
      <c r="A201" s="10" t="s">
        <v>66</v>
      </c>
      <c r="B201" s="31">
        <f>'Group Means'!C10/1000*Parameters!$D$18*Toxicity!$D$5</f>
        <v>6.073468493150684E-10</v>
      </c>
      <c r="C201" s="31">
        <f>'Group Means'!D10/1000*Parameters!$D$18*Toxicity!$D$6</f>
        <v>8.3545863013698651E-10</v>
      </c>
      <c r="D201" s="31">
        <f>'Group Means'!E10/1000*Parameters!$D$18*Toxicity!$D$7</f>
        <v>5.393490410958902E-10</v>
      </c>
      <c r="E201" s="31">
        <f>'Group Means'!F10/1000*Parameters!$D$18*Toxicity!$D$8</f>
        <v>4.3744438356164379E-10</v>
      </c>
      <c r="F201" s="31">
        <f>'Group Means'!G10/1000*Parameters!$D$18*Toxicity!$D$9</f>
        <v>7.0348273972602728E-10</v>
      </c>
      <c r="G201" s="31">
        <f>'Group Means'!H10/1000*Parameters!$D$18*Toxicity!$D$10</f>
        <v>1.8734991780821919E-9</v>
      </c>
      <c r="H201" s="31">
        <f>'Group Means'!I10/1000*Parameters!$D$18*Toxicity!$D$11</f>
        <v>6.5146155251141549E-10</v>
      </c>
      <c r="I201" s="31">
        <f>'Group Means'!J10/1000*Parameters!$D$18*Toxicity!$D$12</f>
        <v>1.2915492237442926E-9</v>
      </c>
      <c r="J201" s="31">
        <f>'Group Means'!K10/1000*Parameters!$D$18*Toxicity!$D$13</f>
        <v>6.1369863013698624E-11</v>
      </c>
      <c r="K201" s="31">
        <f>'Group Means'!L10/1000*Parameters!$D$18*Toxicity!$D$14</f>
        <v>4.1138264840182646E-10</v>
      </c>
      <c r="L201" s="31">
        <f>'Group Means'!M10/1000*Parameters!$D$18*Toxicity!$D$15</f>
        <v>4.6109223744292236E-10</v>
      </c>
      <c r="M201" s="31">
        <f>'Group Means'!N10/1000*Parameters!$D$18*Toxicity!$D$16</f>
        <v>1.5342465753424658E-10</v>
      </c>
      <c r="N201" s="31">
        <f>'Group Means'!O10/1000*Parameters!$D$18*Toxicity!$D$17</f>
        <v>4.0933698630136982E-10</v>
      </c>
      <c r="O201" s="31">
        <f>'Group Means'!P10/1000*Parameters!$D$18*Toxicity!$D$18</f>
        <v>1.0851214611872147E-9</v>
      </c>
    </row>
    <row r="202" spans="1:15" ht="15" customHeight="1" x14ac:dyDescent="0.25">
      <c r="A202" s="10" t="s">
        <v>71</v>
      </c>
      <c r="B202" s="31">
        <f>'Group Means'!C11/1000*Parameters!$D$18*Toxicity!$D$5</f>
        <v>7.6853479452054791E-10</v>
      </c>
      <c r="C202" s="31">
        <f>'Group Means'!D11/1000*Parameters!$D$18*Toxicity!$D$6</f>
        <v>8.2109808219178069E-10</v>
      </c>
      <c r="D202" s="31">
        <f>'Group Means'!E11/1000*Parameters!$D$18*Toxicity!$D$7</f>
        <v>4.6027397260273968E-11</v>
      </c>
      <c r="E202" s="31">
        <f>'Group Means'!F11/1000*Parameters!$D$18*Toxicity!$D$8</f>
        <v>4.6236054794520546E-10</v>
      </c>
      <c r="F202" s="31">
        <f>'Group Means'!G11/1000*Parameters!$D$18*Toxicity!$D$9</f>
        <v>6.9952438356164373E-10</v>
      </c>
      <c r="G202" s="31">
        <f>'Group Means'!H11/1000*Parameters!$D$18*Toxicity!$D$10</f>
        <v>1.8301106849315068E-9</v>
      </c>
      <c r="H202" s="31">
        <f>'Group Means'!I11/1000*Parameters!$D$18*Toxicity!$D$11</f>
        <v>8.3328000000000004E-10</v>
      </c>
      <c r="I202" s="31">
        <f>'Group Means'!J11/1000*Parameters!$D$18*Toxicity!$D$12</f>
        <v>1.64156200913242E-9</v>
      </c>
      <c r="J202" s="31">
        <f>'Group Means'!K11/1000*Parameters!$D$18*Toxicity!$D$13</f>
        <v>3.3622502283105024E-10</v>
      </c>
      <c r="K202" s="31">
        <f>'Group Means'!L11/1000*Parameters!$D$18*Toxicity!$D$14</f>
        <v>3.9194885844748861E-10</v>
      </c>
      <c r="L202" s="31">
        <f>'Group Means'!M11/1000*Parameters!$D$18*Toxicity!$D$15</f>
        <v>5.3125844748858444E-10</v>
      </c>
      <c r="M202" s="31">
        <f>'Group Means'!N11/1000*Parameters!$D$18*Toxicity!$D$16</f>
        <v>1.1324785388127856E-9</v>
      </c>
      <c r="N202" s="31">
        <f>'Group Means'!O11/1000*Parameters!$D$18*Toxicity!$D$17</f>
        <v>1.5342465753424658E-10</v>
      </c>
      <c r="O202" s="31">
        <f>'Group Means'!P11/1000*Parameters!$D$18*Toxicity!$D$18</f>
        <v>9.732237442922375E-10</v>
      </c>
    </row>
    <row r="203" spans="1:15" ht="15" customHeight="1" x14ac:dyDescent="0.25">
      <c r="A203" s="10" t="s">
        <v>75</v>
      </c>
      <c r="B203" s="31">
        <f>'Group Means'!C12/1000*Parameters!$D$18*Toxicity!$D$5</f>
        <v>8.4849972602739723E-10</v>
      </c>
      <c r="C203" s="31">
        <f>'Group Means'!D12/1000*Parameters!$D$18*Toxicity!$D$6</f>
        <v>8.0241095890410941E-10</v>
      </c>
      <c r="D203" s="31">
        <f>'Group Means'!E12/1000*Parameters!$D$18*Toxicity!$D$7</f>
        <v>7.8409205479452036E-10</v>
      </c>
      <c r="E203" s="31">
        <f>'Group Means'!F12/1000*Parameters!$D$18*Toxicity!$D$8</f>
        <v>4.7217972602739723E-10</v>
      </c>
      <c r="F203" s="31">
        <f>'Group Means'!G12/1000*Parameters!$D$18*Toxicity!$D$9</f>
        <v>7.4849753424657539E-10</v>
      </c>
      <c r="G203" s="31">
        <f>'Group Means'!H12/1000*Parameters!$D$18*Toxicity!$D$10</f>
        <v>1.9281490410958907E-9</v>
      </c>
      <c r="H203" s="31">
        <f>'Group Means'!I12/1000*Parameters!$D$18*Toxicity!$D$11</f>
        <v>7.167590867579908E-10</v>
      </c>
      <c r="I203" s="31">
        <f>'Group Means'!J12/1000*Parameters!$D$18*Toxicity!$D$12</f>
        <v>1.4119568949771691E-9</v>
      </c>
      <c r="J203" s="31">
        <f>'Group Means'!K12/1000*Parameters!$D$18*Toxicity!$D$13</f>
        <v>2.8598356164383563E-10</v>
      </c>
      <c r="K203" s="31">
        <f>'Group Means'!L12/1000*Parameters!$D$18*Toxicity!$D$14</f>
        <v>6.7330922374429225E-10</v>
      </c>
      <c r="L203" s="31">
        <f>'Group Means'!M12/1000*Parameters!$D$18*Toxicity!$D$15</f>
        <v>6.4325844748858457E-10</v>
      </c>
      <c r="M203" s="31">
        <f>'Group Means'!N12/1000*Parameters!$D$18*Toxicity!$D$16</f>
        <v>1.1549808219178083E-9</v>
      </c>
      <c r="N203" s="31">
        <f>'Group Means'!O12/1000*Parameters!$D$18*Toxicity!$D$17</f>
        <v>1.0205808219178083E-9</v>
      </c>
      <c r="O203" s="31">
        <f>'Group Means'!P12/1000*Parameters!$D$18*Toxicity!$D$18</f>
        <v>1.759269406392694E-9</v>
      </c>
    </row>
    <row r="204" spans="1:15" ht="15" customHeight="1" x14ac:dyDescent="0.25">
      <c r="A204" s="10" t="s">
        <v>79</v>
      </c>
      <c r="B204" s="31">
        <f>'Group Means'!C13/1000*Parameters!$D$18*Toxicity!$D$5</f>
        <v>8.7047013698630144E-10</v>
      </c>
      <c r="C204" s="31">
        <f>'Group Means'!D13/1000*Parameters!$D$18*Toxicity!$D$6</f>
        <v>9.237391780821916E-10</v>
      </c>
      <c r="D204" s="31">
        <f>'Group Means'!E13/1000*Parameters!$D$18*Toxicity!$D$7</f>
        <v>5.8786191780821917E-10</v>
      </c>
      <c r="E204" s="31">
        <f>'Group Means'!F13/1000*Parameters!$D$18*Toxicity!$D$8</f>
        <v>7.9731726027397255E-10</v>
      </c>
      <c r="F204" s="31">
        <f>'Group Means'!G13/1000*Parameters!$D$18*Toxicity!$D$9</f>
        <v>8.5248876712328774E-10</v>
      </c>
      <c r="G204" s="31">
        <f>'Group Means'!H13/1000*Parameters!$D$18*Toxicity!$D$10</f>
        <v>1.9543232876712325E-9</v>
      </c>
      <c r="H204" s="31">
        <f>'Group Means'!I13/1000*Parameters!$D$18*Toxicity!$D$11</f>
        <v>9.1555652968036525E-10</v>
      </c>
      <c r="I204" s="31">
        <f>'Group Means'!J13/1000*Parameters!$D$18*Toxicity!$D$12</f>
        <v>1.8037421004566211E-9</v>
      </c>
      <c r="J204" s="31">
        <f>'Group Means'!K13/1000*Parameters!$D$18*Toxicity!$D$13</f>
        <v>2.7755543378995435E-10</v>
      </c>
      <c r="K204" s="31">
        <f>'Group Means'!L13/1000*Parameters!$D$18*Toxicity!$D$14</f>
        <v>7.4208438356164373E-10</v>
      </c>
      <c r="L204" s="31">
        <f>'Group Means'!M13/1000*Parameters!$D$18*Toxicity!$D$15</f>
        <v>1.022012785388128E-9</v>
      </c>
      <c r="M204" s="31">
        <f>'Group Means'!N13/1000*Parameters!$D$18*Toxicity!$D$16</f>
        <v>1.4257242009132424E-9</v>
      </c>
      <c r="N204" s="31">
        <f>'Group Means'!O13/1000*Parameters!$D$18*Toxicity!$D$17</f>
        <v>8.7932785388127882E-10</v>
      </c>
      <c r="O204" s="31">
        <f>'Group Means'!P13/1000*Parameters!$D$18*Toxicity!$D$18</f>
        <v>1.6591342465753428E-9</v>
      </c>
    </row>
    <row r="205" spans="1:15" ht="15" customHeight="1" x14ac:dyDescent="0.25">
      <c r="A205" s="10" t="s">
        <v>83</v>
      </c>
      <c r="B205" s="31">
        <f>'Group Means'!C14/1000*Parameters!$D$18*Toxicity!$D$5</f>
        <v>9.1907506849315057E-10</v>
      </c>
      <c r="C205" s="31">
        <f>'Group Means'!D14/1000*Parameters!$D$18*Toxicity!$D$6</f>
        <v>1.2136197260273971E-9</v>
      </c>
      <c r="D205" s="31">
        <f>'Group Means'!E14/1000*Parameters!$D$18*Toxicity!$D$7</f>
        <v>8.4398904109589061E-10</v>
      </c>
      <c r="E205" s="31">
        <f>'Group Means'!F14/1000*Parameters!$D$18*Toxicity!$D$8</f>
        <v>6.0065753424657531E-10</v>
      </c>
      <c r="F205" s="31">
        <f>'Group Means'!G14/1000*Parameters!$D$18*Toxicity!$D$9</f>
        <v>8.4417315068493156E-10</v>
      </c>
      <c r="G205" s="31">
        <f>'Group Means'!H14/1000*Parameters!$D$18*Toxicity!$D$10</f>
        <v>2.2027484931506848E-9</v>
      </c>
      <c r="H205" s="31">
        <f>'Group Means'!I14/1000*Parameters!$D$18*Toxicity!$D$11</f>
        <v>8.2669296803652961E-10</v>
      </c>
      <c r="I205" s="31">
        <f>'Group Means'!J14/1000*Parameters!$D$18*Toxicity!$D$12</f>
        <v>1.6368160730593608E-9</v>
      </c>
      <c r="J205" s="31">
        <f>'Group Means'!K14/1000*Parameters!$D$18*Toxicity!$D$13</f>
        <v>4.3552146118721459E-10</v>
      </c>
      <c r="K205" s="31">
        <f>'Group Means'!L14/1000*Parameters!$D$18*Toxicity!$D$14</f>
        <v>1.0126436529680364E-9</v>
      </c>
      <c r="L205" s="31">
        <f>'Group Means'!M14/1000*Parameters!$D$18*Toxicity!$D$15</f>
        <v>1.3267141552511416E-9</v>
      </c>
      <c r="M205" s="31">
        <f>'Group Means'!N14/1000*Parameters!$D$18*Toxicity!$D$16</f>
        <v>2.2186228310502281E-9</v>
      </c>
      <c r="N205" s="31">
        <f>'Group Means'!O14/1000*Parameters!$D$18*Toxicity!$D$17</f>
        <v>1.5211543378995433E-9</v>
      </c>
      <c r="O205" s="31">
        <f>'Group Means'!P14/1000*Parameters!$D$18*Toxicity!$D$18</f>
        <v>2.5284383561643839E-9</v>
      </c>
    </row>
    <row r="206" spans="1:15" ht="15" customHeight="1" x14ac:dyDescent="0.25">
      <c r="A206" s="10" t="s">
        <v>87</v>
      </c>
      <c r="B206" s="31">
        <f>'Group Means'!C15/1000*Parameters!$D$18*Toxicity!$D$5</f>
        <v>1.1162257534246577E-9</v>
      </c>
      <c r="C206" s="31">
        <f>'Group Means'!D15/1000*Parameters!$D$18*Toxicity!$D$6</f>
        <v>1.2752350684931505E-9</v>
      </c>
      <c r="D206" s="31">
        <f>'Group Means'!E15/1000*Parameters!$D$18*Toxicity!$D$7</f>
        <v>1.0599189041095891E-9</v>
      </c>
      <c r="E206" s="31">
        <f>'Group Means'!F15/1000*Parameters!$D$18*Toxicity!$D$8</f>
        <v>8.5718356164383563E-10</v>
      </c>
      <c r="F206" s="31">
        <f>'Group Means'!G15/1000*Parameters!$D$18*Toxicity!$D$9</f>
        <v>1.0496701369863012E-9</v>
      </c>
      <c r="G206" s="31">
        <f>'Group Means'!H15/1000*Parameters!$D$18*Toxicity!$D$10</f>
        <v>2.7573479452054792E-9</v>
      </c>
      <c r="H206" s="31">
        <f>'Group Means'!I15/1000*Parameters!$D$18*Toxicity!$D$11</f>
        <v>1.0324047488584475E-9</v>
      </c>
      <c r="I206" s="31">
        <f>'Group Means'!J15/1000*Parameters!$D$18*Toxicity!$D$12</f>
        <v>2.0379294977168955E-9</v>
      </c>
      <c r="J206" s="31">
        <f>'Group Means'!K15/1000*Parameters!$D$18*Toxicity!$D$13</f>
        <v>5.48114703196347E-10</v>
      </c>
      <c r="K206" s="31">
        <f>'Group Means'!L15/1000*Parameters!$D$18*Toxicity!$D$14</f>
        <v>1.8846275799086759E-9</v>
      </c>
      <c r="L206" s="31">
        <f>'Group Means'!M15/1000*Parameters!$D$18*Toxicity!$D$15</f>
        <v>2.3889242009132423E-9</v>
      </c>
      <c r="M206" s="31">
        <f>'Group Means'!N15/1000*Parameters!$D$18*Toxicity!$D$16</f>
        <v>3.292493150684931E-9</v>
      </c>
      <c r="N206" s="31">
        <f>'Group Means'!O15/1000*Parameters!$D$18*Toxicity!$D$17</f>
        <v>2.8112511415525116E-9</v>
      </c>
      <c r="O206" s="31">
        <f>'Group Means'!P15/1000*Parameters!$D$18*Toxicity!$D$18</f>
        <v>4.1601607305936071E-9</v>
      </c>
    </row>
    <row r="207" spans="1:15" ht="15" customHeight="1" x14ac:dyDescent="0.25">
      <c r="A207" s="17" t="s">
        <v>44</v>
      </c>
      <c r="B207" s="31">
        <f>'Group Means'!C16/1000*Parameters!$D$18*Toxicity!$D$5</f>
        <v>3.3312584474885847E-10</v>
      </c>
      <c r="C207" s="31">
        <f>'Group Means'!D16/1000*Parameters!$D$18*Toxicity!$D$6</f>
        <v>6.957092237442922E-10</v>
      </c>
      <c r="D207" s="31">
        <f>'Group Means'!E16/1000*Parameters!$D$18*Toxicity!$D$7</f>
        <v>3.4668858447488582E-10</v>
      </c>
      <c r="E207" s="31">
        <f>'Group Means'!F16/1000*Parameters!$D$18*Toxicity!$D$8</f>
        <v>3.9569242009132424E-10</v>
      </c>
      <c r="F207" s="31">
        <f>'Group Means'!G16/1000*Parameters!$D$18*Toxicity!$D$9</f>
        <v>7.5510502283105019E-10</v>
      </c>
      <c r="G207" s="31">
        <f>'Group Means'!H16/1000*Parameters!$D$18*Toxicity!$D$10</f>
        <v>1.1638692237442923E-9</v>
      </c>
      <c r="H207" s="31">
        <f>'Group Means'!I16/1000*Parameters!$D$18*Toxicity!$D$11</f>
        <v>4.2724334855403354E-10</v>
      </c>
      <c r="I207" s="31">
        <f>'Group Means'!J16/1000*Parameters!$D$18*Toxicity!$D$12</f>
        <v>8.4169449010654485E-10</v>
      </c>
      <c r="J207" s="31">
        <f>'Group Means'!K16/1000*Parameters!$D$18*Toxicity!$D$13</f>
        <v>1.9189674277016742E-10</v>
      </c>
      <c r="K207" s="31">
        <f>'Group Means'!L16/1000*Parameters!$D$18*Toxicity!$D$14</f>
        <v>2.1598100456621004E-10</v>
      </c>
      <c r="L207" s="31">
        <f>'Group Means'!M16/1000*Parameters!$D$18*Toxicity!$D$15</f>
        <v>5.486806697108067E-10</v>
      </c>
      <c r="M207" s="31">
        <f>'Group Means'!N16/1000*Parameters!$D$18*Toxicity!$D$16</f>
        <v>8.8757869101978683E-10</v>
      </c>
      <c r="N207" s="31">
        <f>'Group Means'!O16/1000*Parameters!$D$18*Toxicity!$D$17</f>
        <v>7.9061430745814325E-10</v>
      </c>
      <c r="O207" s="31">
        <f>'Group Means'!P16/1000*Parameters!$D$18*Toxicity!$D$18</f>
        <v>1.254434094368341E-9</v>
      </c>
    </row>
    <row r="208" spans="1:15" ht="15" customHeight="1" x14ac:dyDescent="0.25">
      <c r="A208" s="17" t="s">
        <v>57</v>
      </c>
      <c r="B208" s="31">
        <f>'Group Means'!C17/1000*Parameters!$D$18*Toxicity!$D$5</f>
        <v>5.2011981735159813E-10</v>
      </c>
      <c r="C208" s="31">
        <f>'Group Means'!D17/1000*Parameters!$D$18*Toxicity!$D$6</f>
        <v>7.3260273972602727E-10</v>
      </c>
      <c r="D208" s="31">
        <f>'Group Means'!E17/1000*Parameters!$D$18*Toxicity!$D$7</f>
        <v>3.4913315068493154E-10</v>
      </c>
      <c r="E208" s="31">
        <f>'Group Means'!F17/1000*Parameters!$D$18*Toxicity!$D$8</f>
        <v>4.1756054794520547E-10</v>
      </c>
      <c r="F208" s="31">
        <f>'Group Means'!G17/1000*Parameters!$D$18*Toxicity!$D$9</f>
        <v>6.6211945205479462E-10</v>
      </c>
      <c r="G208" s="31">
        <f>'Group Means'!H17/1000*Parameters!$D$18*Toxicity!$D$10</f>
        <v>1.603042191780822E-9</v>
      </c>
      <c r="H208" s="31">
        <f>'Group Means'!I17/1000*Parameters!$D$18*Toxicity!$D$11</f>
        <v>5.0804700152207002E-10</v>
      </c>
      <c r="I208" s="31">
        <f>'Group Means'!J17/1000*Parameters!$D$18*Toxicity!$D$12</f>
        <v>1.0035472754946727E-9</v>
      </c>
      <c r="J208" s="31">
        <f>'Group Means'!K17/1000*Parameters!$D$18*Toxicity!$D$13</f>
        <v>6.1369863013698624E-11</v>
      </c>
      <c r="K208" s="31">
        <f>'Group Means'!L17/1000*Parameters!$D$18*Toxicity!$D$14</f>
        <v>2.7924651445966513E-10</v>
      </c>
      <c r="L208" s="31">
        <f>'Group Means'!M17/1000*Parameters!$D$18*Toxicity!$D$15</f>
        <v>3.2566940639269402E-10</v>
      </c>
      <c r="M208" s="31">
        <f>'Group Means'!N17/1000*Parameters!$D$18*Toxicity!$D$16</f>
        <v>6.5205479452054802E-10</v>
      </c>
      <c r="N208" s="31">
        <f>'Group Means'!O17/1000*Parameters!$D$18*Toxicity!$D$17</f>
        <v>3.0886088280060887E-10</v>
      </c>
      <c r="O208" s="31">
        <f>'Group Means'!P17/1000*Parameters!$D$18*Toxicity!$D$18</f>
        <v>8.0114946727549463E-10</v>
      </c>
    </row>
    <row r="209" spans="1:19" ht="15" customHeight="1" x14ac:dyDescent="0.25">
      <c r="A209" s="17" t="s">
        <v>70</v>
      </c>
      <c r="B209" s="31">
        <f>'Group Means'!C18/1000*Parameters!$D$18*Toxicity!$D$5</f>
        <v>9.0456109589041107E-10</v>
      </c>
      <c r="C209" s="31">
        <f>'Group Means'!D18/1000*Parameters!$D$18*Toxicity!$D$6</f>
        <v>1.0072206027397259E-9</v>
      </c>
      <c r="D209" s="31">
        <f>'Group Means'!E18/1000*Parameters!$D$18*Toxicity!$D$7</f>
        <v>6.6437786301369868E-10</v>
      </c>
      <c r="E209" s="31">
        <f>'Group Means'!F18/1000*Parameters!$D$18*Toxicity!$D$8</f>
        <v>6.3793972602739729E-10</v>
      </c>
      <c r="F209" s="31">
        <f>'Group Means'!G18/1000*Parameters!$D$18*Toxicity!$D$9</f>
        <v>8.3887079452054786E-10</v>
      </c>
      <c r="G209" s="31">
        <f>'Group Means'!H18/1000*Parameters!$D$18*Toxicity!$D$10</f>
        <v>2.1345358904109587E-9</v>
      </c>
      <c r="H209" s="31">
        <f>'Group Means'!I18/1000*Parameters!$D$18*Toxicity!$D$11</f>
        <v>8.6493866666666653E-10</v>
      </c>
      <c r="I209" s="31">
        <f>'Group Means'!J18/1000*Parameters!$D$18*Toxicity!$D$12</f>
        <v>1.706401315068493E-9</v>
      </c>
      <c r="J209" s="31">
        <f>'Group Means'!K18/1000*Parameters!$D$18*Toxicity!$D$13</f>
        <v>3.7668003652968048E-10</v>
      </c>
      <c r="K209" s="31">
        <f>'Group Means'!L18/1000*Parameters!$D$18*Toxicity!$D$14</f>
        <v>9.4092273972602734E-10</v>
      </c>
      <c r="L209" s="31">
        <f>'Group Means'!M18/1000*Parameters!$D$18*Toxicity!$D$15</f>
        <v>1.182433607305936E-9</v>
      </c>
      <c r="M209" s="31">
        <f>'Group Means'!N18/1000*Parameters!$D$18*Toxicity!$D$16</f>
        <v>1.8448599086757986E-9</v>
      </c>
      <c r="N209" s="31">
        <f>'Group Means'!O18/1000*Parameters!$D$18*Toxicity!$D$17</f>
        <v>1.2771477625570777E-9</v>
      </c>
      <c r="O209" s="31">
        <f>'Group Means'!P18/1000*Parameters!$D$18*Toxicity!$D$18</f>
        <v>2.2160452968036523E-9</v>
      </c>
    </row>
    <row r="210" spans="1:19" ht="15" customHeight="1" x14ac:dyDescent="0.25">
      <c r="A210" s="17" t="s">
        <v>127</v>
      </c>
      <c r="B210" s="31">
        <f>'Group Means'!C19/1000*Parameters!$D$18*Toxicity!$D$5</f>
        <v>6.4386749688667508E-10</v>
      </c>
      <c r="C210" s="31">
        <f>'Group Means'!D19/1000*Parameters!$D$18*Toxicity!$D$6</f>
        <v>8.4736717310087186E-10</v>
      </c>
      <c r="D210" s="31">
        <f>'Group Means'!E19/1000*Parameters!$D$18*Toxicity!$D$7</f>
        <v>4.91759501867995E-10</v>
      </c>
      <c r="E210" s="31">
        <f>'Group Means'!F19/1000*Parameters!$D$18*Toxicity!$D$8</f>
        <v>5.1176886674968861E-10</v>
      </c>
      <c r="F210" s="31">
        <f>'Group Means'!G19/1000*Parameters!$D$18*Toxicity!$D$9</f>
        <v>7.6782067247820667E-10</v>
      </c>
      <c r="G210" s="31">
        <f>'Group Means'!H19/1000*Parameters!$D$18*Toxicity!$D$10</f>
        <v>1.7248557907845577E-9</v>
      </c>
      <c r="H210" s="31">
        <f>'Group Means'!I19/1000*Parameters!$D$18*Toxicity!$D$11</f>
        <v>6.4823312577833147E-10</v>
      </c>
      <c r="I210" s="31">
        <f>'Group Means'!J19/1000*Parameters!$D$18*Toxicity!$D$12</f>
        <v>1.2788847156496472E-9</v>
      </c>
      <c r="J210" s="31">
        <f>'Group Means'!K19/1000*Parameters!$D$18*Toxicity!$D$13</f>
        <v>2.4029090909090909E-10</v>
      </c>
      <c r="K210" s="31">
        <f>'Group Means'!L19/1000*Parameters!$D$18*Toxicity!$D$14</f>
        <v>5.627542050643421E-10</v>
      </c>
      <c r="L210" s="31">
        <f>'Group Means'!M19/1000*Parameters!$D$18*Toxicity!$D$15</f>
        <v>7.7592893316728947E-10</v>
      </c>
      <c r="M210" s="31">
        <f>'Group Means'!N19/1000*Parameters!$D$18*Toxicity!$D$16</f>
        <v>1.2584727272727273E-9</v>
      </c>
      <c r="N210" s="31">
        <f>'Group Means'!O19/1000*Parameters!$D$18*Toxicity!$D$17</f>
        <v>8.8037858032378568E-10</v>
      </c>
      <c r="O210" s="31">
        <f>'Group Means'!P19/1000*Parameters!$D$18*Toxicity!$D$18</f>
        <v>1.5679070153590703E-9</v>
      </c>
    </row>
    <row r="213" spans="1:19" ht="15" customHeight="1" x14ac:dyDescent="0.25">
      <c r="A213" s="17" t="s">
        <v>336</v>
      </c>
    </row>
    <row r="214" spans="1:19" ht="23.25" customHeight="1" x14ac:dyDescent="0.25">
      <c r="A214" s="6" t="s">
        <v>130</v>
      </c>
      <c r="B214" s="6" t="s">
        <v>25</v>
      </c>
      <c r="C214" s="6" t="s">
        <v>26</v>
      </c>
      <c r="D214" s="6" t="s">
        <v>27</v>
      </c>
      <c r="E214" s="6" t="s">
        <v>28</v>
      </c>
      <c r="F214" s="6" t="s">
        <v>29</v>
      </c>
      <c r="G214" s="6" t="s">
        <v>30</v>
      </c>
      <c r="H214" s="6" t="s">
        <v>31</v>
      </c>
      <c r="I214" s="6" t="s">
        <v>32</v>
      </c>
      <c r="J214" s="6" t="s">
        <v>33</v>
      </c>
      <c r="K214" s="6" t="s">
        <v>34</v>
      </c>
      <c r="L214" s="6" t="s">
        <v>35</v>
      </c>
      <c r="M214" s="6" t="s">
        <v>36</v>
      </c>
      <c r="N214" s="6" t="s">
        <v>37</v>
      </c>
      <c r="O214" s="6" t="s">
        <v>38</v>
      </c>
      <c r="P214" s="6" t="s">
        <v>327</v>
      </c>
      <c r="Q214" s="6" t="s">
        <v>328</v>
      </c>
      <c r="R214" s="6" t="s">
        <v>329</v>
      </c>
      <c r="S214" s="6" t="s">
        <v>330</v>
      </c>
    </row>
    <row r="215" spans="1:19" ht="15" customHeight="1" x14ac:dyDescent="0.25">
      <c r="A215" s="10" t="s">
        <v>45</v>
      </c>
      <c r="B215" s="31">
        <f>IF(ISNUMBER(Toxicity!$C$5),(B177+B196)*Toxicity!$C$5,0)</f>
        <v>1.1287696949771692E-9</v>
      </c>
      <c r="C215" s="31">
        <f>IF(ISNUMBER(Toxicity!$C$6),(C177+C196)*Toxicity!$C$6,0)</f>
        <v>2.5895463159817354E-9</v>
      </c>
      <c r="D215" s="31">
        <f>IF(ISNUMBER(Toxicity!$C$7),(D177+D196)*Toxicity!$C$7,0)</f>
        <v>1.5278242484018262E-9</v>
      </c>
      <c r="E215" s="31">
        <f>IF(ISNUMBER(Toxicity!$C$8),(E177+E196)*Toxicity!$C$8,0)</f>
        <v>1.5278242484018268E-9</v>
      </c>
      <c r="F215" s="31">
        <f>IF(ISNUMBER(Toxicity!$C$9),(F177+F196)*Toxicity!$C$9,0)</f>
        <v>3.2807561936073052E-9</v>
      </c>
      <c r="G215" s="31">
        <f>IF(ISNUMBER(Toxicity!$C$10),(G177+G196)*Toxicity!$C$10,0)</f>
        <v>4.3959278757990861E-9</v>
      </c>
      <c r="H215" s="31">
        <f>IF(ISNUMBER(Toxicity!$C$11),(H177+H196)*Toxicity!$C$11,0)</f>
        <v>1.9428863999999998E-8</v>
      </c>
      <c r="I215" s="31">
        <f>IF(ISNUMBER(Toxicity!$C$12),(I177+I196)*Toxicity!$C$12,0)</f>
        <v>1.0936230575342466E-8</v>
      </c>
      <c r="J215" s="31">
        <f>IF(ISNUMBER(Toxicity!$C$13),(J177+J196)*Toxicity!$C$13,0)</f>
        <v>7.9210958904109594E-10</v>
      </c>
      <c r="K215" s="31">
        <f>IF(ISNUMBER(Toxicity!$C$14),(K177+K196)*Toxicity!$C$14,0)</f>
        <v>0</v>
      </c>
      <c r="L215" s="31">
        <f>IF(ISNUMBER(Toxicity!$C$15),(L177+L196)*Toxicity!$C$15,0)</f>
        <v>1.1923287671232878E-8</v>
      </c>
      <c r="M215" s="31">
        <f>IF(ISNUMBER(Toxicity!$C$16),(M177+M196)*Toxicity!$C$16,0)</f>
        <v>2.3453808219178078E-8</v>
      </c>
      <c r="N215" s="31">
        <f>IF(ISNUMBER(Toxicity!$C$17),(N177+N196)*Toxicity!$C$17,0)</f>
        <v>3.1561643835616441E-9</v>
      </c>
      <c r="O215" s="31">
        <f>IF(ISNUMBER(Toxicity!$C$18),(O177+O196)*Toxicity!$C$18,0)</f>
        <v>2.817220383561644E-8</v>
      </c>
      <c r="P215" s="31">
        <f>IF(ISNUMBER(Toxicity!$C$5),B177*Toxicity!$C$5,0)+IF(ISNUMBER(Toxicity!$C$6),C177*Toxicity!$C$6,0)+IF(ISNUMBER(Toxicity!$C$7),D177*Toxicity!$C$7,0)+IF(ISNUMBER(Toxicity!$C$8),E177*Toxicity!$C$8,0)+IF(ISNUMBER(Toxicity!$C$9),F177*Toxicity!$C$9,0)+IF(ISNUMBER(Toxicity!$C$10),G177*Toxicity!$C$10,0)+IF(ISNUMBER(Toxicity!$C$11),H177*Toxicity!$C$11,0)+IF(ISNUMBER(Toxicity!$C$12),I177*Toxicity!$C$12,0)+IF(ISNUMBER(Toxicity!$C$13),J177*Toxicity!$C$13,0)+IF(ISNUMBER(Toxicity!$C$14),K177*Toxicity!$C$14,0)+IF(ISNUMBER(Toxicity!$C$15),L177*Toxicity!$C$15,0)+IF(ISNUMBER(Toxicity!$C$16),M177*Toxicity!$C$16,0)+IF(ISNUMBER(Toxicity!$C$17),N177*Toxicity!$C$17,0)+IF(ISNUMBER(Toxicity!$C$18),O177*Toxicity!$C$18,0)</f>
        <v>9.3463568949771695E-8</v>
      </c>
      <c r="Q215" s="31">
        <f>IF(ISNUMBER(Toxicity!$C$5),B196*Toxicity!$C$5,0)+IF(ISNUMBER(Toxicity!$C$6),C196*Toxicity!$C$6,0)+IF(ISNUMBER(Toxicity!$C$7),D196*Toxicity!$C$7,0)+IF(ISNUMBER(Toxicity!$C$8),E196*Toxicity!$C$8,0)+IF(ISNUMBER(Toxicity!$C$9),F196*Toxicity!$C$9,0)+IF(ISNUMBER(Toxicity!$C$10),G196*Toxicity!$C$10,0)+IF(ISNUMBER(Toxicity!$C$11),H196*Toxicity!$C$11,0)+IF(ISNUMBER(Toxicity!$C$12),I196*Toxicity!$C$12,0)+IF(ISNUMBER(Toxicity!$C$13),J196*Toxicity!$C$13,0)+IF(ISNUMBER(Toxicity!$C$14),K196*Toxicity!$C$14,0)+IF(ISNUMBER(Toxicity!$C$15),L196*Toxicity!$C$15,0)+IF(ISNUMBER(Toxicity!$C$16),M196*Toxicity!$C$16,0)+IF(ISNUMBER(Toxicity!$C$17),N196*Toxicity!$C$17,0)+IF(ISNUMBER(Toxicity!$C$18),O196*Toxicity!$C$18,0)</f>
        <v>1.8849747901369861E-8</v>
      </c>
      <c r="R215" s="32">
        <f t="shared" ref="R215:R229" si="6">SUM(B215:O215)</f>
        <v>1.1231331685114154E-7</v>
      </c>
      <c r="S215" s="15" t="str">
        <f t="shared" ref="S215:S229" si="7">IF(R215&lt;0.000001,"&lt; 1E-6 (negligible)",IF(R215&lt;=0.0001,"1E-6 to 1E-4 (acceptable range)","&gt; 1E-4 (of concern)"))</f>
        <v>&lt; 1E-6 (negligible)</v>
      </c>
    </row>
    <row r="216" spans="1:19" ht="15" customHeight="1" x14ac:dyDescent="0.25">
      <c r="A216" s="10" t="s">
        <v>49</v>
      </c>
      <c r="B216" s="31">
        <f>IF(ISNUMBER(Toxicity!$C$5),(B178+B197)*Toxicity!$C$5,0)</f>
        <v>2.0195068493150687E-10</v>
      </c>
      <c r="C216" s="31">
        <f>IF(ISNUMBER(Toxicity!$C$6),(C178+C197)*Toxicity!$C$6,0)</f>
        <v>1.8886428054794523E-9</v>
      </c>
      <c r="D216" s="31">
        <f>IF(ISNUMBER(Toxicity!$C$7),(D178+D197)*Toxicity!$C$7,0)</f>
        <v>2.0195068493150687E-10</v>
      </c>
      <c r="E216" s="31">
        <f>IF(ISNUMBER(Toxicity!$C$8),(E178+E197)*Toxicity!$C$8,0)</f>
        <v>2.0195068493150687E-10</v>
      </c>
      <c r="F216" s="31">
        <f>IF(ISNUMBER(Toxicity!$C$9),(F178+F197)*Toxicity!$C$9,0)</f>
        <v>2.932862480365297E-9</v>
      </c>
      <c r="G216" s="31">
        <f>IF(ISNUMBER(Toxicity!$C$10),(G178+G197)*Toxicity!$C$10,0)</f>
        <v>3.3667871853881283E-9</v>
      </c>
      <c r="H216" s="31">
        <f>IF(ISNUMBER(Toxicity!$C$11),(H178+H197)*Toxicity!$C$11,0)</f>
        <v>3.8386849315068489E-9</v>
      </c>
      <c r="I216" s="31">
        <f>IF(ISNUMBER(Toxicity!$C$12),(I178+I197)*Toxicity!$C$12,0)</f>
        <v>2.1606312328767122E-9</v>
      </c>
      <c r="J216" s="31">
        <f>IF(ISNUMBER(Toxicity!$C$13),(J178+J197)*Toxicity!$C$13,0)</f>
        <v>7.9210958904109594E-10</v>
      </c>
      <c r="K216" s="31">
        <f>IF(ISNUMBER(Toxicity!$C$14),(K178+K197)*Toxicity!$C$14,0)</f>
        <v>0</v>
      </c>
      <c r="L216" s="31">
        <f>IF(ISNUMBER(Toxicity!$C$15),(L178+L197)*Toxicity!$C$15,0)</f>
        <v>1.1923287671232878E-8</v>
      </c>
      <c r="M216" s="31">
        <f>IF(ISNUMBER(Toxicity!$C$16),(M178+M197)*Toxicity!$C$16,0)</f>
        <v>1.1221917808219179E-8</v>
      </c>
      <c r="N216" s="31">
        <f>IF(ISNUMBER(Toxicity!$C$17),(N178+N197)*Toxicity!$C$17,0)</f>
        <v>3.1561643835616441E-9</v>
      </c>
      <c r="O216" s="31">
        <f>IF(ISNUMBER(Toxicity!$C$18),(O178+O197)*Toxicity!$C$18,0)</f>
        <v>6.3824657534246577E-9</v>
      </c>
      <c r="P216" s="31">
        <f>IF(ISNUMBER(Toxicity!$C$5),B178*Toxicity!$C$5,0)+IF(ISNUMBER(Toxicity!$C$6),C178*Toxicity!$C$6,0)+IF(ISNUMBER(Toxicity!$C$7),D178*Toxicity!$C$7,0)+IF(ISNUMBER(Toxicity!$C$8),E178*Toxicity!$C$8,0)+IF(ISNUMBER(Toxicity!$C$9),F178*Toxicity!$C$9,0)+IF(ISNUMBER(Toxicity!$C$10),G178*Toxicity!$C$10,0)+IF(ISNUMBER(Toxicity!$C$11),H178*Toxicity!$C$11,0)+IF(ISNUMBER(Toxicity!$C$12),I178*Toxicity!$C$12,0)+IF(ISNUMBER(Toxicity!$C$13),J178*Toxicity!$C$13,0)+IF(ISNUMBER(Toxicity!$C$14),K178*Toxicity!$C$14,0)+IF(ISNUMBER(Toxicity!$C$15),L178*Toxicity!$C$15,0)+IF(ISNUMBER(Toxicity!$C$16),M178*Toxicity!$C$16,0)+IF(ISNUMBER(Toxicity!$C$17),N178*Toxicity!$C$17,0)+IF(ISNUMBER(Toxicity!$C$18),O178*Toxicity!$C$18,0)</f>
        <v>3.9754323287671229E-8</v>
      </c>
      <c r="Q216" s="31">
        <f>IF(ISNUMBER(Toxicity!$C$5),B197*Toxicity!$C$5,0)+IF(ISNUMBER(Toxicity!$C$6),C197*Toxicity!$C$6,0)+IF(ISNUMBER(Toxicity!$C$7),D197*Toxicity!$C$7,0)+IF(ISNUMBER(Toxicity!$C$8),E197*Toxicity!$C$8,0)+IF(ISNUMBER(Toxicity!$C$9),F197*Toxicity!$C$9,0)+IF(ISNUMBER(Toxicity!$C$10),G197*Toxicity!$C$10,0)+IF(ISNUMBER(Toxicity!$C$11),H197*Toxicity!$C$11,0)+IF(ISNUMBER(Toxicity!$C$12),I197*Toxicity!$C$12,0)+IF(ISNUMBER(Toxicity!$C$13),J197*Toxicity!$C$13,0)+IF(ISNUMBER(Toxicity!$C$14),K197*Toxicity!$C$14,0)+IF(ISNUMBER(Toxicity!$C$15),L197*Toxicity!$C$15,0)+IF(ISNUMBER(Toxicity!$C$16),M197*Toxicity!$C$16,0)+IF(ISNUMBER(Toxicity!$C$17),N197*Toxicity!$C$17,0)+IF(ISNUMBER(Toxicity!$C$18),O197*Toxicity!$C$18,0)</f>
        <v>8.5150826082191779E-9</v>
      </c>
      <c r="R216" s="32">
        <f t="shared" si="6"/>
        <v>4.8269405895890417E-8</v>
      </c>
      <c r="S216" s="15" t="str">
        <f t="shared" si="7"/>
        <v>&lt; 1E-6 (negligible)</v>
      </c>
    </row>
    <row r="217" spans="1:19" ht="15" customHeight="1" x14ac:dyDescent="0.25">
      <c r="A217" s="10" t="s">
        <v>53</v>
      </c>
      <c r="B217" s="31">
        <f>IF(ISNUMBER(Toxicity!$C$5),(B179+B198)*Toxicity!$C$5,0)</f>
        <v>3.0541675251141551E-9</v>
      </c>
      <c r="C217" s="31">
        <f>IF(ISNUMBER(Toxicity!$C$6),(C179+C198)*Toxicity!$C$6,0)</f>
        <v>4.6793320036529678E-9</v>
      </c>
      <c r="D217" s="31">
        <f>IF(ISNUMBER(Toxicity!$C$7),(D179+D198)*Toxicity!$C$7,0)</f>
        <v>2.83363737716895E-9</v>
      </c>
      <c r="E217" s="31">
        <f>IF(ISNUMBER(Toxicity!$C$8),(E179+E198)*Toxicity!$C$8,0)</f>
        <v>3.4786678648401836E-9</v>
      </c>
      <c r="F217" s="31">
        <f>IF(ISNUMBER(Toxicity!$C$9),(F179+F198)*Toxicity!$C$9,0)</f>
        <v>3.7257208694063935E-9</v>
      </c>
      <c r="G217" s="31">
        <f>IF(ISNUMBER(Toxicity!$C$10),(G179+G198)*Toxicity!$C$10,0)</f>
        <v>7.5571292639269406E-9</v>
      </c>
      <c r="H217" s="31">
        <f>IF(ISNUMBER(Toxicity!$C$11),(H179+H198)*Toxicity!$C$11,0)</f>
        <v>5.6904665424657534E-8</v>
      </c>
      <c r="I217" s="31">
        <f>IF(ISNUMBER(Toxicity!$C$12),(I179+I198)*Toxicity!$C$12,0)</f>
        <v>3.2029987068493144E-8</v>
      </c>
      <c r="J217" s="31">
        <f>IF(ISNUMBER(Toxicity!$C$13),(J179+J198)*Toxicity!$C$13,0)</f>
        <v>5.8462968401826493E-9</v>
      </c>
      <c r="K217" s="31">
        <f>IF(ISNUMBER(Toxicity!$C$14),(K179+K198)*Toxicity!$C$14,0)</f>
        <v>0</v>
      </c>
      <c r="L217" s="31">
        <f>IF(ISNUMBER(Toxicity!$C$15),(L179+L198)*Toxicity!$C$15,0)</f>
        <v>1.0407440365296804E-7</v>
      </c>
      <c r="M217" s="31">
        <f>IF(ISNUMBER(Toxicity!$C$16),(M179+M198)*Toxicity!$C$16,0)</f>
        <v>1.6008439817351598E-7</v>
      </c>
      <c r="N217" s="31">
        <f>IF(ISNUMBER(Toxicity!$C$17),(N179+N198)*Toxicity!$C$17,0)</f>
        <v>4.247986849315068E-8</v>
      </c>
      <c r="O217" s="31">
        <f>IF(ISNUMBER(Toxicity!$C$18),(O179+O198)*Toxicity!$C$18,0)</f>
        <v>1.2199870538812786E-7</v>
      </c>
      <c r="P217" s="31">
        <f>IF(ISNUMBER(Toxicity!$C$5),B179*Toxicity!$C$5,0)+IF(ISNUMBER(Toxicity!$C$6),C179*Toxicity!$C$6,0)+IF(ISNUMBER(Toxicity!$C$7),D179*Toxicity!$C$7,0)+IF(ISNUMBER(Toxicity!$C$8),E179*Toxicity!$C$8,0)+IF(ISNUMBER(Toxicity!$C$9),F179*Toxicity!$C$9,0)+IF(ISNUMBER(Toxicity!$C$10),G179*Toxicity!$C$10,0)+IF(ISNUMBER(Toxicity!$C$11),H179*Toxicity!$C$11,0)+IF(ISNUMBER(Toxicity!$C$12),I179*Toxicity!$C$12,0)+IF(ISNUMBER(Toxicity!$C$13),J179*Toxicity!$C$13,0)+IF(ISNUMBER(Toxicity!$C$14),K179*Toxicity!$C$14,0)+IF(ISNUMBER(Toxicity!$C$15),L179*Toxicity!$C$15,0)+IF(ISNUMBER(Toxicity!$C$16),M179*Toxicity!$C$16,0)+IF(ISNUMBER(Toxicity!$C$17),N179*Toxicity!$C$17,0)+IF(ISNUMBER(Toxicity!$C$18),O179*Toxicity!$C$18,0)</f>
        <v>4.4347353424657536E-7</v>
      </c>
      <c r="Q217" s="31">
        <f>IF(ISNUMBER(Toxicity!$C$5),B198*Toxicity!$C$5,0)+IF(ISNUMBER(Toxicity!$C$6),C198*Toxicity!$C$6,0)+IF(ISNUMBER(Toxicity!$C$7),D198*Toxicity!$C$7,0)+IF(ISNUMBER(Toxicity!$C$8),E198*Toxicity!$C$8,0)+IF(ISNUMBER(Toxicity!$C$9),F198*Toxicity!$C$9,0)+IF(ISNUMBER(Toxicity!$C$10),G198*Toxicity!$C$10,0)+IF(ISNUMBER(Toxicity!$C$11),H198*Toxicity!$C$11,0)+IF(ISNUMBER(Toxicity!$C$12),I198*Toxicity!$C$12,0)+IF(ISNUMBER(Toxicity!$C$13),J198*Toxicity!$C$13,0)+IF(ISNUMBER(Toxicity!$C$14),K198*Toxicity!$C$14,0)+IF(ISNUMBER(Toxicity!$C$15),L198*Toxicity!$C$15,0)+IF(ISNUMBER(Toxicity!$C$16),M198*Toxicity!$C$16,0)+IF(ISNUMBER(Toxicity!$C$17),N198*Toxicity!$C$17,0)+IF(ISNUMBER(Toxicity!$C$18),O198*Toxicity!$C$18,0)</f>
        <v>1.0527344569863015E-7</v>
      </c>
      <c r="R217" s="32">
        <f t="shared" si="6"/>
        <v>5.4874697994520543E-7</v>
      </c>
      <c r="S217" s="15" t="str">
        <f t="shared" si="7"/>
        <v>&lt; 1E-6 (negligible)</v>
      </c>
    </row>
    <row r="218" spans="1:19" ht="15" customHeight="1" x14ac:dyDescent="0.25">
      <c r="A218" s="10" t="s">
        <v>58</v>
      </c>
      <c r="B218" s="31">
        <f>IF(ISNUMBER(Toxicity!$C$5),(B180+B199)*Toxicity!$C$5,0)</f>
        <v>1.7359680876712323E-9</v>
      </c>
      <c r="C218" s="31">
        <f>IF(ISNUMBER(Toxicity!$C$6),(C180+C199)*Toxicity!$C$6,0)</f>
        <v>2.4730880876712328E-9</v>
      </c>
      <c r="D218" s="31">
        <f>IF(ISNUMBER(Toxicity!$C$7),(D180+D199)*Toxicity!$C$7,0)</f>
        <v>2.0195068493150687E-10</v>
      </c>
      <c r="E218" s="31">
        <f>IF(ISNUMBER(Toxicity!$C$8),(E180+E199)*Toxicity!$C$8,0)</f>
        <v>2.2066478173515983E-9</v>
      </c>
      <c r="F218" s="31">
        <f>IF(ISNUMBER(Toxicity!$C$9),(F180+F199)*Toxicity!$C$9,0)</f>
        <v>2.6447461698630136E-9</v>
      </c>
      <c r="G218" s="31">
        <f>IF(ISNUMBER(Toxicity!$C$10),(G180+G199)*Toxicity!$C$10,0)</f>
        <v>5.2507178082191788E-9</v>
      </c>
      <c r="H218" s="31">
        <f>IF(ISNUMBER(Toxicity!$C$11),(H180+H199)*Toxicity!$C$11,0)</f>
        <v>2.3797287452054787E-8</v>
      </c>
      <c r="I218" s="31">
        <f>IF(ISNUMBER(Toxicity!$C$12),(I180+I199)*Toxicity!$C$12,0)</f>
        <v>1.3392988931506851E-8</v>
      </c>
      <c r="J218" s="31">
        <f>IF(ISNUMBER(Toxicity!$C$13),(J180+J199)*Toxicity!$C$13,0)</f>
        <v>7.9210958904109594E-10</v>
      </c>
      <c r="K218" s="31">
        <f>IF(ISNUMBER(Toxicity!$C$14),(K180+K199)*Toxicity!$C$14,0)</f>
        <v>0</v>
      </c>
      <c r="L218" s="31">
        <f>IF(ISNUMBER(Toxicity!$C$15),(L180+L199)*Toxicity!$C$15,0)</f>
        <v>2.817075433789954E-8</v>
      </c>
      <c r="M218" s="31">
        <f>IF(ISNUMBER(Toxicity!$C$16),(M180+M199)*Toxicity!$C$16,0)</f>
        <v>7.5343956164383554E-8</v>
      </c>
      <c r="N218" s="31">
        <f>IF(ISNUMBER(Toxicity!$C$17),(N180+N199)*Toxicity!$C$17,0)</f>
        <v>3.1561643835616441E-9</v>
      </c>
      <c r="O218" s="31">
        <f>IF(ISNUMBER(Toxicity!$C$18),(O180+O199)*Toxicity!$C$18,0)</f>
        <v>6.3824657534246577E-9</v>
      </c>
      <c r="P218" s="31">
        <f>IF(ISNUMBER(Toxicity!$C$5),B180*Toxicity!$C$5,0)+IF(ISNUMBER(Toxicity!$C$6),C180*Toxicity!$C$6,0)+IF(ISNUMBER(Toxicity!$C$7),D180*Toxicity!$C$7,0)+IF(ISNUMBER(Toxicity!$C$8),E180*Toxicity!$C$8,0)+IF(ISNUMBER(Toxicity!$C$9),F180*Toxicity!$C$9,0)+IF(ISNUMBER(Toxicity!$C$10),G180*Toxicity!$C$10,0)+IF(ISNUMBER(Toxicity!$C$11),H180*Toxicity!$C$11,0)+IF(ISNUMBER(Toxicity!$C$12),I180*Toxicity!$C$12,0)+IF(ISNUMBER(Toxicity!$C$13),J180*Toxicity!$C$13,0)+IF(ISNUMBER(Toxicity!$C$14),K180*Toxicity!$C$14,0)+IF(ISNUMBER(Toxicity!$C$15),L180*Toxicity!$C$15,0)+IF(ISNUMBER(Toxicity!$C$16),M180*Toxicity!$C$16,0)+IF(ISNUMBER(Toxicity!$C$17),N180*Toxicity!$C$17,0)+IF(ISNUMBER(Toxicity!$C$18),O180*Toxicity!$C$18,0)</f>
        <v>1.3586823013698629E-7</v>
      </c>
      <c r="Q218" s="31">
        <f>IF(ISNUMBER(Toxicity!$C$5),B199*Toxicity!$C$5,0)+IF(ISNUMBER(Toxicity!$C$6),C199*Toxicity!$C$6,0)+IF(ISNUMBER(Toxicity!$C$7),D199*Toxicity!$C$7,0)+IF(ISNUMBER(Toxicity!$C$8),E199*Toxicity!$C$8,0)+IF(ISNUMBER(Toxicity!$C$9),F199*Toxicity!$C$9,0)+IF(ISNUMBER(Toxicity!$C$10),G199*Toxicity!$C$10,0)+IF(ISNUMBER(Toxicity!$C$11),H199*Toxicity!$C$11,0)+IF(ISNUMBER(Toxicity!$C$12),I199*Toxicity!$C$12,0)+IF(ISNUMBER(Toxicity!$C$13),J199*Toxicity!$C$13,0)+IF(ISNUMBER(Toxicity!$C$14),K199*Toxicity!$C$14,0)+IF(ISNUMBER(Toxicity!$C$15),L199*Toxicity!$C$15,0)+IF(ISNUMBER(Toxicity!$C$16),M199*Toxicity!$C$16,0)+IF(ISNUMBER(Toxicity!$C$17),N199*Toxicity!$C$17,0)+IF(ISNUMBER(Toxicity!$C$18),O199*Toxicity!$C$18,0)</f>
        <v>2.9680615130593603E-8</v>
      </c>
      <c r="R218" s="32">
        <f t="shared" si="6"/>
        <v>1.6554884526757992E-7</v>
      </c>
      <c r="S218" s="15" t="str">
        <f t="shared" si="7"/>
        <v>&lt; 1E-6 (negligible)</v>
      </c>
    </row>
    <row r="219" spans="1:19" ht="15" customHeight="1" x14ac:dyDescent="0.25">
      <c r="A219" s="10" t="s">
        <v>62</v>
      </c>
      <c r="B219" s="31">
        <f>IF(ISNUMBER(Toxicity!$C$5),(B181+B200)*Toxicity!$C$5,0)</f>
        <v>2.4454881607305937E-9</v>
      </c>
      <c r="C219" s="31">
        <f>IF(ISNUMBER(Toxicity!$C$6),(C181+C200)*Toxicity!$C$6,0)</f>
        <v>3.5043829187214621E-9</v>
      </c>
      <c r="D219" s="31">
        <f>IF(ISNUMBER(Toxicity!$C$7),(D181+D200)*Toxicity!$C$7,0)</f>
        <v>2.0271809753424655E-9</v>
      </c>
      <c r="E219" s="31">
        <f>IF(ISNUMBER(Toxicity!$C$8),(E181+E200)*Toxicity!$C$8,0)</f>
        <v>1.3703027141552514E-9</v>
      </c>
      <c r="F219" s="31">
        <f>IF(ISNUMBER(Toxicity!$C$9),(F181+F200)*Toxicity!$C$9,0)</f>
        <v>2.9840233205479448E-9</v>
      </c>
      <c r="G219" s="31">
        <f>IF(ISNUMBER(Toxicity!$C$10),(G181+G200)*Toxicity!$C$10,0)</f>
        <v>7.6296968767123301E-9</v>
      </c>
      <c r="H219" s="31">
        <f>IF(ISNUMBER(Toxicity!$C$11),(H181+H200)*Toxicity!$C$11,0)</f>
        <v>3.0788812273972607E-8</v>
      </c>
      <c r="I219" s="31">
        <f>IF(ISNUMBER(Toxicity!$C$12),(I181+I200)*Toxicity!$C$12,0)</f>
        <v>1.7329651726027397E-8</v>
      </c>
      <c r="J219" s="31">
        <f>IF(ISNUMBER(Toxicity!$C$13),(J181+J200)*Toxicity!$C$13,0)</f>
        <v>7.9210958904109594E-10</v>
      </c>
      <c r="K219" s="31">
        <f>IF(ISNUMBER(Toxicity!$C$14),(K181+K200)*Toxicity!$C$14,0)</f>
        <v>0</v>
      </c>
      <c r="L219" s="31">
        <f>IF(ISNUMBER(Toxicity!$C$15),(L181+L200)*Toxicity!$C$15,0)</f>
        <v>1.1923287671232878E-8</v>
      </c>
      <c r="M219" s="31">
        <f>IF(ISNUMBER(Toxicity!$C$16),(M181+M200)*Toxicity!$C$16,0)</f>
        <v>5.6513578082191786E-8</v>
      </c>
      <c r="N219" s="31">
        <f>IF(ISNUMBER(Toxicity!$C$17),(N181+N200)*Toxicity!$C$17,0)</f>
        <v>7.484317808219179E-9</v>
      </c>
      <c r="O219" s="31">
        <f>IF(ISNUMBER(Toxicity!$C$18),(O181+O200)*Toxicity!$C$18,0)</f>
        <v>4.8459934977168943E-8</v>
      </c>
      <c r="P219" s="31">
        <f>IF(ISNUMBER(Toxicity!$C$5),B181*Toxicity!$C$5,0)+IF(ISNUMBER(Toxicity!$C$6),C181*Toxicity!$C$6,0)+IF(ISNUMBER(Toxicity!$C$7),D181*Toxicity!$C$7,0)+IF(ISNUMBER(Toxicity!$C$8),E181*Toxicity!$C$8,0)+IF(ISNUMBER(Toxicity!$C$9),F181*Toxicity!$C$9,0)+IF(ISNUMBER(Toxicity!$C$10),G181*Toxicity!$C$10,0)+IF(ISNUMBER(Toxicity!$C$11),H181*Toxicity!$C$11,0)+IF(ISNUMBER(Toxicity!$C$12),I181*Toxicity!$C$12,0)+IF(ISNUMBER(Toxicity!$C$13),J181*Toxicity!$C$13,0)+IF(ISNUMBER(Toxicity!$C$14),K181*Toxicity!$C$14,0)+IF(ISNUMBER(Toxicity!$C$15),L181*Toxicity!$C$15,0)+IF(ISNUMBER(Toxicity!$C$16),M181*Toxicity!$C$16,0)+IF(ISNUMBER(Toxicity!$C$17),N181*Toxicity!$C$17,0)+IF(ISNUMBER(Toxicity!$C$18),O181*Toxicity!$C$18,0)</f>
        <v>1.5957135342465754E-7</v>
      </c>
      <c r="Q219" s="31">
        <f>IF(ISNUMBER(Toxicity!$C$5),B200*Toxicity!$C$5,0)+IF(ISNUMBER(Toxicity!$C$6),C200*Toxicity!$C$6,0)+IF(ISNUMBER(Toxicity!$C$7),D200*Toxicity!$C$7,0)+IF(ISNUMBER(Toxicity!$C$8),E200*Toxicity!$C$8,0)+IF(ISNUMBER(Toxicity!$C$9),F200*Toxicity!$C$9,0)+IF(ISNUMBER(Toxicity!$C$10),G200*Toxicity!$C$10,0)+IF(ISNUMBER(Toxicity!$C$11),H200*Toxicity!$C$11,0)+IF(ISNUMBER(Toxicity!$C$12),I200*Toxicity!$C$12,0)+IF(ISNUMBER(Toxicity!$C$13),J200*Toxicity!$C$13,0)+IF(ISNUMBER(Toxicity!$C$14),K200*Toxicity!$C$14,0)+IF(ISNUMBER(Toxicity!$C$15),L200*Toxicity!$C$15,0)+IF(ISNUMBER(Toxicity!$C$16),M200*Toxicity!$C$16,0)+IF(ISNUMBER(Toxicity!$C$17),N200*Toxicity!$C$17,0)+IF(ISNUMBER(Toxicity!$C$18),O200*Toxicity!$C$18,0)</f>
        <v>3.3681413669406398E-8</v>
      </c>
      <c r="R219" s="32">
        <f t="shared" si="6"/>
        <v>1.9325276709406393E-7</v>
      </c>
      <c r="S219" s="15" t="str">
        <f t="shared" si="7"/>
        <v>&lt; 1E-6 (negligible)</v>
      </c>
    </row>
    <row r="220" spans="1:19" ht="15" customHeight="1" x14ac:dyDescent="0.25">
      <c r="A220" s="10" t="s">
        <v>66</v>
      </c>
      <c r="B220" s="31">
        <f>IF(ISNUMBER(Toxicity!$C$5),(B182+B201)*Toxicity!$C$5,0)</f>
        <v>2.6648066045662096E-9</v>
      </c>
      <c r="C220" s="31">
        <f>IF(ISNUMBER(Toxicity!$C$6),(C182+C201)*Toxicity!$C$6,0)</f>
        <v>3.6656741990867594E-9</v>
      </c>
      <c r="D220" s="31">
        <f>IF(ISNUMBER(Toxicity!$C$7),(D182+D201)*Toxicity!$C$7,0)</f>
        <v>2.3664581260273967E-9</v>
      </c>
      <c r="E220" s="31">
        <f>IF(ISNUMBER(Toxicity!$C$8),(E182+E201)*Toxicity!$C$8,0)</f>
        <v>1.9193393095890411E-9</v>
      </c>
      <c r="F220" s="31">
        <f>IF(ISNUMBER(Toxicity!$C$9),(F182+F201)*Toxicity!$C$9,0)</f>
        <v>3.0866142684931509E-9</v>
      </c>
      <c r="G220" s="31">
        <f>IF(ISNUMBER(Toxicity!$C$10),(G182+G201)*Toxicity!$C$10,0)</f>
        <v>8.2202006794520556E-9</v>
      </c>
      <c r="H220" s="31">
        <f>IF(ISNUMBER(Toxicity!$C$11),(H182+H201)*Toxicity!$C$11,0)</f>
        <v>4.0748920109589041E-8</v>
      </c>
      <c r="I220" s="31">
        <f>IF(ISNUMBER(Toxicity!$C$12),(I182+I201)*Toxicity!$C$12,0)</f>
        <v>2.3081829698630137E-8</v>
      </c>
      <c r="J220" s="31">
        <f>IF(ISNUMBER(Toxicity!$C$13),(J182+J201)*Toxicity!$C$13,0)</f>
        <v>7.9210958904109594E-10</v>
      </c>
      <c r="K220" s="31">
        <f>IF(ISNUMBER(Toxicity!$C$14),(K182+K201)*Toxicity!$C$14,0)</f>
        <v>0</v>
      </c>
      <c r="L220" s="31">
        <f>IF(ISNUMBER(Toxicity!$C$15),(L182+L201)*Toxicity!$C$15,0)</f>
        <v>3.5833453881278538E-8</v>
      </c>
      <c r="M220" s="31">
        <f>IF(ISNUMBER(Toxicity!$C$16),(M182+M201)*Toxicity!$C$16,0)</f>
        <v>1.1221917808219179E-8</v>
      </c>
      <c r="N220" s="31">
        <f>IF(ISNUMBER(Toxicity!$C$17),(N182+N201)*Toxicity!$C$17,0)</f>
        <v>8.4206465753424669E-9</v>
      </c>
      <c r="O220" s="31">
        <f>IF(ISNUMBER(Toxicity!$C$18),(O182+O201)*Toxicity!$C$18,0)</f>
        <v>4.5141052785388123E-8</v>
      </c>
      <c r="P220" s="31">
        <f>IF(ISNUMBER(Toxicity!$C$5),B182*Toxicity!$C$5,0)+IF(ISNUMBER(Toxicity!$C$6),C182*Toxicity!$C$6,0)+IF(ISNUMBER(Toxicity!$C$7),D182*Toxicity!$C$7,0)+IF(ISNUMBER(Toxicity!$C$8),E182*Toxicity!$C$8,0)+IF(ISNUMBER(Toxicity!$C$9),F182*Toxicity!$C$9,0)+IF(ISNUMBER(Toxicity!$C$10),G182*Toxicity!$C$10,0)+IF(ISNUMBER(Toxicity!$C$11),H182*Toxicity!$C$11,0)+IF(ISNUMBER(Toxicity!$C$12),I182*Toxicity!$C$12,0)+IF(ISNUMBER(Toxicity!$C$13),J182*Toxicity!$C$13,0)+IF(ISNUMBER(Toxicity!$C$14),K182*Toxicity!$C$14,0)+IF(ISNUMBER(Toxicity!$C$15),L182*Toxicity!$C$15,0)+IF(ISNUMBER(Toxicity!$C$16),M182*Toxicity!$C$16,0)+IF(ISNUMBER(Toxicity!$C$17),N182*Toxicity!$C$17,0)+IF(ISNUMBER(Toxicity!$C$18),O182*Toxicity!$C$18,0)</f>
        <v>1.5694542465753424E-7</v>
      </c>
      <c r="Q220" s="31">
        <f>IF(ISNUMBER(Toxicity!$C$5),B201*Toxicity!$C$5,0)+IF(ISNUMBER(Toxicity!$C$6),C201*Toxicity!$C$6,0)+IF(ISNUMBER(Toxicity!$C$7),D201*Toxicity!$C$7,0)+IF(ISNUMBER(Toxicity!$C$8),E201*Toxicity!$C$8,0)+IF(ISNUMBER(Toxicity!$C$9),F201*Toxicity!$C$9,0)+IF(ISNUMBER(Toxicity!$C$10),G201*Toxicity!$C$10,0)+IF(ISNUMBER(Toxicity!$C$11),H201*Toxicity!$C$11,0)+IF(ISNUMBER(Toxicity!$C$12),I201*Toxicity!$C$12,0)+IF(ISNUMBER(Toxicity!$C$13),J201*Toxicity!$C$13,0)+IF(ISNUMBER(Toxicity!$C$14),K201*Toxicity!$C$14,0)+IF(ISNUMBER(Toxicity!$C$15),L201*Toxicity!$C$15,0)+IF(ISNUMBER(Toxicity!$C$16),M201*Toxicity!$C$16,0)+IF(ISNUMBER(Toxicity!$C$17),N201*Toxicity!$C$17,0)+IF(ISNUMBER(Toxicity!$C$18),O201*Toxicity!$C$18,0)</f>
        <v>3.0217598977168949E-8</v>
      </c>
      <c r="R220" s="32">
        <f t="shared" si="6"/>
        <v>1.8716302363470323E-7</v>
      </c>
      <c r="S220" s="15" t="str">
        <f t="shared" si="7"/>
        <v>&lt; 1E-6 (negligible)</v>
      </c>
    </row>
    <row r="221" spans="1:19" ht="15" customHeight="1" x14ac:dyDescent="0.25">
      <c r="A221" s="10" t="s">
        <v>71</v>
      </c>
      <c r="B221" s="31">
        <f>IF(ISNUMBER(Toxicity!$C$5),(B183+B202)*Toxicity!$C$5,0)</f>
        <v>3.3720379031963475E-9</v>
      </c>
      <c r="C221" s="31">
        <f>IF(ISNUMBER(Toxicity!$C$6),(C183+C202)*Toxicity!$C$6,0)</f>
        <v>3.6026655853881276E-9</v>
      </c>
      <c r="D221" s="31">
        <f>IF(ISNUMBER(Toxicity!$C$7),(D183+D202)*Toxicity!$C$7,0)</f>
        <v>2.0195068493150687E-10</v>
      </c>
      <c r="E221" s="31">
        <f>IF(ISNUMBER(Toxicity!$C$8),(E183+E202)*Toxicity!$C$8,0)</f>
        <v>2.0286619470319636E-9</v>
      </c>
      <c r="F221" s="31">
        <f>IF(ISNUMBER(Toxicity!$C$9),(F183+F202)*Toxicity!$C$9,0)</f>
        <v>3.0692465095890408E-9</v>
      </c>
      <c r="G221" s="31">
        <f>IF(ISNUMBER(Toxicity!$C$10),(G183+G202)*Toxicity!$C$10,0)</f>
        <v>8.0298285004566216E-9</v>
      </c>
      <c r="H221" s="31">
        <f>IF(ISNUMBER(Toxicity!$C$11),(H183+H202)*Toxicity!$C$11,0)</f>
        <v>5.2121664000000001E-8</v>
      </c>
      <c r="I221" s="31">
        <f>IF(ISNUMBER(Toxicity!$C$12),(I183+I202)*Toxicity!$C$12,0)</f>
        <v>2.9337058191780824E-8</v>
      </c>
      <c r="J221" s="31">
        <f>IF(ISNUMBER(Toxicity!$C$13),(J183+J202)*Toxicity!$C$13,0)</f>
        <v>4.3397044018264838E-9</v>
      </c>
      <c r="K221" s="31">
        <f>IF(ISNUMBER(Toxicity!$C$14),(K183+K202)*Toxicity!$C$14,0)</f>
        <v>0</v>
      </c>
      <c r="L221" s="31">
        <f>IF(ISNUMBER(Toxicity!$C$15),(L183+L202)*Toxicity!$C$15,0)</f>
        <v>4.128637077625571E-8</v>
      </c>
      <c r="M221" s="31">
        <f>IF(ISNUMBER(Toxicity!$C$16),(M183+M202)*Toxicity!$C$16,0)</f>
        <v>8.2832715981735177E-8</v>
      </c>
      <c r="N221" s="31">
        <f>IF(ISNUMBER(Toxicity!$C$17),(N183+N202)*Toxicity!$C$17,0)</f>
        <v>3.1561643835616441E-9</v>
      </c>
      <c r="O221" s="31">
        <f>IF(ISNUMBER(Toxicity!$C$18),(O183+O202)*Toxicity!$C$18,0)</f>
        <v>4.0486107762557081E-8</v>
      </c>
      <c r="P221" s="31">
        <f>IF(ISNUMBER(Toxicity!$C$5),B183*Toxicity!$C$5,0)+IF(ISNUMBER(Toxicity!$C$6),C183*Toxicity!$C$6,0)+IF(ISNUMBER(Toxicity!$C$7),D183*Toxicity!$C$7,0)+IF(ISNUMBER(Toxicity!$C$8),E183*Toxicity!$C$8,0)+IF(ISNUMBER(Toxicity!$C$9),F183*Toxicity!$C$9,0)+IF(ISNUMBER(Toxicity!$C$10),G183*Toxicity!$C$10,0)+IF(ISNUMBER(Toxicity!$C$11),H183*Toxicity!$C$11,0)+IF(ISNUMBER(Toxicity!$C$12),I183*Toxicity!$C$12,0)+IF(ISNUMBER(Toxicity!$C$13),J183*Toxicity!$C$13,0)+IF(ISNUMBER(Toxicity!$C$14),K183*Toxicity!$C$14,0)+IF(ISNUMBER(Toxicity!$C$15),L183*Toxicity!$C$15,0)+IF(ISNUMBER(Toxicity!$C$16),M183*Toxicity!$C$16,0)+IF(ISNUMBER(Toxicity!$C$17),N183*Toxicity!$C$17,0)+IF(ISNUMBER(Toxicity!$C$18),O183*Toxicity!$C$18,0)</f>
        <v>2.2695140821917812E-7</v>
      </c>
      <c r="Q221" s="31">
        <f>IF(ISNUMBER(Toxicity!$C$5),B202*Toxicity!$C$5,0)+IF(ISNUMBER(Toxicity!$C$6),C202*Toxicity!$C$6,0)+IF(ISNUMBER(Toxicity!$C$7),D202*Toxicity!$C$7,0)+IF(ISNUMBER(Toxicity!$C$8),E202*Toxicity!$C$8,0)+IF(ISNUMBER(Toxicity!$C$9),F202*Toxicity!$C$9,0)+IF(ISNUMBER(Toxicity!$C$10),G202*Toxicity!$C$10,0)+IF(ISNUMBER(Toxicity!$C$11),H202*Toxicity!$C$11,0)+IF(ISNUMBER(Toxicity!$C$12),I202*Toxicity!$C$12,0)+IF(ISNUMBER(Toxicity!$C$13),J202*Toxicity!$C$13,0)+IF(ISNUMBER(Toxicity!$C$14),K202*Toxicity!$C$14,0)+IF(ISNUMBER(Toxicity!$C$15),L202*Toxicity!$C$15,0)+IF(ISNUMBER(Toxicity!$C$16),M202*Toxicity!$C$16,0)+IF(ISNUMBER(Toxicity!$C$17),N202*Toxicity!$C$17,0)+IF(ISNUMBER(Toxicity!$C$18),O202*Toxicity!$C$18,0)</f>
        <v>4.6912768409132422E-8</v>
      </c>
      <c r="R221" s="32">
        <f t="shared" si="6"/>
        <v>2.7386417662831051E-7</v>
      </c>
      <c r="S221" s="15" t="str">
        <f t="shared" si="7"/>
        <v>&lt; 1E-6 (negligible)</v>
      </c>
    </row>
    <row r="222" spans="1:19" ht="15" customHeight="1" x14ac:dyDescent="0.25">
      <c r="A222" s="10" t="s">
        <v>75</v>
      </c>
      <c r="B222" s="31">
        <f>IF(ISNUMBER(Toxicity!$C$5),(B184+B203)*Toxicity!$C$5,0)</f>
        <v>3.7228935598173518E-9</v>
      </c>
      <c r="C222" s="31">
        <f>IF(ISNUMBER(Toxicity!$C$6),(C184+C203)*Toxicity!$C$6,0)</f>
        <v>3.5206736073059366E-9</v>
      </c>
      <c r="D222" s="31">
        <f>IF(ISNUMBER(Toxicity!$C$7),(D184+D203)*Toxicity!$C$7,0)</f>
        <v>3.4402972347031956E-9</v>
      </c>
      <c r="E222" s="31">
        <f>IF(ISNUMBER(Toxicity!$C$8),(E184+E203)*Toxicity!$C$8,0)</f>
        <v>2.0717447598173513E-9</v>
      </c>
      <c r="F222" s="31">
        <f>IF(ISNUMBER(Toxicity!$C$9),(F184+F203)*Toxicity!$C$9,0)</f>
        <v>3.2841220383561647E-9</v>
      </c>
      <c r="G222" s="31">
        <f>IF(ISNUMBER(Toxicity!$C$10),(G184+G203)*Toxicity!$C$10,0)</f>
        <v>8.459983459360733E-9</v>
      </c>
      <c r="H222" s="31">
        <f>IF(ISNUMBER(Toxicity!$C$11),(H184+H203)*Toxicity!$C$11,0)</f>
        <v>4.4833280876712325E-8</v>
      </c>
      <c r="I222" s="31">
        <f>IF(ISNUMBER(Toxicity!$C$12),(I184+I203)*Toxicity!$C$12,0)</f>
        <v>2.5233686794520553E-8</v>
      </c>
      <c r="J222" s="31">
        <f>IF(ISNUMBER(Toxicity!$C$13),(J184+J203)*Toxicity!$C$13,0)</f>
        <v>3.6912306849315073E-9</v>
      </c>
      <c r="K222" s="31">
        <f>IF(ISNUMBER(Toxicity!$C$14),(K184+K203)*Toxicity!$C$14,0)</f>
        <v>0</v>
      </c>
      <c r="L222" s="31">
        <f>IF(ISNUMBER(Toxicity!$C$15),(L184+L203)*Toxicity!$C$15,0)</f>
        <v>4.9990370776255706E-8</v>
      </c>
      <c r="M222" s="31">
        <f>IF(ISNUMBER(Toxicity!$C$16),(M184+M203)*Toxicity!$C$16,0)</f>
        <v>8.4478597260273973E-8</v>
      </c>
      <c r="N222" s="31">
        <f>IF(ISNUMBER(Toxicity!$C$17),(N184+N203)*Toxicity!$C$17,0)</f>
        <v>2.0994805479452056E-8</v>
      </c>
      <c r="O222" s="31">
        <f>IF(ISNUMBER(Toxicity!$C$18),(O184+O203)*Toxicity!$C$18,0)</f>
        <v>7.3185607305936066E-8</v>
      </c>
      <c r="P222" s="31">
        <f>IF(ISNUMBER(Toxicity!$C$5),B184*Toxicity!$C$5,0)+IF(ISNUMBER(Toxicity!$C$6),C184*Toxicity!$C$6,0)+IF(ISNUMBER(Toxicity!$C$7),D184*Toxicity!$C$7,0)+IF(ISNUMBER(Toxicity!$C$8),E184*Toxicity!$C$8,0)+IF(ISNUMBER(Toxicity!$C$9),F184*Toxicity!$C$9,0)+IF(ISNUMBER(Toxicity!$C$10),G184*Toxicity!$C$10,0)+IF(ISNUMBER(Toxicity!$C$11),H184*Toxicity!$C$11,0)+IF(ISNUMBER(Toxicity!$C$12),I184*Toxicity!$C$12,0)+IF(ISNUMBER(Toxicity!$C$13),J184*Toxicity!$C$13,0)+IF(ISNUMBER(Toxicity!$C$14),K184*Toxicity!$C$14,0)+IF(ISNUMBER(Toxicity!$C$15),L184*Toxicity!$C$15,0)+IF(ISNUMBER(Toxicity!$C$16),M184*Toxicity!$C$16,0)+IF(ISNUMBER(Toxicity!$C$17),N184*Toxicity!$C$17,0)+IF(ISNUMBER(Toxicity!$C$18),O184*Toxicity!$C$18,0)</f>
        <v>2.6756285662100457E-7</v>
      </c>
      <c r="Q222" s="31">
        <f>IF(ISNUMBER(Toxicity!$C$5),B203*Toxicity!$C$5,0)+IF(ISNUMBER(Toxicity!$C$6),C203*Toxicity!$C$6,0)+IF(ISNUMBER(Toxicity!$C$7),D203*Toxicity!$C$7,0)+IF(ISNUMBER(Toxicity!$C$8),E203*Toxicity!$C$8,0)+IF(ISNUMBER(Toxicity!$C$9),F203*Toxicity!$C$9,0)+IF(ISNUMBER(Toxicity!$C$10),G203*Toxicity!$C$10,0)+IF(ISNUMBER(Toxicity!$C$11),H203*Toxicity!$C$11,0)+IF(ISNUMBER(Toxicity!$C$12),I203*Toxicity!$C$12,0)+IF(ISNUMBER(Toxicity!$C$13),J203*Toxicity!$C$13,0)+IF(ISNUMBER(Toxicity!$C$14),K203*Toxicity!$C$14,0)+IF(ISNUMBER(Toxicity!$C$15),L203*Toxicity!$C$15,0)+IF(ISNUMBER(Toxicity!$C$16),M203*Toxicity!$C$16,0)+IF(ISNUMBER(Toxicity!$C$17),N203*Toxicity!$C$17,0)+IF(ISNUMBER(Toxicity!$C$18),O203*Toxicity!$C$18,0)</f>
        <v>5.9344437216438361E-8</v>
      </c>
      <c r="R222" s="32">
        <f t="shared" si="6"/>
        <v>3.2690729383744287E-7</v>
      </c>
      <c r="S222" s="15" t="str">
        <f t="shared" si="7"/>
        <v>&lt; 1E-6 (negligible)</v>
      </c>
    </row>
    <row r="223" spans="1:19" ht="15" customHeight="1" x14ac:dyDescent="0.25">
      <c r="A223" s="10" t="s">
        <v>79</v>
      </c>
      <c r="B223" s="31">
        <f>IF(ISNUMBER(Toxicity!$C$5),(B185+B204)*Toxicity!$C$5,0)</f>
        <v>3.819291353424658E-9</v>
      </c>
      <c r="C223" s="31">
        <f>IF(ISNUMBER(Toxicity!$C$6),(C185+C204)*Toxicity!$C$6,0)</f>
        <v>4.0530156127853882E-9</v>
      </c>
      <c r="D223" s="31">
        <f>IF(ISNUMBER(Toxicity!$C$7),(D185+D204)*Toxicity!$C$7,0)</f>
        <v>2.579314147945206E-9</v>
      </c>
      <c r="E223" s="31">
        <f>IF(ISNUMBER(Toxicity!$C$8),(E185+E204)*Toxicity!$C$8,0)</f>
        <v>3.4983243981735159E-9</v>
      </c>
      <c r="F223" s="31">
        <f>IF(ISNUMBER(Toxicity!$C$9),(F185+F204)*Toxicity!$C$9,0)</f>
        <v>3.7403959525114159E-9</v>
      </c>
      <c r="G223" s="31">
        <f>IF(ISNUMBER(Toxicity!$C$10),(G185+G204)*Toxicity!$C$10,0)</f>
        <v>8.5748260821917806E-9</v>
      </c>
      <c r="H223" s="31">
        <f>IF(ISNUMBER(Toxicity!$C$11),(H185+H204)*Toxicity!$C$11,0)</f>
        <v>5.7268060931506848E-8</v>
      </c>
      <c r="I223" s="31">
        <f>IF(ISNUMBER(Toxicity!$C$12),(I185+I204)*Toxicity!$C$12,0)</f>
        <v>3.2235448109589044E-8</v>
      </c>
      <c r="J223" s="31">
        <f>IF(ISNUMBER(Toxicity!$C$13),(J185+J204)*Toxicity!$C$13,0)</f>
        <v>3.5824476347031965E-9</v>
      </c>
      <c r="K223" s="31">
        <f>IF(ISNUMBER(Toxicity!$C$14),(K185+K204)*Toxicity!$C$14,0)</f>
        <v>0</v>
      </c>
      <c r="L223" s="31">
        <f>IF(ISNUMBER(Toxicity!$C$15),(L185+L204)*Toxicity!$C$15,0)</f>
        <v>7.9424993607305946E-8</v>
      </c>
      <c r="M223" s="31">
        <f>IF(ISNUMBER(Toxicity!$C$16),(M185+M204)*Toxicity!$C$16,0)</f>
        <v>1.0428154155251144E-7</v>
      </c>
      <c r="N223" s="31">
        <f>IF(ISNUMBER(Toxicity!$C$17),(N185+N204)*Toxicity!$C$17,0)</f>
        <v>1.8089030136986308E-8</v>
      </c>
      <c r="O223" s="31">
        <f>IF(ISNUMBER(Toxicity!$C$18),(O185+O204)*Toxicity!$C$18,0)</f>
        <v>6.901998465753426E-8</v>
      </c>
      <c r="P223" s="31">
        <f>IF(ISNUMBER(Toxicity!$C$5),B185*Toxicity!$C$5,0)+IF(ISNUMBER(Toxicity!$C$6),C185*Toxicity!$C$6,0)+IF(ISNUMBER(Toxicity!$C$7),D185*Toxicity!$C$7,0)+IF(ISNUMBER(Toxicity!$C$8),E185*Toxicity!$C$8,0)+IF(ISNUMBER(Toxicity!$C$9),F185*Toxicity!$C$9,0)+IF(ISNUMBER(Toxicity!$C$10),G185*Toxicity!$C$10,0)+IF(ISNUMBER(Toxicity!$C$11),H185*Toxicity!$C$11,0)+IF(ISNUMBER(Toxicity!$C$12),I185*Toxicity!$C$12,0)+IF(ISNUMBER(Toxicity!$C$13),J185*Toxicity!$C$13,0)+IF(ISNUMBER(Toxicity!$C$14),K185*Toxicity!$C$14,0)+IF(ISNUMBER(Toxicity!$C$15),L185*Toxicity!$C$15,0)+IF(ISNUMBER(Toxicity!$C$16),M185*Toxicity!$C$16,0)+IF(ISNUMBER(Toxicity!$C$17),N185*Toxicity!$C$17,0)+IF(ISNUMBER(Toxicity!$C$18),O185*Toxicity!$C$18,0)</f>
        <v>3.1951490045662103E-7</v>
      </c>
      <c r="Q223" s="31">
        <f>IF(ISNUMBER(Toxicity!$C$5),B204*Toxicity!$C$5,0)+IF(ISNUMBER(Toxicity!$C$6),C204*Toxicity!$C$6,0)+IF(ISNUMBER(Toxicity!$C$7),D204*Toxicity!$C$7,0)+IF(ISNUMBER(Toxicity!$C$8),E204*Toxicity!$C$8,0)+IF(ISNUMBER(Toxicity!$C$9),F204*Toxicity!$C$9,0)+IF(ISNUMBER(Toxicity!$C$10),G204*Toxicity!$C$10,0)+IF(ISNUMBER(Toxicity!$C$11),H204*Toxicity!$C$11,0)+IF(ISNUMBER(Toxicity!$C$12),I204*Toxicity!$C$12,0)+IF(ISNUMBER(Toxicity!$C$13),J204*Toxicity!$C$13,0)+IF(ISNUMBER(Toxicity!$C$14),K204*Toxicity!$C$14,0)+IF(ISNUMBER(Toxicity!$C$15),L204*Toxicity!$C$15,0)+IF(ISNUMBER(Toxicity!$C$16),M204*Toxicity!$C$16,0)+IF(ISNUMBER(Toxicity!$C$17),N204*Toxicity!$C$17,0)+IF(ISNUMBER(Toxicity!$C$18),O204*Toxicity!$C$18,0)</f>
        <v>7.0651773720547953E-8</v>
      </c>
      <c r="R223" s="32">
        <f t="shared" si="6"/>
        <v>3.9016667417716902E-7</v>
      </c>
      <c r="S223" s="15" t="str">
        <f t="shared" si="7"/>
        <v>&lt; 1E-6 (negligible)</v>
      </c>
    </row>
    <row r="224" spans="1:19" ht="15" customHeight="1" x14ac:dyDescent="0.25">
      <c r="A224" s="10" t="s">
        <v>83</v>
      </c>
      <c r="B224" s="31">
        <f>IF(ISNUMBER(Toxicity!$C$5),(B186+B205)*Toxicity!$C$5,0)</f>
        <v>4.0325512767123293E-9</v>
      </c>
      <c r="C224" s="31">
        <f>IF(ISNUMBER(Toxicity!$C$6),(C186+C205)*Toxicity!$C$6,0)</f>
        <v>5.3249010264840191E-9</v>
      </c>
      <c r="D224" s="31">
        <f>IF(ISNUMBER(Toxicity!$C$7),(D186+D205)*Toxicity!$C$7,0)</f>
        <v>3.7031023926940647E-9</v>
      </c>
      <c r="E224" s="31">
        <f>IF(ISNUMBER(Toxicity!$C$8),(E186+E205)*Toxicity!$C$8,0)</f>
        <v>2.6354564383561648E-9</v>
      </c>
      <c r="F224" s="31">
        <f>IF(ISNUMBER(Toxicity!$C$9),(F186+F205)*Toxicity!$C$9,0)</f>
        <v>3.7039101954337905E-9</v>
      </c>
      <c r="G224" s="31">
        <f>IF(ISNUMBER(Toxicity!$C$10),(G186+G205)*Toxicity!$C$10,0)</f>
        <v>9.664821245662102E-9</v>
      </c>
      <c r="H224" s="31">
        <f>IF(ISNUMBER(Toxicity!$C$11),(H186+H205)*Toxicity!$C$11,0)</f>
        <v>5.1709645150684925E-8</v>
      </c>
      <c r="I224" s="31">
        <f>IF(ISNUMBER(Toxicity!$C$12),(I186+I205)*Toxicity!$C$12,0)</f>
        <v>2.9252241534246576E-8</v>
      </c>
      <c r="J224" s="31">
        <f>IF(ISNUMBER(Toxicity!$C$13),(J186+J205)*Toxicity!$C$13,0)</f>
        <v>5.6213377168949767E-9</v>
      </c>
      <c r="K224" s="31">
        <f>IF(ISNUMBER(Toxicity!$C$14),(K186+K205)*Toxicity!$C$14,0)</f>
        <v>0</v>
      </c>
      <c r="L224" s="31">
        <f>IF(ISNUMBER(Toxicity!$C$15),(L186+L205)*Toxicity!$C$15,0)</f>
        <v>1.0310464292237443E-7</v>
      </c>
      <c r="M224" s="31">
        <f>IF(ISNUMBER(Toxicity!$C$16),(M186+M205)*Toxicity!$C$16,0)</f>
        <v>1.6227641278538812E-7</v>
      </c>
      <c r="N224" s="31">
        <f>IF(ISNUMBER(Toxicity!$C$17),(N186+N205)*Toxicity!$C$17,0)</f>
        <v>3.1292317808219183E-8</v>
      </c>
      <c r="O224" s="31">
        <f>IF(ISNUMBER(Toxicity!$C$18),(O186+O205)*Toxicity!$C$18,0)</f>
        <v>1.0518303561643837E-7</v>
      </c>
      <c r="P224" s="31">
        <f>IF(ISNUMBER(Toxicity!$C$5),B186*Toxicity!$C$5,0)+IF(ISNUMBER(Toxicity!$C$6),C186*Toxicity!$C$6,0)+IF(ISNUMBER(Toxicity!$C$7),D186*Toxicity!$C$7,0)+IF(ISNUMBER(Toxicity!$C$8),E186*Toxicity!$C$8,0)+IF(ISNUMBER(Toxicity!$C$9),F186*Toxicity!$C$9,0)+IF(ISNUMBER(Toxicity!$C$10),G186*Toxicity!$C$10,0)+IF(ISNUMBER(Toxicity!$C$11),H186*Toxicity!$C$11,0)+IF(ISNUMBER(Toxicity!$C$12),I186*Toxicity!$C$12,0)+IF(ISNUMBER(Toxicity!$C$13),J186*Toxicity!$C$13,0)+IF(ISNUMBER(Toxicity!$C$14),K186*Toxicity!$C$14,0)+IF(ISNUMBER(Toxicity!$C$15),L186*Toxicity!$C$15,0)+IF(ISNUMBER(Toxicity!$C$16),M186*Toxicity!$C$16,0)+IF(ISNUMBER(Toxicity!$C$17),N186*Toxicity!$C$17,0)+IF(ISNUMBER(Toxicity!$C$18),O186*Toxicity!$C$18,0)</f>
        <v>4.1862542465753421E-7</v>
      </c>
      <c r="Q224" s="31">
        <f>IF(ISNUMBER(Toxicity!$C$5),B205*Toxicity!$C$5,0)+IF(ISNUMBER(Toxicity!$C$6),C205*Toxicity!$C$6,0)+IF(ISNUMBER(Toxicity!$C$7),D205*Toxicity!$C$7,0)+IF(ISNUMBER(Toxicity!$C$8),E205*Toxicity!$C$8,0)+IF(ISNUMBER(Toxicity!$C$9),F205*Toxicity!$C$9,0)+IF(ISNUMBER(Toxicity!$C$10),G205*Toxicity!$C$10,0)+IF(ISNUMBER(Toxicity!$C$11),H205*Toxicity!$C$11,0)+IF(ISNUMBER(Toxicity!$C$12),I205*Toxicity!$C$12,0)+IF(ISNUMBER(Toxicity!$C$13),J205*Toxicity!$C$13,0)+IF(ISNUMBER(Toxicity!$C$14),K205*Toxicity!$C$14,0)+IF(ISNUMBER(Toxicity!$C$15),L205*Toxicity!$C$15,0)+IF(ISNUMBER(Toxicity!$C$16),M205*Toxicity!$C$16,0)+IF(ISNUMBER(Toxicity!$C$17),N205*Toxicity!$C$17,0)+IF(ISNUMBER(Toxicity!$C$18),O205*Toxicity!$C$18,0)</f>
        <v>9.887895145205479E-8</v>
      </c>
      <c r="R224" s="32">
        <f t="shared" si="6"/>
        <v>5.1750437610958903E-7</v>
      </c>
      <c r="S224" s="15" t="str">
        <f t="shared" si="7"/>
        <v>&lt; 1E-6 (negligible)</v>
      </c>
    </row>
    <row r="225" spans="1:19" ht="15" customHeight="1" x14ac:dyDescent="0.25">
      <c r="A225" s="10" t="s">
        <v>87</v>
      </c>
      <c r="B225" s="31">
        <f>IF(ISNUMBER(Toxicity!$C$5),(B187+B206)*Toxicity!$C$5,0)</f>
        <v>4.8975733771689506E-9</v>
      </c>
      <c r="C225" s="31">
        <f>IF(ISNUMBER(Toxicity!$C$6),(C187+C206)*Toxicity!$C$6,0)</f>
        <v>5.5952456767123283E-9</v>
      </c>
      <c r="D225" s="31">
        <f>IF(ISNUMBER(Toxicity!$C$7),(D187+D206)*Toxicity!$C$7,0)</f>
        <v>4.6505203726027399E-9</v>
      </c>
      <c r="E225" s="31">
        <f>IF(ISNUMBER(Toxicity!$C$8),(E187+E206)*Toxicity!$C$8,0)</f>
        <v>3.7609949223744297E-9</v>
      </c>
      <c r="F225" s="31">
        <f>IF(ISNUMBER(Toxicity!$C$9),(F187+F206)*Toxicity!$C$9,0)</f>
        <v>4.6055526867579912E-9</v>
      </c>
      <c r="G225" s="31">
        <f>IF(ISNUMBER(Toxicity!$C$10),(G187+G206)*Toxicity!$C$10,0)</f>
        <v>1.2098192365296802E-8</v>
      </c>
      <c r="H225" s="31">
        <f>IF(ISNUMBER(Toxicity!$C$11),(H187+H206)*Toxicity!$C$11,0)</f>
        <v>6.4576917041095894E-8</v>
      </c>
      <c r="I225" s="31">
        <f>IF(ISNUMBER(Toxicity!$C$12),(I187+I206)*Toxicity!$C$12,0)</f>
        <v>3.6420711452054803E-8</v>
      </c>
      <c r="J225" s="31">
        <f>IF(ISNUMBER(Toxicity!$C$13),(J187+J206)*Toxicity!$C$13,0)</f>
        <v>7.0745947762557073E-9</v>
      </c>
      <c r="K225" s="31">
        <f>IF(ISNUMBER(Toxicity!$C$14),(K187+K206)*Toxicity!$C$14,0)</f>
        <v>0</v>
      </c>
      <c r="L225" s="31">
        <f>IF(ISNUMBER(Toxicity!$C$15),(L187+L206)*Toxicity!$C$15,0)</f>
        <v>1.856535378995434E-7</v>
      </c>
      <c r="M225" s="31">
        <f>IF(ISNUMBER(Toxicity!$C$16),(M187+M206)*Toxicity!$C$16,0)</f>
        <v>2.408223561643835E-7</v>
      </c>
      <c r="N225" s="31">
        <f>IF(ISNUMBER(Toxicity!$C$17),(N187+N206)*Toxicity!$C$17,0)</f>
        <v>5.7831452054794517E-8</v>
      </c>
      <c r="O225" s="31">
        <f>IF(ISNUMBER(Toxicity!$C$18),(O187+O206)*Toxicity!$C$18,0)</f>
        <v>1.7306268639269405E-7</v>
      </c>
      <c r="P225" s="31">
        <f>IF(ISNUMBER(Toxicity!$C$5),B187*Toxicity!$C$5,0)+IF(ISNUMBER(Toxicity!$C$6),C187*Toxicity!$C$6,0)+IF(ISNUMBER(Toxicity!$C$7),D187*Toxicity!$C$7,0)+IF(ISNUMBER(Toxicity!$C$8),E187*Toxicity!$C$8,0)+IF(ISNUMBER(Toxicity!$C$9),F187*Toxicity!$C$9,0)+IF(ISNUMBER(Toxicity!$C$10),G187*Toxicity!$C$10,0)+IF(ISNUMBER(Toxicity!$C$11),H187*Toxicity!$C$11,0)+IF(ISNUMBER(Toxicity!$C$12),I187*Toxicity!$C$12,0)+IF(ISNUMBER(Toxicity!$C$13),J187*Toxicity!$C$13,0)+IF(ISNUMBER(Toxicity!$C$14),K187*Toxicity!$C$14,0)+IF(ISNUMBER(Toxicity!$C$15),L187*Toxicity!$C$15,0)+IF(ISNUMBER(Toxicity!$C$16),M187*Toxicity!$C$16,0)+IF(ISNUMBER(Toxicity!$C$17),N187*Toxicity!$C$17,0)+IF(ISNUMBER(Toxicity!$C$18),O187*Toxicity!$C$18,0)</f>
        <v>6.4360637077625561E-7</v>
      </c>
      <c r="Q225" s="31">
        <f>IF(ISNUMBER(Toxicity!$C$5),B206*Toxicity!$C$5,0)+IF(ISNUMBER(Toxicity!$C$6),C206*Toxicity!$C$6,0)+IF(ISNUMBER(Toxicity!$C$7),D206*Toxicity!$C$7,0)+IF(ISNUMBER(Toxicity!$C$8),E206*Toxicity!$C$8,0)+IF(ISNUMBER(Toxicity!$C$9),F206*Toxicity!$C$9,0)+IF(ISNUMBER(Toxicity!$C$10),G206*Toxicity!$C$10,0)+IF(ISNUMBER(Toxicity!$C$11),H206*Toxicity!$C$11,0)+IF(ISNUMBER(Toxicity!$C$12),I206*Toxicity!$C$12,0)+IF(ISNUMBER(Toxicity!$C$13),J206*Toxicity!$C$13,0)+IF(ISNUMBER(Toxicity!$C$14),K206*Toxicity!$C$14,0)+IF(ISNUMBER(Toxicity!$C$15),L206*Toxicity!$C$15,0)+IF(ISNUMBER(Toxicity!$C$16),M206*Toxicity!$C$16,0)+IF(ISNUMBER(Toxicity!$C$17),N206*Toxicity!$C$17,0)+IF(ISNUMBER(Toxicity!$C$18),O206*Toxicity!$C$18,0)</f>
        <v>1.5744396440547943E-7</v>
      </c>
      <c r="R225" s="32">
        <f t="shared" si="6"/>
        <v>8.0105033518173504E-7</v>
      </c>
      <c r="S225" s="15" t="str">
        <f t="shared" si="7"/>
        <v>&lt; 1E-6 (negligible)</v>
      </c>
    </row>
    <row r="226" spans="1:19" ht="15" customHeight="1" x14ac:dyDescent="0.25">
      <c r="A226" s="17" t="s">
        <v>44</v>
      </c>
      <c r="B226" s="31">
        <f>IF(ISNUMBER(Toxicity!$C$5),(B188+B207)*Toxicity!$C$5,0)</f>
        <v>1.4616293016742773E-9</v>
      </c>
      <c r="C226" s="31">
        <f>IF(ISNUMBER(Toxicity!$C$6),(C188+C207)*Toxicity!$C$6,0)</f>
        <v>3.052507041704719E-9</v>
      </c>
      <c r="D226" s="31">
        <f>IF(ISNUMBER(Toxicity!$C$7),(D188+D207)*Toxicity!$C$7,0)</f>
        <v>1.5211374368340942E-9</v>
      </c>
      <c r="E226" s="31">
        <f>IF(ISNUMBER(Toxicity!$C$8),(E188+E207)*Toxicity!$C$8,0)</f>
        <v>1.7361475993911722E-9</v>
      </c>
      <c r="F226" s="31">
        <f>IF(ISNUMBER(Toxicity!$C$9),(F188+F207)*Toxicity!$C$9,0)</f>
        <v>3.3131131811263318E-9</v>
      </c>
      <c r="G226" s="31">
        <f>IF(ISNUMBER(Toxicity!$C$10),(G188+G207)*Toxicity!$C$10,0)</f>
        <v>5.1066147750380518E-9</v>
      </c>
      <c r="H226" s="31">
        <f>IF(ISNUMBER(Toxicity!$C$11),(H188+H207)*Toxicity!$C$11,0)</f>
        <v>2.6724071452054795E-8</v>
      </c>
      <c r="I226" s="31">
        <f>IF(ISNUMBER(Toxicity!$C$12),(I188+I207)*Toxicity!$C$12,0)</f>
        <v>1.504228295890411E-8</v>
      </c>
      <c r="J226" s="31">
        <f>IF(ISNUMBER(Toxicity!$C$13),(J188+J207)*Toxicity!$C$13,0)</f>
        <v>2.4768386727549473E-9</v>
      </c>
      <c r="K226" s="31">
        <f>IF(ISNUMBER(Toxicity!$C$14),(K188+K207)*Toxicity!$C$14,0)</f>
        <v>0</v>
      </c>
      <c r="L226" s="31">
        <f>IF(ISNUMBER(Toxicity!$C$15),(L188+L207)*Toxicity!$C$15,0)</f>
        <v>4.2640326331811262E-8</v>
      </c>
      <c r="M226" s="31">
        <f>IF(ISNUMBER(Toxicity!$C$16),(M188+M207)*Toxicity!$C$16,0)</f>
        <v>6.4920041400304401E-8</v>
      </c>
      <c r="N226" s="31">
        <f>IF(ISNUMBER(Toxicity!$C$17),(N188+N207)*Toxicity!$C$17,0)</f>
        <v>1.626406575342466E-8</v>
      </c>
      <c r="O226" s="31">
        <f>IF(ISNUMBER(Toxicity!$C$18),(O188+O207)*Toxicity!$C$18,0)</f>
        <v>5.2184458325722979E-8</v>
      </c>
      <c r="P226" s="31">
        <f>IF(ISNUMBER(Toxicity!$C$5),B188*Toxicity!$C$5,0)+IF(ISNUMBER(Toxicity!$C$6),C188*Toxicity!$C$6,0)+IF(ISNUMBER(Toxicity!$C$7),D188*Toxicity!$C$7,0)+IF(ISNUMBER(Toxicity!$C$8),E188*Toxicity!$C$8,0)+IF(ISNUMBER(Toxicity!$C$9),F188*Toxicity!$C$9,0)+IF(ISNUMBER(Toxicity!$C$10),G188*Toxicity!$C$10,0)+IF(ISNUMBER(Toxicity!$C$11),H188*Toxicity!$C$11,0)+IF(ISNUMBER(Toxicity!$C$12),I188*Toxicity!$C$12,0)+IF(ISNUMBER(Toxicity!$C$13),J188*Toxicity!$C$13,0)+IF(ISNUMBER(Toxicity!$C$14),K188*Toxicity!$C$14,0)+IF(ISNUMBER(Toxicity!$C$15),L188*Toxicity!$C$15,0)+IF(ISNUMBER(Toxicity!$C$16),M188*Toxicity!$C$16,0)+IF(ISNUMBER(Toxicity!$C$17),N188*Toxicity!$C$17,0)+IF(ISNUMBER(Toxicity!$C$18),O188*Toxicity!$C$18,0)</f>
        <v>1.9223047549467274E-7</v>
      </c>
      <c r="Q226" s="31">
        <f>IF(ISNUMBER(Toxicity!$C$5),B207*Toxicity!$C$5,0)+IF(ISNUMBER(Toxicity!$C$6),C207*Toxicity!$C$6,0)+IF(ISNUMBER(Toxicity!$C$7),D207*Toxicity!$C$7,0)+IF(ISNUMBER(Toxicity!$C$8),E207*Toxicity!$C$8,0)+IF(ISNUMBER(Toxicity!$C$9),F207*Toxicity!$C$9,0)+IF(ISNUMBER(Toxicity!$C$10),G207*Toxicity!$C$10,0)+IF(ISNUMBER(Toxicity!$C$11),H207*Toxicity!$C$11,0)+IF(ISNUMBER(Toxicity!$C$12),I207*Toxicity!$C$12,0)+IF(ISNUMBER(Toxicity!$C$13),J207*Toxicity!$C$13,0)+IF(ISNUMBER(Toxicity!$C$14),K207*Toxicity!$C$14,0)+IF(ISNUMBER(Toxicity!$C$15),L207*Toxicity!$C$15,0)+IF(ISNUMBER(Toxicity!$C$16),M207*Toxicity!$C$16,0)+IF(ISNUMBER(Toxicity!$C$17),N207*Toxicity!$C$17,0)+IF(ISNUMBER(Toxicity!$C$18),O207*Toxicity!$C$18,0)</f>
        <v>4.4212758736073056E-8</v>
      </c>
      <c r="R226" s="32">
        <f t="shared" si="6"/>
        <v>2.364432342307458E-7</v>
      </c>
      <c r="S226" s="15" t="str">
        <f t="shared" si="7"/>
        <v>&lt; 1E-6 (negligible)</v>
      </c>
    </row>
    <row r="227" spans="1:19" ht="15" customHeight="1" x14ac:dyDescent="0.25">
      <c r="A227" s="17" t="s">
        <v>57</v>
      </c>
      <c r="B227" s="31">
        <f>IF(ISNUMBER(Toxicity!$C$5),(B189+B208)*Toxicity!$C$5,0)</f>
        <v>2.2820876176560122E-9</v>
      </c>
      <c r="C227" s="31">
        <f>IF(ISNUMBER(Toxicity!$C$6),(C189+C208)*Toxicity!$C$6,0)</f>
        <v>3.2143817351598169E-9</v>
      </c>
      <c r="D227" s="31">
        <f>IF(ISNUMBER(Toxicity!$C$7),(D189+D208)*Toxicity!$C$7,0)</f>
        <v>1.531863262100457E-9</v>
      </c>
      <c r="E227" s="31">
        <f>IF(ISNUMBER(Toxicity!$C$8),(E189+E208)*Toxicity!$C$8,0)</f>
        <v>1.8320966136986303E-9</v>
      </c>
      <c r="F227" s="31">
        <f>IF(ISNUMBER(Toxicity!$C$9),(F189+F208)*Toxicity!$C$9,0)</f>
        <v>2.9051279196347035E-9</v>
      </c>
      <c r="G227" s="31">
        <f>IF(ISNUMBER(Toxicity!$C$10),(G189+G208)*Toxicity!$C$10,0)</f>
        <v>7.0335384547945221E-9</v>
      </c>
      <c r="H227" s="31">
        <f>IF(ISNUMBER(Toxicity!$C$11),(H189+H208)*Toxicity!$C$11,0)</f>
        <v>3.1778339945205476E-8</v>
      </c>
      <c r="I227" s="31">
        <f>IF(ISNUMBER(Toxicity!$C$12),(I189+I208)*Toxicity!$C$12,0)</f>
        <v>1.7934823452054795E-8</v>
      </c>
      <c r="J227" s="31">
        <f>IF(ISNUMBER(Toxicity!$C$13),(J189+J208)*Toxicity!$C$13,0)</f>
        <v>7.9210958904109594E-10</v>
      </c>
      <c r="K227" s="31">
        <f>IF(ISNUMBER(Toxicity!$C$14),(K189+K208)*Toxicity!$C$14,0)</f>
        <v>0</v>
      </c>
      <c r="L227" s="31">
        <f>IF(ISNUMBER(Toxicity!$C$15),(L189+L208)*Toxicity!$C$15,0)</f>
        <v>2.5309165296803648E-8</v>
      </c>
      <c r="M227" s="31">
        <f>IF(ISNUMBER(Toxicity!$C$16),(M189+M208)*Toxicity!$C$16,0)</f>
        <v>4.7693150684931511E-8</v>
      </c>
      <c r="N227" s="31">
        <f>IF(ISNUMBER(Toxicity!$C$17),(N189+N208)*Toxicity!$C$17,0)</f>
        <v>6.3537095890410963E-9</v>
      </c>
      <c r="O227" s="31">
        <f>IF(ISNUMBER(Toxicity!$C$18),(O189+O208)*Toxicity!$C$18,0)</f>
        <v>3.3327817838660573E-8</v>
      </c>
      <c r="P227" s="31">
        <f>IF(ISNUMBER(Toxicity!$C$5),B189*Toxicity!$C$5,0)+IF(ISNUMBER(Toxicity!$C$6),C189*Toxicity!$C$6,0)+IF(ISNUMBER(Toxicity!$C$7),D189*Toxicity!$C$7,0)+IF(ISNUMBER(Toxicity!$C$8),E189*Toxicity!$C$8,0)+IF(ISNUMBER(Toxicity!$C$9),F189*Toxicity!$C$9,0)+IF(ISNUMBER(Toxicity!$C$10),G189*Toxicity!$C$10,0)+IF(ISNUMBER(Toxicity!$C$11),H189*Toxicity!$C$11,0)+IF(ISNUMBER(Toxicity!$C$12),I189*Toxicity!$C$12,0)+IF(ISNUMBER(Toxicity!$C$13),J189*Toxicity!$C$13,0)+IF(ISNUMBER(Toxicity!$C$14),K189*Toxicity!$C$14,0)+IF(ISNUMBER(Toxicity!$C$15),L189*Toxicity!$C$15,0)+IF(ISNUMBER(Toxicity!$C$16),M189*Toxicity!$C$16,0)+IF(ISNUMBER(Toxicity!$C$17),N189*Toxicity!$C$17,0)+IF(ISNUMBER(Toxicity!$C$18),O189*Toxicity!$C$18,0)</f>
        <v>1.5079500273972602E-7</v>
      </c>
      <c r="Q227" s="31">
        <f>IF(ISNUMBER(Toxicity!$C$5),B208*Toxicity!$C$5,0)+IF(ISNUMBER(Toxicity!$C$6),C208*Toxicity!$C$6,0)+IF(ISNUMBER(Toxicity!$C$7),D208*Toxicity!$C$7,0)+IF(ISNUMBER(Toxicity!$C$8),E208*Toxicity!$C$8,0)+IF(ISNUMBER(Toxicity!$C$9),F208*Toxicity!$C$9,0)+IF(ISNUMBER(Toxicity!$C$10),G208*Toxicity!$C$10,0)+IF(ISNUMBER(Toxicity!$C$11),H208*Toxicity!$C$11,0)+IF(ISNUMBER(Toxicity!$C$12),I208*Toxicity!$C$12,0)+IF(ISNUMBER(Toxicity!$C$13),J208*Toxicity!$C$13,0)+IF(ISNUMBER(Toxicity!$C$14),K208*Toxicity!$C$14,0)+IF(ISNUMBER(Toxicity!$C$15),L208*Toxicity!$C$15,0)+IF(ISNUMBER(Toxicity!$C$16),M208*Toxicity!$C$16,0)+IF(ISNUMBER(Toxicity!$C$17),N208*Toxicity!$C$17,0)+IF(ISNUMBER(Toxicity!$C$18),O208*Toxicity!$C$18,0)</f>
        <v>3.1193209259056316E-8</v>
      </c>
      <c r="R227" s="32">
        <f t="shared" si="6"/>
        <v>1.8198821199878234E-7</v>
      </c>
      <c r="S227" s="15" t="str">
        <f t="shared" si="7"/>
        <v>&lt; 1E-6 (negligible)</v>
      </c>
    </row>
    <row r="228" spans="1:19" ht="15" customHeight="1" x14ac:dyDescent="0.25">
      <c r="A228" s="17" t="s">
        <v>70</v>
      </c>
      <c r="B228" s="31">
        <f>IF(ISNUMBER(Toxicity!$C$5),(B190+B209)*Toxicity!$C$5,0)</f>
        <v>3.9688694940639274E-9</v>
      </c>
      <c r="C228" s="31">
        <f>IF(ISNUMBER(Toxicity!$C$6),(C190+C209)*Toxicity!$C$6,0)</f>
        <v>4.4193003017351597E-9</v>
      </c>
      <c r="D228" s="31">
        <f>IF(ISNUMBER(Toxicity!$C$7),(D190+D209)*Toxicity!$C$7,0)</f>
        <v>2.9150369665753431E-9</v>
      </c>
      <c r="E228" s="31">
        <f>IF(ISNUMBER(Toxicity!$C$8),(E190+E209)*Toxicity!$C$8,0)</f>
        <v>2.799036493150686E-9</v>
      </c>
      <c r="F228" s="31">
        <f>IF(ISNUMBER(Toxicity!$C$9),(F190+F209)*Toxicity!$C$9,0)</f>
        <v>3.6806454765296802E-9</v>
      </c>
      <c r="G228" s="31">
        <f>IF(ISNUMBER(Toxicity!$C$10),(G190+G209)*Toxicity!$C$10,0)</f>
        <v>9.3655303305936076E-9</v>
      </c>
      <c r="H228" s="31">
        <f>IF(ISNUMBER(Toxicity!$C$11),(H190+H209)*Toxicity!$C$11,0)</f>
        <v>5.4101913599999983E-8</v>
      </c>
      <c r="I228" s="31">
        <f>IF(ISNUMBER(Toxicity!$C$12),(I190+I209)*Toxicity!$C$12,0)</f>
        <v>3.0495829216438351E-8</v>
      </c>
      <c r="J228" s="31">
        <f>IF(ISNUMBER(Toxicity!$C$13),(J190+J209)*Toxicity!$C$13,0)</f>
        <v>4.8618630429223748E-9</v>
      </c>
      <c r="K228" s="31">
        <f>IF(ISNUMBER(Toxicity!$C$14),(K190+K209)*Toxicity!$C$14,0)</f>
        <v>0</v>
      </c>
      <c r="L228" s="31">
        <f>IF(ISNUMBER(Toxicity!$C$15),(L190+L209)*Toxicity!$C$15,0)</f>
        <v>9.1891983196347033E-8</v>
      </c>
      <c r="M228" s="31">
        <f>IF(ISNUMBER(Toxicity!$C$16),(M190+M209)*Toxicity!$C$16,0)</f>
        <v>1.3493832474885841E-7</v>
      </c>
      <c r="N228" s="31">
        <f>IF(ISNUMBER(Toxicity!$C$17),(N190+N209)*Toxicity!$C$17,0)</f>
        <v>2.627275397260274E-8</v>
      </c>
      <c r="O228" s="31">
        <f>IF(ISNUMBER(Toxicity!$C$18),(O190+O209)*Toxicity!$C$18,0)</f>
        <v>9.2187484347031925E-8</v>
      </c>
      <c r="P228" s="31">
        <f>IF(ISNUMBER(Toxicity!$C$5),B190*Toxicity!$C$5,0)+IF(ISNUMBER(Toxicity!$C$6),C190*Toxicity!$C$6,0)+IF(ISNUMBER(Toxicity!$C$7),D190*Toxicity!$C$7,0)+IF(ISNUMBER(Toxicity!$C$8),E190*Toxicity!$C$8,0)+IF(ISNUMBER(Toxicity!$C$9),F190*Toxicity!$C$9,0)+IF(ISNUMBER(Toxicity!$C$10),G190*Toxicity!$C$10,0)+IF(ISNUMBER(Toxicity!$C$11),H190*Toxicity!$C$11,0)+IF(ISNUMBER(Toxicity!$C$12),I190*Toxicity!$C$12,0)+IF(ISNUMBER(Toxicity!$C$13),J190*Toxicity!$C$13,0)+IF(ISNUMBER(Toxicity!$C$14),K190*Toxicity!$C$14,0)+IF(ISNUMBER(Toxicity!$C$15),L190*Toxicity!$C$15,0)+IF(ISNUMBER(Toxicity!$C$16),M190*Toxicity!$C$16,0)+IF(ISNUMBER(Toxicity!$C$17),N190*Toxicity!$C$17,0)+IF(ISNUMBER(Toxicity!$C$18),O190*Toxicity!$C$18,0)</f>
        <v>3.7525219214611862E-7</v>
      </c>
      <c r="Q228" s="31">
        <f>IF(ISNUMBER(Toxicity!$C$5),B209*Toxicity!$C$5,0)+IF(ISNUMBER(Toxicity!$C$6),C209*Toxicity!$C$6,0)+IF(ISNUMBER(Toxicity!$C$7),D209*Toxicity!$C$7,0)+IF(ISNUMBER(Toxicity!$C$8),E209*Toxicity!$C$8,0)+IF(ISNUMBER(Toxicity!$C$9),F209*Toxicity!$C$9,0)+IF(ISNUMBER(Toxicity!$C$10),G209*Toxicity!$C$10,0)+IF(ISNUMBER(Toxicity!$C$11),H209*Toxicity!$C$11,0)+IF(ISNUMBER(Toxicity!$C$12),I209*Toxicity!$C$12,0)+IF(ISNUMBER(Toxicity!$C$13),J209*Toxicity!$C$13,0)+IF(ISNUMBER(Toxicity!$C$14),K209*Toxicity!$C$14,0)+IF(ISNUMBER(Toxicity!$C$15),L209*Toxicity!$C$15,0)+IF(ISNUMBER(Toxicity!$C$16),M209*Toxicity!$C$16,0)+IF(ISNUMBER(Toxicity!$C$17),N209*Toxicity!$C$17,0)+IF(ISNUMBER(Toxicity!$C$18),O209*Toxicity!$C$18,0)</f>
        <v>8.6646379040730577E-8</v>
      </c>
      <c r="R228" s="32">
        <f t="shared" si="6"/>
        <v>4.618985711868492E-7</v>
      </c>
      <c r="S228" s="15" t="str">
        <f t="shared" si="7"/>
        <v>&lt; 1E-6 (negligible)</v>
      </c>
    </row>
    <row r="229" spans="1:19" ht="15" customHeight="1" x14ac:dyDescent="0.25">
      <c r="A229" s="17" t="s">
        <v>127</v>
      </c>
      <c r="B229" s="31">
        <f>IF(ISNUMBER(Toxicity!$C$5),(B191+B210)*Toxicity!$C$5,0)</f>
        <v>2.8250452934827739E-9</v>
      </c>
      <c r="C229" s="31">
        <f>IF(ISNUMBER(Toxicity!$C$6),(C191+C210)*Toxicity!$C$6,0)</f>
        <v>3.7179243490244919E-9</v>
      </c>
      <c r="D229" s="31">
        <f>IF(ISNUMBER(Toxicity!$C$7),(D191+D210)*Toxicity!$C$7,0)</f>
        <v>2.1576533572436696E-9</v>
      </c>
      <c r="E229" s="31">
        <f>IF(ISNUMBER(Toxicity!$C$8),(E191+E210)*Toxicity!$C$8,0)</f>
        <v>2.2454468277293479E-9</v>
      </c>
      <c r="F229" s="31">
        <f>IF(ISNUMBER(Toxicity!$C$9),(F191+F210)*Toxicity!$C$9,0)</f>
        <v>3.3689046077210462E-9</v>
      </c>
      <c r="G229" s="31">
        <f>IF(ISNUMBER(Toxicity!$C$10),(G191+G210)*Toxicity!$C$10,0)</f>
        <v>7.5680101220423403E-9</v>
      </c>
      <c r="H229" s="31">
        <f>IF(ISNUMBER(Toxicity!$C$11),(H191+H210)*Toxicity!$C$11,0)</f>
        <v>4.0546982017434625E-8</v>
      </c>
      <c r="I229" s="31">
        <f>IF(ISNUMBER(Toxicity!$C$12),(I191+I210)*Toxicity!$C$12,0)</f>
        <v>2.2855496846824413E-8</v>
      </c>
      <c r="J229" s="31">
        <f>IF(ISNUMBER(Toxicity!$C$13),(J191+J210)*Toxicity!$C$13,0)</f>
        <v>3.1014690909090909E-9</v>
      </c>
      <c r="K229" s="31">
        <f>IF(ISNUMBER(Toxicity!$C$14),(K191+K210)*Toxicity!$C$14,0)</f>
        <v>0</v>
      </c>
      <c r="L229" s="31">
        <f>IF(ISNUMBER(Toxicity!$C$15),(L191+L210)*Toxicity!$C$15,0)</f>
        <v>6.0300762806143625E-8</v>
      </c>
      <c r="M229" s="31">
        <f>IF(ISNUMBER(Toxicity!$C$16),(M191+M210)*Toxicity!$C$16,0)</f>
        <v>9.2048290909090893E-8</v>
      </c>
      <c r="N229" s="31">
        <f>IF(ISNUMBER(Toxicity!$C$17),(N191+N210)*Toxicity!$C$17,0)</f>
        <v>1.8110645080946447E-8</v>
      </c>
      <c r="O229" s="31">
        <f>IF(ISNUMBER(Toxicity!$C$18),(O191+O210)*Toxicity!$C$18,0)</f>
        <v>6.5224931838937315E-8</v>
      </c>
      <c r="P229" s="31">
        <f>IF(ISNUMBER(Toxicity!$C$5),B191*Toxicity!$C$5,0)+IF(ISNUMBER(Toxicity!$C$6),C191*Toxicity!$C$6,0)+IF(ISNUMBER(Toxicity!$C$7),D191*Toxicity!$C$7,0)+IF(ISNUMBER(Toxicity!$C$8),E191*Toxicity!$C$8,0)+IF(ISNUMBER(Toxicity!$C$9),F191*Toxicity!$C$9,0)+IF(ISNUMBER(Toxicity!$C$10),G191*Toxicity!$C$10,0)+IF(ISNUMBER(Toxicity!$C$11),H191*Toxicity!$C$11,0)+IF(ISNUMBER(Toxicity!$C$12),I191*Toxicity!$C$12,0)+IF(ISNUMBER(Toxicity!$C$13),J191*Toxicity!$C$13,0)+IF(ISNUMBER(Toxicity!$C$14),K191*Toxicity!$C$14,0)+IF(ISNUMBER(Toxicity!$C$15),L191*Toxicity!$C$15,0)+IF(ISNUMBER(Toxicity!$C$16),M191*Toxicity!$C$16,0)+IF(ISNUMBER(Toxicity!$C$17),N191*Toxicity!$C$17,0)+IF(ISNUMBER(Toxicity!$C$18),O191*Toxicity!$C$18,0)</f>
        <v>2.6412158140307183E-7</v>
      </c>
      <c r="Q229" s="31">
        <f>IF(ISNUMBER(Toxicity!$C$5),B210*Toxicity!$C$5,0)+IF(ISNUMBER(Toxicity!$C$6),C210*Toxicity!$C$6,0)+IF(ISNUMBER(Toxicity!$C$7),D210*Toxicity!$C$7,0)+IF(ISNUMBER(Toxicity!$C$8),E210*Toxicity!$C$8,0)+IF(ISNUMBER(Toxicity!$C$9),F210*Toxicity!$C$9,0)+IF(ISNUMBER(Toxicity!$C$10),G210*Toxicity!$C$10,0)+IF(ISNUMBER(Toxicity!$C$11),H210*Toxicity!$C$11,0)+IF(ISNUMBER(Toxicity!$C$12),I210*Toxicity!$C$12,0)+IF(ISNUMBER(Toxicity!$C$13),J210*Toxicity!$C$13,0)+IF(ISNUMBER(Toxicity!$C$14),K210*Toxicity!$C$14,0)+IF(ISNUMBER(Toxicity!$C$15),L210*Toxicity!$C$15,0)+IF(ISNUMBER(Toxicity!$C$16),M210*Toxicity!$C$16,0)+IF(ISNUMBER(Toxicity!$C$17),N210*Toxicity!$C$17,0)+IF(ISNUMBER(Toxicity!$C$18),O210*Toxicity!$C$18,0)</f>
        <v>5.9949981744458291E-8</v>
      </c>
      <c r="R229" s="32">
        <f t="shared" si="6"/>
        <v>3.2407156314753008E-7</v>
      </c>
      <c r="S229" s="15" t="str">
        <f t="shared" si="7"/>
        <v>&lt; 1E-6 (negligible)</v>
      </c>
    </row>
    <row r="232" spans="1:19" ht="15" customHeight="1" x14ac:dyDescent="0.25">
      <c r="A232" s="17" t="s">
        <v>337</v>
      </c>
    </row>
    <row r="233" spans="1:19" ht="23.25" customHeight="1" x14ac:dyDescent="0.25">
      <c r="A233" s="6" t="s">
        <v>130</v>
      </c>
      <c r="B233" s="6" t="s">
        <v>338</v>
      </c>
      <c r="C233" s="6" t="s">
        <v>339</v>
      </c>
      <c r="D233" s="6" t="s">
        <v>340</v>
      </c>
      <c r="E233" s="6" t="s">
        <v>341</v>
      </c>
      <c r="F233" s="6" t="s">
        <v>342</v>
      </c>
      <c r="G233" s="6" t="s">
        <v>343</v>
      </c>
    </row>
    <row r="234" spans="1:19" ht="15" customHeight="1" x14ac:dyDescent="0.25">
      <c r="A234" s="10" t="s">
        <v>45</v>
      </c>
      <c r="B234" s="31">
        <f t="shared" ref="B234:B248" si="8">R44</f>
        <v>5.5411081418803429E-4</v>
      </c>
      <c r="C234" s="31">
        <f t="shared" ref="C234:C248" si="9">R158</f>
        <v>4.8047889910158839E-3</v>
      </c>
      <c r="D234" s="31">
        <f t="shared" ref="D234:D248" si="10">R101</f>
        <v>1.5040557463652966E-7</v>
      </c>
      <c r="E234" s="31">
        <f t="shared" ref="E234:E248" si="11">R215</f>
        <v>1.1231331685114154E-7</v>
      </c>
      <c r="F234" s="20">
        <f t="shared" ref="F234:F248" si="12">C234/B234</f>
        <v>8.6711698598710374</v>
      </c>
      <c r="G234" s="12">
        <f t="shared" ref="G234:G248" si="13">L44/B234*100</f>
        <v>5.7643053431849314</v>
      </c>
    </row>
    <row r="235" spans="1:19" ht="15" customHeight="1" x14ac:dyDescent="0.25">
      <c r="A235" s="10" t="s">
        <v>49</v>
      </c>
      <c r="B235" s="31">
        <f t="shared" si="8"/>
        <v>2.0668105275026342E-4</v>
      </c>
      <c r="C235" s="31">
        <f t="shared" si="9"/>
        <v>1.8034944887952232E-3</v>
      </c>
      <c r="D235" s="31">
        <f t="shared" si="10"/>
        <v>6.4860395005479446E-8</v>
      </c>
      <c r="E235" s="31">
        <f t="shared" si="11"/>
        <v>4.8269405895890417E-8</v>
      </c>
      <c r="F235" s="20">
        <f t="shared" si="12"/>
        <v>8.7259788200054285</v>
      </c>
      <c r="G235" s="12">
        <f t="shared" si="13"/>
        <v>15.454072274346725</v>
      </c>
    </row>
    <row r="236" spans="1:19" ht="15" customHeight="1" x14ac:dyDescent="0.25">
      <c r="A236" s="10" t="s">
        <v>53</v>
      </c>
      <c r="B236" s="31">
        <f t="shared" si="8"/>
        <v>2.3380403919447375E-3</v>
      </c>
      <c r="C236" s="31">
        <f t="shared" si="9"/>
        <v>2.0126233977910475E-2</v>
      </c>
      <c r="D236" s="31">
        <f t="shared" si="10"/>
        <v>7.4186024295890411E-7</v>
      </c>
      <c r="E236" s="31">
        <f t="shared" si="11"/>
        <v>5.4874697994520543E-7</v>
      </c>
      <c r="F236" s="20">
        <f t="shared" si="12"/>
        <v>8.6081635061787178</v>
      </c>
      <c r="G236" s="12">
        <f t="shared" si="13"/>
        <v>11.924481470185039</v>
      </c>
    </row>
    <row r="237" spans="1:19" ht="15" customHeight="1" x14ac:dyDescent="0.25">
      <c r="A237" s="10" t="s">
        <v>58</v>
      </c>
      <c r="B237" s="31">
        <f t="shared" si="8"/>
        <v>4.4402595314600171E-4</v>
      </c>
      <c r="C237" s="31">
        <f t="shared" si="9"/>
        <v>3.8686358838231271E-3</v>
      </c>
      <c r="D237" s="31">
        <f t="shared" si="10"/>
        <v>2.2270388337260273E-7</v>
      </c>
      <c r="E237" s="31">
        <f t="shared" si="11"/>
        <v>1.6554884526757992E-7</v>
      </c>
      <c r="F237" s="20">
        <f t="shared" si="12"/>
        <v>8.7126346025793406</v>
      </c>
      <c r="G237" s="12">
        <f t="shared" si="13"/>
        <v>16.995647029000779</v>
      </c>
    </row>
    <row r="238" spans="1:19" ht="15" customHeight="1" x14ac:dyDescent="0.25">
      <c r="A238" s="10" t="s">
        <v>62</v>
      </c>
      <c r="B238" s="31">
        <f t="shared" si="8"/>
        <v>9.2571217968856099E-4</v>
      </c>
      <c r="C238" s="31">
        <f t="shared" si="9"/>
        <v>8.0137644380127229E-3</v>
      </c>
      <c r="D238" s="31">
        <f t="shared" si="10"/>
        <v>2.5945920987945203E-7</v>
      </c>
      <c r="E238" s="31">
        <f t="shared" si="11"/>
        <v>1.9325276709406393E-7</v>
      </c>
      <c r="F238" s="20">
        <f t="shared" si="12"/>
        <v>8.6568639949285409</v>
      </c>
      <c r="G238" s="12">
        <f t="shared" si="13"/>
        <v>3.4503855485786343</v>
      </c>
    </row>
    <row r="239" spans="1:19" ht="15" customHeight="1" x14ac:dyDescent="0.25">
      <c r="A239" s="10" t="s">
        <v>66</v>
      </c>
      <c r="B239" s="31">
        <f t="shared" si="8"/>
        <v>9.1231390367638447E-4</v>
      </c>
      <c r="C239" s="31">
        <f t="shared" si="9"/>
        <v>7.9160945169574216E-3</v>
      </c>
      <c r="D239" s="31">
        <f t="shared" si="10"/>
        <v>2.5000687900000001E-7</v>
      </c>
      <c r="E239" s="31">
        <f t="shared" si="11"/>
        <v>1.8716302363470323E-7</v>
      </c>
      <c r="F239" s="20">
        <f t="shared" si="12"/>
        <v>8.6769416590689321</v>
      </c>
      <c r="G239" s="12">
        <f t="shared" si="13"/>
        <v>10.521846427802881</v>
      </c>
    </row>
    <row r="240" spans="1:19" ht="15" customHeight="1" x14ac:dyDescent="0.25">
      <c r="A240" s="10" t="s">
        <v>71</v>
      </c>
      <c r="B240" s="31">
        <f t="shared" si="8"/>
        <v>1.01392835011357E-3</v>
      </c>
      <c r="C240" s="31">
        <f t="shared" si="9"/>
        <v>8.7916732955235534E-3</v>
      </c>
      <c r="D240" s="31">
        <f t="shared" si="10"/>
        <v>3.6725262900273969E-7</v>
      </c>
      <c r="E240" s="31">
        <f t="shared" si="11"/>
        <v>2.7386417662831051E-7</v>
      </c>
      <c r="F240" s="20">
        <f t="shared" si="12"/>
        <v>8.6709019375371046</v>
      </c>
      <c r="G240" s="12">
        <f t="shared" si="13"/>
        <v>10.908047585197671</v>
      </c>
    </row>
    <row r="241" spans="1:7" ht="15" customHeight="1" x14ac:dyDescent="0.25">
      <c r="A241" s="10" t="s">
        <v>75</v>
      </c>
      <c r="B241" s="31">
        <f t="shared" si="8"/>
        <v>1.4554266451680131E-3</v>
      </c>
      <c r="C241" s="31">
        <f t="shared" si="9"/>
        <v>1.2575595047449557E-2</v>
      </c>
      <c r="D241" s="31">
        <f t="shared" si="10"/>
        <v>4.401608495680365E-7</v>
      </c>
      <c r="E241" s="31">
        <f t="shared" si="11"/>
        <v>3.2690729383744287E-7</v>
      </c>
      <c r="F241" s="20">
        <f t="shared" si="12"/>
        <v>8.6404870277731121</v>
      </c>
      <c r="G241" s="12">
        <f t="shared" si="13"/>
        <v>9.2011819366825822</v>
      </c>
    </row>
    <row r="242" spans="1:7" ht="15" customHeight="1" x14ac:dyDescent="0.25">
      <c r="A242" s="10" t="s">
        <v>79</v>
      </c>
      <c r="B242" s="31">
        <f t="shared" si="8"/>
        <v>1.5597140877836322E-3</v>
      </c>
      <c r="C242" s="31">
        <f t="shared" si="9"/>
        <v>1.3484340848518909E-2</v>
      </c>
      <c r="D242" s="31">
        <f t="shared" si="10"/>
        <v>5.252420975105023E-7</v>
      </c>
      <c r="E242" s="31">
        <f t="shared" si="11"/>
        <v>3.9016667417716902E-7</v>
      </c>
      <c r="F242" s="20">
        <f t="shared" si="12"/>
        <v>8.6453927384090505</v>
      </c>
      <c r="G242" s="12">
        <f t="shared" si="13"/>
        <v>13.641426125452046</v>
      </c>
    </row>
    <row r="243" spans="1:7" ht="15" customHeight="1" x14ac:dyDescent="0.25">
      <c r="A243" s="10" t="s">
        <v>83</v>
      </c>
      <c r="B243" s="31">
        <f t="shared" si="8"/>
        <v>2.1765578251258634E-3</v>
      </c>
      <c r="C243" s="31">
        <f t="shared" si="9"/>
        <v>1.8765450911446747E-2</v>
      </c>
      <c r="D243" s="31">
        <f t="shared" si="10"/>
        <v>6.9940991309589037E-7</v>
      </c>
      <c r="E243" s="31">
        <f t="shared" si="11"/>
        <v>5.1750437610958903E-7</v>
      </c>
      <c r="F243" s="20">
        <f t="shared" si="12"/>
        <v>8.6216183621777205</v>
      </c>
      <c r="G243" s="12">
        <f t="shared" si="13"/>
        <v>12.689823879424919</v>
      </c>
    </row>
    <row r="244" spans="1:7" ht="15" customHeight="1" x14ac:dyDescent="0.25">
      <c r="A244" s="10" t="s">
        <v>87</v>
      </c>
      <c r="B244" s="31">
        <f t="shared" si="8"/>
        <v>3.4502178897389069E-3</v>
      </c>
      <c r="C244" s="31">
        <f t="shared" si="9"/>
        <v>2.9694652630901926E-2</v>
      </c>
      <c r="D244" s="31">
        <f t="shared" si="10"/>
        <v>1.0849550250675799E-6</v>
      </c>
      <c r="E244" s="31">
        <f t="shared" si="11"/>
        <v>8.0105033518173504E-7</v>
      </c>
      <c r="F244" s="20">
        <f t="shared" si="12"/>
        <v>8.6066021277134617</v>
      </c>
      <c r="G244" s="12">
        <f t="shared" si="13"/>
        <v>14.414656206591234</v>
      </c>
    </row>
    <row r="245" spans="1:7" ht="15" customHeight="1" x14ac:dyDescent="0.25">
      <c r="A245" s="17" t="s">
        <v>44</v>
      </c>
      <c r="B245" s="31">
        <f t="shared" si="8"/>
        <v>1.032944086294345E-3</v>
      </c>
      <c r="C245" s="31">
        <f t="shared" si="9"/>
        <v>8.9115058192405262E-3</v>
      </c>
      <c r="D245" s="31">
        <f t="shared" si="10"/>
        <v>3.1904207086697107E-7</v>
      </c>
      <c r="E245" s="31">
        <f t="shared" si="11"/>
        <v>2.364432342307458E-7</v>
      </c>
      <c r="F245" s="20">
        <f t="shared" si="12"/>
        <v>8.6272877084860209</v>
      </c>
      <c r="G245" s="12">
        <f t="shared" si="13"/>
        <v>11.058374355674964</v>
      </c>
    </row>
    <row r="246" spans="1:7" ht="15" customHeight="1" x14ac:dyDescent="0.25">
      <c r="A246" s="17" t="s">
        <v>57</v>
      </c>
      <c r="B246" s="31">
        <f t="shared" si="8"/>
        <v>7.6068401217031572E-4</v>
      </c>
      <c r="C246" s="31">
        <f t="shared" si="9"/>
        <v>6.5994982795977569E-3</v>
      </c>
      <c r="D246" s="31">
        <f t="shared" si="10"/>
        <v>2.4405665741735158E-7</v>
      </c>
      <c r="E246" s="31">
        <f t="shared" si="11"/>
        <v>1.8198821199878234E-7</v>
      </c>
      <c r="F246" s="20">
        <f t="shared" si="12"/>
        <v>8.6757420611071581</v>
      </c>
      <c r="G246" s="12">
        <f t="shared" si="13"/>
        <v>8.9129427205593927</v>
      </c>
    </row>
    <row r="247" spans="1:7" ht="15" customHeight="1" x14ac:dyDescent="0.25">
      <c r="A247" s="17" t="s">
        <v>70</v>
      </c>
      <c r="B247" s="31">
        <f t="shared" si="8"/>
        <v>1.9311689595859964E-3</v>
      </c>
      <c r="C247" s="31">
        <f t="shared" si="9"/>
        <v>1.6662342546768134E-2</v>
      </c>
      <c r="D247" s="31">
        <f t="shared" si="10"/>
        <v>6.2340410284894966E-7</v>
      </c>
      <c r="E247" s="31">
        <f t="shared" si="11"/>
        <v>4.618985711868492E-7</v>
      </c>
      <c r="F247" s="20">
        <f t="shared" si="12"/>
        <v>8.628112244689456</v>
      </c>
      <c r="G247" s="12">
        <f t="shared" si="13"/>
        <v>12.746910427047068</v>
      </c>
    </row>
    <row r="248" spans="1:7" ht="15" customHeight="1" x14ac:dyDescent="0.25">
      <c r="A248" s="17" t="s">
        <v>127</v>
      </c>
      <c r="B248" s="31">
        <f t="shared" si="8"/>
        <v>1.3669753721203609E-3</v>
      </c>
      <c r="C248" s="31">
        <f t="shared" si="9"/>
        <v>1.1804065911850504E-2</v>
      </c>
      <c r="D248" s="31">
        <f t="shared" si="10"/>
        <v>4.3693788173615605E-7</v>
      </c>
      <c r="E248" s="31">
        <f t="shared" si="11"/>
        <v>3.2407156314753008E-7</v>
      </c>
      <c r="F248" s="20">
        <f t="shared" si="12"/>
        <v>8.6351708689095297</v>
      </c>
      <c r="G248" s="12">
        <f t="shared" si="13"/>
        <v>11.817066990087723</v>
      </c>
    </row>
  </sheetData>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G68"/>
  <sheetViews>
    <sheetView showGridLines="0" zoomScaleNormal="100" workbookViewId="0"/>
  </sheetViews>
  <sheetFormatPr defaultColWidth="8.7109375" defaultRowHeight="15" x14ac:dyDescent="0.25"/>
  <cols>
    <col min="1" max="1" width="30" customWidth="1"/>
    <col min="2" max="2" width="60" customWidth="1"/>
    <col min="3" max="7" width="14" customWidth="1"/>
  </cols>
  <sheetData>
    <row r="1" spans="1:5" ht="16.5" x14ac:dyDescent="0.25">
      <c r="A1" s="33" t="s">
        <v>344</v>
      </c>
    </row>
    <row r="2" spans="1:5" ht="132" x14ac:dyDescent="0.25">
      <c r="A2" s="34" t="s">
        <v>345</v>
      </c>
    </row>
    <row r="4" spans="1:5" x14ac:dyDescent="0.25">
      <c r="A4" s="35" t="s">
        <v>24</v>
      </c>
      <c r="B4" s="35" t="s">
        <v>22</v>
      </c>
      <c r="C4" s="35" t="s">
        <v>346</v>
      </c>
      <c r="D4" s="35" t="s">
        <v>347</v>
      </c>
      <c r="E4" s="35" t="s">
        <v>348</v>
      </c>
    </row>
    <row r="5" spans="1:5" x14ac:dyDescent="0.25">
      <c r="A5" s="36" t="str">
        <f>'Raw Data'!C5</f>
        <v>BSR1</v>
      </c>
      <c r="B5" s="36" t="str">
        <f>'Raw Data'!A5</f>
        <v>Up-stream</v>
      </c>
      <c r="C5" s="37">
        <f>'Raw Data'!U5</f>
        <v>47.077999999999996</v>
      </c>
      <c r="D5" s="38">
        <f>1+COUNTIF('Raw Data'!$U$5:$U$37,"&lt;"&amp;C5)+(COUNTIF('Raw Data'!$U$5:$U$37,"="&amp;C5)-1)/2</f>
        <v>5</v>
      </c>
      <c r="E5" s="36">
        <f>COUNTIF('Raw Data'!$U$5:$U$37,"="&amp;C5)</f>
        <v>1</v>
      </c>
    </row>
    <row r="6" spans="1:5" x14ac:dyDescent="0.25">
      <c r="A6" s="36" t="str">
        <f>'Raw Data'!C6</f>
        <v>BSR2</v>
      </c>
      <c r="B6" s="36" t="str">
        <f>'Raw Data'!A6</f>
        <v>Up-stream</v>
      </c>
      <c r="C6" s="37">
        <f>'Raw Data'!U6</f>
        <v>45.862999999999992</v>
      </c>
      <c r="D6" s="38">
        <f>1+COUNTIF('Raw Data'!$U$5:$U$37,"&lt;"&amp;C6)+(COUNTIF('Raw Data'!$U$5:$U$37,"="&amp;C6)-1)/2</f>
        <v>4</v>
      </c>
      <c r="E6" s="36">
        <f>COUNTIF('Raw Data'!$U$5:$U$37,"="&amp;C6)</f>
        <v>1</v>
      </c>
    </row>
    <row r="7" spans="1:5" x14ac:dyDescent="0.25">
      <c r="A7" s="36" t="str">
        <f>'Raw Data'!C7</f>
        <v>BSR3</v>
      </c>
      <c r="B7" s="36" t="str">
        <f>'Raw Data'!A7</f>
        <v>Up-stream</v>
      </c>
      <c r="C7" s="37">
        <f>'Raw Data'!U7</f>
        <v>52.697000000000003</v>
      </c>
      <c r="D7" s="38">
        <f>1+COUNTIF('Raw Data'!$U$5:$U$37,"&lt;"&amp;C7)+(COUNTIF('Raw Data'!$U$5:$U$37,"="&amp;C7)-1)/2</f>
        <v>8</v>
      </c>
      <c r="E7" s="36">
        <f>COUNTIF('Raw Data'!$U$5:$U$37,"="&amp;C7)</f>
        <v>1</v>
      </c>
    </row>
    <row r="8" spans="1:5" x14ac:dyDescent="0.25">
      <c r="A8" s="36" t="str">
        <f>'Raw Data'!C8</f>
        <v>ESR1</v>
      </c>
      <c r="B8" s="36" t="str">
        <f>'Raw Data'!A8</f>
        <v>Up-stream</v>
      </c>
      <c r="C8" s="37">
        <f>'Raw Data'!U8</f>
        <v>26.311999999999998</v>
      </c>
      <c r="D8" s="38">
        <f>1+COUNTIF('Raw Data'!$U$5:$U$37,"&lt;"&amp;C8)+(COUNTIF('Raw Data'!$U$5:$U$37,"="&amp;C8)-1)/2</f>
        <v>2</v>
      </c>
      <c r="E8" s="36">
        <f>COUNTIF('Raw Data'!$U$5:$U$37,"="&amp;C8)</f>
        <v>1</v>
      </c>
    </row>
    <row r="9" spans="1:5" x14ac:dyDescent="0.25">
      <c r="A9" s="36" t="str">
        <f>'Raw Data'!C9</f>
        <v>ESR2</v>
      </c>
      <c r="B9" s="36" t="str">
        <f>'Raw Data'!A9</f>
        <v>Up-stream</v>
      </c>
      <c r="C9" s="37">
        <f>'Raw Data'!U9</f>
        <v>25.61</v>
      </c>
      <c r="D9" s="38">
        <f>1+COUNTIF('Raw Data'!$U$5:$U$37,"&lt;"&amp;C9)+(COUNTIF('Raw Data'!$U$5:$U$37,"="&amp;C9)-1)/2</f>
        <v>1</v>
      </c>
      <c r="E9" s="36">
        <f>COUNTIF('Raw Data'!$U$5:$U$37,"="&amp;C9)</f>
        <v>1</v>
      </c>
    </row>
    <row r="10" spans="1:5" x14ac:dyDescent="0.25">
      <c r="A10" s="36" t="str">
        <f>'Raw Data'!C10</f>
        <v>ESR3</v>
      </c>
      <c r="B10" s="36" t="str">
        <f>'Raw Data'!A10</f>
        <v>Up-stream</v>
      </c>
      <c r="C10" s="37">
        <f>'Raw Data'!U10</f>
        <v>26.852</v>
      </c>
      <c r="D10" s="38">
        <f>1+COUNTIF('Raw Data'!$U$5:$U$37,"&lt;"&amp;C10)+(COUNTIF('Raw Data'!$U$5:$U$37,"="&amp;C10)-1)/2</f>
        <v>3</v>
      </c>
      <c r="E10" s="36">
        <f>COUNTIF('Raw Data'!$U$5:$U$37,"="&amp;C10)</f>
        <v>1</v>
      </c>
    </row>
    <row r="11" spans="1:5" x14ac:dyDescent="0.25">
      <c r="A11" s="36" t="str">
        <f>'Raw Data'!C11</f>
        <v>NZSR1</v>
      </c>
      <c r="B11" s="36" t="str">
        <f>'Raw Data'!A11</f>
        <v>Up-stream</v>
      </c>
      <c r="C11" s="37">
        <f>'Raw Data'!U11</f>
        <v>119.91600000000001</v>
      </c>
      <c r="D11" s="38">
        <f>1+COUNTIF('Raw Data'!$U$5:$U$37,"&lt;"&amp;C11)+(COUNTIF('Raw Data'!$U$5:$U$37,"="&amp;C11)-1)/2</f>
        <v>26</v>
      </c>
      <c r="E11" s="36">
        <f>COUNTIF('Raw Data'!$U$5:$U$37,"="&amp;C11)</f>
        <v>1</v>
      </c>
    </row>
    <row r="12" spans="1:5" x14ac:dyDescent="0.25">
      <c r="A12" s="36" t="str">
        <f>'Raw Data'!C12</f>
        <v>NZSR2</v>
      </c>
      <c r="B12" s="36" t="str">
        <f>'Raw Data'!A12</f>
        <v>Up-stream</v>
      </c>
      <c r="C12" s="37">
        <f>'Raw Data'!U12</f>
        <v>127.22899999999998</v>
      </c>
      <c r="D12" s="38">
        <f>1+COUNTIF('Raw Data'!$U$5:$U$37,"&lt;"&amp;C12)+(COUNTIF('Raw Data'!$U$5:$U$37,"="&amp;C12)-1)/2</f>
        <v>29</v>
      </c>
      <c r="E12" s="36">
        <f>COUNTIF('Raw Data'!$U$5:$U$37,"="&amp;C12)</f>
        <v>1</v>
      </c>
    </row>
    <row r="13" spans="1:5" x14ac:dyDescent="0.25">
      <c r="A13" s="36" t="str">
        <f>'Raw Data'!C13</f>
        <v>NZSR3</v>
      </c>
      <c r="B13" s="36" t="str">
        <f>'Raw Data'!A13</f>
        <v>Up-stream</v>
      </c>
      <c r="C13" s="37">
        <f>'Raw Data'!U13</f>
        <v>114.28700000000001</v>
      </c>
      <c r="D13" s="38">
        <f>1+COUNTIF('Raw Data'!$U$5:$U$37,"&lt;"&amp;C13)+(COUNTIF('Raw Data'!$U$5:$U$37,"="&amp;C13)-1)/2</f>
        <v>25</v>
      </c>
      <c r="E13" s="36">
        <f>COUNTIF('Raw Data'!$U$5:$U$37,"="&amp;C13)</f>
        <v>1</v>
      </c>
    </row>
    <row r="14" spans="1:5" x14ac:dyDescent="0.25">
      <c r="A14" s="36" t="str">
        <f>'Raw Data'!C14</f>
        <v>SSR1</v>
      </c>
      <c r="B14" s="36" t="str">
        <f>'Raw Data'!A14</f>
        <v>Mid-stream</v>
      </c>
      <c r="C14" s="37">
        <f>'Raw Data'!U14</f>
        <v>47.290999999999997</v>
      </c>
      <c r="D14" s="38">
        <f>1+COUNTIF('Raw Data'!$U$5:$U$37,"&lt;"&amp;C14)+(COUNTIF('Raw Data'!$U$5:$U$37,"="&amp;C14)-1)/2</f>
        <v>6</v>
      </c>
      <c r="E14" s="36">
        <f>COUNTIF('Raw Data'!$U$5:$U$37,"="&amp;C14)</f>
        <v>1</v>
      </c>
    </row>
    <row r="15" spans="1:5" x14ac:dyDescent="0.25">
      <c r="A15" s="36" t="str">
        <f>'Raw Data'!C15</f>
        <v>SSR2</v>
      </c>
      <c r="B15" s="36" t="str">
        <f>'Raw Data'!A15</f>
        <v>Mid-stream</v>
      </c>
      <c r="C15" s="37">
        <f>'Raw Data'!U15</f>
        <v>57.302</v>
      </c>
      <c r="D15" s="38">
        <f>1+COUNTIF('Raw Data'!$U$5:$U$37,"&lt;"&amp;C15)+(COUNTIF('Raw Data'!$U$5:$U$37,"="&amp;C15)-1)/2</f>
        <v>9</v>
      </c>
      <c r="E15" s="36">
        <f>COUNTIF('Raw Data'!$U$5:$U$37,"="&amp;C15)</f>
        <v>1</v>
      </c>
    </row>
    <row r="16" spans="1:5" x14ac:dyDescent="0.25">
      <c r="A16" s="36" t="str">
        <f>'Raw Data'!C16</f>
        <v>SSR3</v>
      </c>
      <c r="B16" s="36" t="str">
        <f>'Raw Data'!A16</f>
        <v>Mid-stream</v>
      </c>
      <c r="C16" s="37">
        <f>'Raw Data'!U16</f>
        <v>50.435000000000002</v>
      </c>
      <c r="D16" s="38">
        <f>1+COUNTIF('Raw Data'!$U$5:$U$37,"&lt;"&amp;C16)+(COUNTIF('Raw Data'!$U$5:$U$37,"="&amp;C16)-1)/2</f>
        <v>7</v>
      </c>
      <c r="E16" s="36">
        <f>COUNTIF('Raw Data'!$U$5:$U$37,"="&amp;C16)</f>
        <v>1</v>
      </c>
    </row>
    <row r="17" spans="1:5" x14ac:dyDescent="0.25">
      <c r="A17" s="36" t="str">
        <f>'Raw Data'!C17</f>
        <v>NISR1</v>
      </c>
      <c r="B17" s="36" t="str">
        <f>'Raw Data'!A17</f>
        <v>Mid-stream</v>
      </c>
      <c r="C17" s="37">
        <f>'Raw Data'!U17</f>
        <v>77.660999999999987</v>
      </c>
      <c r="D17" s="38">
        <f>1+COUNTIF('Raw Data'!$U$5:$U$37,"&lt;"&amp;C17)+(COUNTIF('Raw Data'!$U$5:$U$37,"="&amp;C17)-1)/2</f>
        <v>13</v>
      </c>
      <c r="E17" s="36">
        <f>COUNTIF('Raw Data'!$U$5:$U$37,"="&amp;C17)</f>
        <v>1</v>
      </c>
    </row>
    <row r="18" spans="1:5" x14ac:dyDescent="0.25">
      <c r="A18" s="36" t="str">
        <f>'Raw Data'!C18</f>
        <v>NISR2</v>
      </c>
      <c r="B18" s="36" t="str">
        <f>'Raw Data'!A18</f>
        <v>Mid-stream</v>
      </c>
      <c r="C18" s="37">
        <f>'Raw Data'!U18</f>
        <v>65.834999999999994</v>
      </c>
      <c r="D18" s="38">
        <f>1+COUNTIF('Raw Data'!$U$5:$U$37,"&lt;"&amp;C18)+(COUNTIF('Raw Data'!$U$5:$U$37,"="&amp;C18)-1)/2</f>
        <v>10</v>
      </c>
      <c r="E18" s="36">
        <f>COUNTIF('Raw Data'!$U$5:$U$37,"="&amp;C18)</f>
        <v>1</v>
      </c>
    </row>
    <row r="19" spans="1:5" x14ac:dyDescent="0.25">
      <c r="A19" s="36" t="str">
        <f>'Raw Data'!C19</f>
        <v>NISR3</v>
      </c>
      <c r="B19" s="36" t="str">
        <f>'Raw Data'!A19</f>
        <v>Mid-stream</v>
      </c>
      <c r="C19" s="37">
        <f>'Raw Data'!U19</f>
        <v>74.919000000000011</v>
      </c>
      <c r="D19" s="38">
        <f>1+COUNTIF('Raw Data'!$U$5:$U$37,"&lt;"&amp;C19)+(COUNTIF('Raw Data'!$U$5:$U$37,"="&amp;C19)-1)/2</f>
        <v>11</v>
      </c>
      <c r="E19" s="36">
        <f>COUNTIF('Raw Data'!$U$5:$U$37,"="&amp;C19)</f>
        <v>1</v>
      </c>
    </row>
    <row r="20" spans="1:5" x14ac:dyDescent="0.25">
      <c r="A20" s="36" t="str">
        <f>'Raw Data'!C20</f>
        <v>NDSR1</v>
      </c>
      <c r="B20" s="36" t="str">
        <f>'Raw Data'!A20</f>
        <v>Mid-stream</v>
      </c>
      <c r="C20" s="37">
        <f>'Raw Data'!U20</f>
        <v>77.322999999999993</v>
      </c>
      <c r="D20" s="38">
        <f>1+COUNTIF('Raw Data'!$U$5:$U$37,"&lt;"&amp;C20)+(COUNTIF('Raw Data'!$U$5:$U$37,"="&amp;C20)-1)/2</f>
        <v>12</v>
      </c>
      <c r="E20" s="36">
        <f>COUNTIF('Raw Data'!$U$5:$U$37,"="&amp;C20)</f>
        <v>1</v>
      </c>
    </row>
    <row r="21" spans="1:5" x14ac:dyDescent="0.25">
      <c r="A21" s="36" t="str">
        <f>'Raw Data'!C21</f>
        <v>NDSR2</v>
      </c>
      <c r="B21" s="36" t="str">
        <f>'Raw Data'!A21</f>
        <v>Mid-stream</v>
      </c>
      <c r="C21" s="37">
        <f>'Raw Data'!U21</f>
        <v>82.313000000000002</v>
      </c>
      <c r="D21" s="38">
        <f>1+COUNTIF('Raw Data'!$U$5:$U$37,"&lt;"&amp;C21)+(COUNTIF('Raw Data'!$U$5:$U$37,"="&amp;C21)-1)/2</f>
        <v>14</v>
      </c>
      <c r="E21" s="36">
        <f>COUNTIF('Raw Data'!$U$5:$U$37,"="&amp;C21)</f>
        <v>1</v>
      </c>
    </row>
    <row r="22" spans="1:5" x14ac:dyDescent="0.25">
      <c r="A22" s="36" t="str">
        <f>'Raw Data'!C22</f>
        <v>NDSR3</v>
      </c>
      <c r="B22" s="36" t="str">
        <f>'Raw Data'!A22</f>
        <v>Mid-stream</v>
      </c>
      <c r="C22" s="37">
        <f>'Raw Data'!U22</f>
        <v>82.86399999999999</v>
      </c>
      <c r="D22" s="38">
        <f>1+COUNTIF('Raw Data'!$U$5:$U$37,"&lt;"&amp;C22)+(COUNTIF('Raw Data'!$U$5:$U$37,"="&amp;C22)-1)/2</f>
        <v>15</v>
      </c>
      <c r="E22" s="36">
        <f>COUNTIF('Raw Data'!$U$5:$U$37,"="&amp;C22)</f>
        <v>1</v>
      </c>
    </row>
    <row r="23" spans="1:5" x14ac:dyDescent="0.25">
      <c r="A23" s="36" t="str">
        <f>'Raw Data'!C23</f>
        <v>WSR1</v>
      </c>
      <c r="B23" s="36" t="str">
        <f>'Raw Data'!A23</f>
        <v>Down-stream</v>
      </c>
      <c r="C23" s="37">
        <f>'Raw Data'!U23</f>
        <v>88.122000000000014</v>
      </c>
      <c r="D23" s="38">
        <f>1+COUNTIF('Raw Data'!$U$5:$U$37,"&lt;"&amp;C23)+(COUNTIF('Raw Data'!$U$5:$U$37,"="&amp;C23)-1)/2</f>
        <v>18</v>
      </c>
      <c r="E23" s="36">
        <f>COUNTIF('Raw Data'!$U$5:$U$37,"="&amp;C23)</f>
        <v>1</v>
      </c>
    </row>
    <row r="24" spans="1:5" x14ac:dyDescent="0.25">
      <c r="A24" s="36" t="str">
        <f>'Raw Data'!C24</f>
        <v>WSR2</v>
      </c>
      <c r="B24" s="36" t="str">
        <f>'Raw Data'!A24</f>
        <v>Down-stream</v>
      </c>
      <c r="C24" s="37">
        <f>'Raw Data'!U24</f>
        <v>83.834999999999994</v>
      </c>
      <c r="D24" s="38">
        <f>1+COUNTIF('Raw Data'!$U$5:$U$37,"&lt;"&amp;C24)+(COUNTIF('Raw Data'!$U$5:$U$37,"="&amp;C24)-1)/2</f>
        <v>16</v>
      </c>
      <c r="E24" s="36">
        <f>COUNTIF('Raw Data'!$U$5:$U$37,"="&amp;C24)</f>
        <v>1</v>
      </c>
    </row>
    <row r="25" spans="1:5" x14ac:dyDescent="0.25">
      <c r="A25" s="36" t="str">
        <f>'Raw Data'!C25</f>
        <v>WSR3</v>
      </c>
      <c r="B25" s="36" t="str">
        <f>'Raw Data'!A25</f>
        <v>Down-stream</v>
      </c>
      <c r="C25" s="37">
        <f>'Raw Data'!U25</f>
        <v>84.424000000000007</v>
      </c>
      <c r="D25" s="38">
        <f>1+COUNTIF('Raw Data'!$U$5:$U$37,"&lt;"&amp;C25)+(COUNTIF('Raw Data'!$U$5:$U$37,"="&amp;C25)-1)/2</f>
        <v>17</v>
      </c>
      <c r="E25" s="36">
        <f>COUNTIF('Raw Data'!$U$5:$U$37,"="&amp;C25)</f>
        <v>1</v>
      </c>
    </row>
    <row r="26" spans="1:5" x14ac:dyDescent="0.25">
      <c r="A26" s="36" t="str">
        <f>'Raw Data'!C26</f>
        <v>NSR1</v>
      </c>
      <c r="B26" s="36" t="str">
        <f>'Raw Data'!A26</f>
        <v>Down-stream</v>
      </c>
      <c r="C26" s="37">
        <f>'Raw Data'!U26</f>
        <v>106.05799999999999</v>
      </c>
      <c r="D26" s="38">
        <f>1+COUNTIF('Raw Data'!$U$5:$U$37,"&lt;"&amp;C26)+(COUNTIF('Raw Data'!$U$5:$U$37,"="&amp;C26)-1)/2</f>
        <v>21</v>
      </c>
      <c r="E26" s="36">
        <f>COUNTIF('Raw Data'!$U$5:$U$37,"="&amp;C26)</f>
        <v>1</v>
      </c>
    </row>
    <row r="27" spans="1:5" x14ac:dyDescent="0.25">
      <c r="A27" s="36" t="str">
        <f>'Raw Data'!C27</f>
        <v>NSR2</v>
      </c>
      <c r="B27" s="36" t="str">
        <f>'Raw Data'!A27</f>
        <v>Down-stream</v>
      </c>
      <c r="C27" s="37">
        <f>'Raw Data'!U27</f>
        <v>94.02800000000002</v>
      </c>
      <c r="D27" s="38">
        <f>1+COUNTIF('Raw Data'!$U$5:$U$37,"&lt;"&amp;C27)+(COUNTIF('Raw Data'!$U$5:$U$37,"="&amp;C27)-1)/2</f>
        <v>19</v>
      </c>
      <c r="E27" s="36">
        <f>COUNTIF('Raw Data'!$U$5:$U$37,"="&amp;C27)</f>
        <v>1</v>
      </c>
    </row>
    <row r="28" spans="1:5" x14ac:dyDescent="0.25">
      <c r="A28" s="36" t="str">
        <f>'Raw Data'!C28</f>
        <v>NSR3</v>
      </c>
      <c r="B28" s="36" t="str">
        <f>'Raw Data'!A28</f>
        <v>Down-stream</v>
      </c>
      <c r="C28" s="37">
        <f>'Raw Data'!U28</f>
        <v>102.123</v>
      </c>
      <c r="D28" s="38">
        <f>1+COUNTIF('Raw Data'!$U$5:$U$37,"&lt;"&amp;C28)+(COUNTIF('Raw Data'!$U$5:$U$37,"="&amp;C28)-1)/2</f>
        <v>20</v>
      </c>
      <c r="E28" s="36">
        <f>COUNTIF('Raw Data'!$U$5:$U$37,"="&amp;C28)</f>
        <v>1</v>
      </c>
    </row>
    <row r="29" spans="1:5" x14ac:dyDescent="0.25">
      <c r="A29" s="36" t="str">
        <f>'Raw Data'!C29</f>
        <v>HSR1</v>
      </c>
      <c r="B29" s="36" t="str">
        <f>'Raw Data'!A29</f>
        <v>Down-stream</v>
      </c>
      <c r="C29" s="37">
        <f>'Raw Data'!U29</f>
        <v>109.764</v>
      </c>
      <c r="D29" s="38">
        <f>1+COUNTIF('Raw Data'!$U$5:$U$37,"&lt;"&amp;C29)+(COUNTIF('Raw Data'!$U$5:$U$37,"="&amp;C29)-1)/2</f>
        <v>22</v>
      </c>
      <c r="E29" s="36">
        <f>COUNTIF('Raw Data'!$U$5:$U$37,"="&amp;C29)</f>
        <v>1</v>
      </c>
    </row>
    <row r="30" spans="1:5" x14ac:dyDescent="0.25">
      <c r="A30" s="36" t="str">
        <f>'Raw Data'!C30</f>
        <v>HSR2</v>
      </c>
      <c r="B30" s="36" t="str">
        <f>'Raw Data'!A30</f>
        <v>Down-stream</v>
      </c>
      <c r="C30" s="37">
        <f>'Raw Data'!U30</f>
        <v>113.505</v>
      </c>
      <c r="D30" s="38">
        <f>1+COUNTIF('Raw Data'!$U$5:$U$37,"&lt;"&amp;C30)+(COUNTIF('Raw Data'!$U$5:$U$37,"="&amp;C30)-1)/2</f>
        <v>24</v>
      </c>
      <c r="E30" s="36">
        <f>COUNTIF('Raw Data'!$U$5:$U$37,"="&amp;C30)</f>
        <v>1</v>
      </c>
    </row>
    <row r="31" spans="1:5" x14ac:dyDescent="0.25">
      <c r="A31" s="36" t="str">
        <f>'Raw Data'!C31</f>
        <v>HSR3</v>
      </c>
      <c r="B31" s="36" t="str">
        <f>'Raw Data'!A31</f>
        <v>Down-stream</v>
      </c>
      <c r="C31" s="37">
        <f>'Raw Data'!U31</f>
        <v>111.953</v>
      </c>
      <c r="D31" s="38">
        <f>1+COUNTIF('Raw Data'!$U$5:$U$37,"&lt;"&amp;C31)+(COUNTIF('Raw Data'!$U$5:$U$37,"="&amp;C31)-1)/2</f>
        <v>23</v>
      </c>
      <c r="E31" s="36">
        <f>COUNTIF('Raw Data'!$U$5:$U$37,"="&amp;C31)</f>
        <v>1</v>
      </c>
    </row>
    <row r="32" spans="1:5" x14ac:dyDescent="0.25">
      <c r="A32" s="36" t="str">
        <f>'Raw Data'!C32</f>
        <v>CSR1</v>
      </c>
      <c r="B32" s="36" t="str">
        <f>'Raw Data'!A32</f>
        <v>Down-stream</v>
      </c>
      <c r="C32" s="37">
        <f>'Raw Data'!U32</f>
        <v>120.42999999999999</v>
      </c>
      <c r="D32" s="38">
        <f>1+COUNTIF('Raw Data'!$U$5:$U$37,"&lt;"&amp;C32)+(COUNTIF('Raw Data'!$U$5:$U$37,"="&amp;C32)-1)/2</f>
        <v>27</v>
      </c>
      <c r="E32" s="36">
        <f>COUNTIF('Raw Data'!$U$5:$U$37,"="&amp;C32)</f>
        <v>1</v>
      </c>
    </row>
    <row r="33" spans="1:5" x14ac:dyDescent="0.25">
      <c r="A33" s="36" t="str">
        <f>'Raw Data'!C33</f>
        <v>CSR2</v>
      </c>
      <c r="B33" s="36" t="str">
        <f>'Raw Data'!A33</f>
        <v>Down-stream</v>
      </c>
      <c r="C33" s="37">
        <f>'Raw Data'!U33</f>
        <v>126.02499999999999</v>
      </c>
      <c r="D33" s="38">
        <f>1+COUNTIF('Raw Data'!$U$5:$U$37,"&lt;"&amp;C33)+(COUNTIF('Raw Data'!$U$5:$U$37,"="&amp;C33)-1)/2</f>
        <v>28</v>
      </c>
      <c r="E33" s="36">
        <f>COUNTIF('Raw Data'!$U$5:$U$37,"="&amp;C33)</f>
        <v>1</v>
      </c>
    </row>
    <row r="34" spans="1:5" x14ac:dyDescent="0.25">
      <c r="A34" s="36" t="str">
        <f>'Raw Data'!C34</f>
        <v>CSR3</v>
      </c>
      <c r="B34" s="36" t="str">
        <f>'Raw Data'!A34</f>
        <v>Down-stream</v>
      </c>
      <c r="C34" s="37">
        <f>'Raw Data'!U34</f>
        <v>139.28799999999998</v>
      </c>
      <c r="D34" s="38">
        <f>1+COUNTIF('Raw Data'!$U$5:$U$37,"&lt;"&amp;C34)+(COUNTIF('Raw Data'!$U$5:$U$37,"="&amp;C34)-1)/2</f>
        <v>30</v>
      </c>
      <c r="E34" s="36">
        <f>COUNTIF('Raw Data'!$U$5:$U$37,"="&amp;C34)</f>
        <v>1</v>
      </c>
    </row>
    <row r="35" spans="1:5" x14ac:dyDescent="0.25">
      <c r="A35" s="36" t="str">
        <f>'Raw Data'!C35</f>
        <v>KSR1</v>
      </c>
      <c r="B35" s="36" t="str">
        <f>'Raw Data'!A35</f>
        <v>Down-stream</v>
      </c>
      <c r="C35" s="37">
        <f>'Raw Data'!U35</f>
        <v>166.07900000000001</v>
      </c>
      <c r="D35" s="38">
        <f>1+COUNTIF('Raw Data'!$U$5:$U$37,"&lt;"&amp;C35)+(COUNTIF('Raw Data'!$U$5:$U$37,"="&amp;C35)-1)/2</f>
        <v>31</v>
      </c>
      <c r="E35" s="36">
        <f>COUNTIF('Raw Data'!$U$5:$U$37,"="&amp;C35)</f>
        <v>1</v>
      </c>
    </row>
    <row r="36" spans="1:5" x14ac:dyDescent="0.25">
      <c r="A36" s="36" t="str">
        <f>'Raw Data'!C36</f>
        <v>KSR2</v>
      </c>
      <c r="B36" s="36" t="str">
        <f>'Raw Data'!A36</f>
        <v>Down-stream</v>
      </c>
      <c r="C36" s="37">
        <f>'Raw Data'!U36</f>
        <v>172.99</v>
      </c>
      <c r="D36" s="38">
        <f>1+COUNTIF('Raw Data'!$U$5:$U$37,"&lt;"&amp;C36)+(COUNTIF('Raw Data'!$U$5:$U$37,"="&amp;C36)-1)/2</f>
        <v>32</v>
      </c>
      <c r="E36" s="36">
        <f>COUNTIF('Raw Data'!$U$5:$U$37,"="&amp;C36)</f>
        <v>1</v>
      </c>
    </row>
    <row r="37" spans="1:5" x14ac:dyDescent="0.25">
      <c r="A37" s="36" t="str">
        <f>'Raw Data'!C37</f>
        <v>KSR3</v>
      </c>
      <c r="B37" s="36" t="str">
        <f>'Raw Data'!A37</f>
        <v>Down-stream</v>
      </c>
      <c r="C37" s="37">
        <f>'Raw Data'!U37</f>
        <v>183.62199999999999</v>
      </c>
      <c r="D37" s="38">
        <f>1+COUNTIF('Raw Data'!$U$5:$U$37,"&lt;"&amp;C37)+(COUNTIF('Raw Data'!$U$5:$U$37,"="&amp;C37)-1)/2</f>
        <v>33</v>
      </c>
      <c r="E37" s="36">
        <f>COUNTIF('Raw Data'!$U$5:$U$37,"="&amp;C37)</f>
        <v>1</v>
      </c>
    </row>
    <row r="39" spans="1:5" x14ac:dyDescent="0.25">
      <c r="A39" s="39" t="s">
        <v>349</v>
      </c>
    </row>
    <row r="40" spans="1:5" x14ac:dyDescent="0.25">
      <c r="A40" s="35" t="s">
        <v>22</v>
      </c>
      <c r="B40" s="35" t="s">
        <v>120</v>
      </c>
      <c r="C40" s="35" t="s">
        <v>350</v>
      </c>
      <c r="D40" s="35" t="s">
        <v>351</v>
      </c>
    </row>
    <row r="41" spans="1:5" x14ac:dyDescent="0.25">
      <c r="A41" s="36" t="s">
        <v>44</v>
      </c>
      <c r="B41" s="36">
        <f>COUNTIF($B$5:$B$37,"Up-stream")</f>
        <v>9</v>
      </c>
      <c r="C41" s="38">
        <f>SUMIF($B$5:$B$37,"Up-stream",$D$5:$D$37)</f>
        <v>103</v>
      </c>
      <c r="D41" s="37">
        <f>C41^2/B41</f>
        <v>1178.7777777777778</v>
      </c>
    </row>
    <row r="42" spans="1:5" x14ac:dyDescent="0.25">
      <c r="A42" s="36" t="s">
        <v>57</v>
      </c>
      <c r="B42" s="36">
        <f>COUNTIF($B$5:$B$37,"Mid-stream")</f>
        <v>9</v>
      </c>
      <c r="C42" s="38">
        <f>SUMIF($B$5:$B$37,"Mid-stream",$D$5:$D$37)</f>
        <v>97</v>
      </c>
      <c r="D42" s="37">
        <f>C42^2/B42</f>
        <v>1045.4444444444443</v>
      </c>
    </row>
    <row r="43" spans="1:5" x14ac:dyDescent="0.25">
      <c r="A43" s="36" t="s">
        <v>70</v>
      </c>
      <c r="B43" s="36">
        <f>COUNTIF($B$5:$B$37,"Down-stream")</f>
        <v>15</v>
      </c>
      <c r="C43" s="38">
        <f>SUMIF($B$5:$B$37,"Down-stream",$D$5:$D$37)</f>
        <v>361</v>
      </c>
      <c r="D43" s="37">
        <f>C43^2/B43</f>
        <v>8688.0666666666675</v>
      </c>
    </row>
    <row r="45" spans="1:5" x14ac:dyDescent="0.25">
      <c r="A45" s="39" t="s">
        <v>352</v>
      </c>
    </row>
    <row r="46" spans="1:5" x14ac:dyDescent="0.25">
      <c r="A46" s="36" t="s">
        <v>353</v>
      </c>
      <c r="B46" s="36">
        <f>SUM(B41:B43)</f>
        <v>33</v>
      </c>
    </row>
    <row r="47" spans="1:5" x14ac:dyDescent="0.25">
      <c r="A47" s="36" t="s">
        <v>354</v>
      </c>
      <c r="B47" s="36">
        <f>SUMPRODUCT($E$5:$E$37*$E$5:$E$37)-B46</f>
        <v>0</v>
      </c>
    </row>
    <row r="48" spans="1:5" x14ac:dyDescent="0.25">
      <c r="A48" s="36" t="s">
        <v>355</v>
      </c>
      <c r="B48" s="40">
        <f>1-B47/(B46^3-B46)</f>
        <v>1</v>
      </c>
    </row>
    <row r="50" spans="1:7" x14ac:dyDescent="0.25">
      <c r="A50" s="39" t="s">
        <v>356</v>
      </c>
    </row>
    <row r="51" spans="1:7" x14ac:dyDescent="0.25">
      <c r="A51" s="35" t="s">
        <v>357</v>
      </c>
      <c r="B51" s="35" t="s">
        <v>358</v>
      </c>
      <c r="C51" s="35" t="s">
        <v>359</v>
      </c>
      <c r="D51" s="35" t="s">
        <v>360</v>
      </c>
      <c r="E51" s="35" t="s">
        <v>146</v>
      </c>
      <c r="F51" s="35" t="s">
        <v>361</v>
      </c>
      <c r="G51" s="35" t="s">
        <v>362</v>
      </c>
    </row>
    <row r="52" spans="1:7" x14ac:dyDescent="0.25">
      <c r="A52" s="36" t="s">
        <v>363</v>
      </c>
      <c r="B52" s="36">
        <v>3</v>
      </c>
      <c r="C52" s="36">
        <f>B52-1</f>
        <v>2</v>
      </c>
      <c r="D52" s="37">
        <f>(12/($B$46*($B$46+1)))*SUM(D41:D43)-3*($B$46+1)</f>
        <v>14.70897207367797</v>
      </c>
      <c r="E52" s="37">
        <f>D52/$B$48</f>
        <v>14.70897207367797</v>
      </c>
      <c r="F52" s="40">
        <f>CHIDIST(E52,C52)</f>
        <v>6.3971612363008005E-4</v>
      </c>
      <c r="G52" s="36" t="str">
        <f>IF(F52&lt;0.05,"Significant difference (p &lt; 0.05)","No significant difference (p ≥ 0.05)")</f>
        <v>Significant difference (p &lt; 0.05)</v>
      </c>
    </row>
    <row r="54" spans="1:7" ht="108" x14ac:dyDescent="0.25">
      <c r="A54" s="34" t="s">
        <v>364</v>
      </c>
    </row>
    <row r="56" spans="1:7" ht="16.5" x14ac:dyDescent="0.25">
      <c r="A56" s="33" t="s">
        <v>365</v>
      </c>
    </row>
    <row r="58" spans="1:7" x14ac:dyDescent="0.25">
      <c r="A58" s="39" t="s">
        <v>366</v>
      </c>
    </row>
    <row r="59" spans="1:7" ht="38.25" x14ac:dyDescent="0.25">
      <c r="A59" s="39" t="s">
        <v>367</v>
      </c>
      <c r="B59" s="41" t="s">
        <v>368</v>
      </c>
    </row>
    <row r="60" spans="1:7" ht="25.5" x14ac:dyDescent="0.25">
      <c r="A60" s="39" t="s">
        <v>369</v>
      </c>
      <c r="B60" s="41" t="s">
        <v>370</v>
      </c>
    </row>
    <row r="61" spans="1:7" ht="38.25" x14ac:dyDescent="0.25">
      <c r="A61" s="39" t="s">
        <v>371</v>
      </c>
      <c r="B61" s="41" t="s">
        <v>372</v>
      </c>
    </row>
    <row r="62" spans="1:7" x14ac:dyDescent="0.25">
      <c r="A62" s="39" t="s">
        <v>373</v>
      </c>
      <c r="B62" s="41" t="s">
        <v>374</v>
      </c>
    </row>
    <row r="63" spans="1:7" x14ac:dyDescent="0.25">
      <c r="A63" s="39" t="s">
        <v>375</v>
      </c>
      <c r="B63" s="41">
        <f>C52</f>
        <v>2</v>
      </c>
    </row>
    <row r="64" spans="1:7" x14ac:dyDescent="0.25">
      <c r="A64" s="39" t="s">
        <v>376</v>
      </c>
      <c r="B64" s="37">
        <f>E52</f>
        <v>14.70897207367797</v>
      </c>
    </row>
    <row r="65" spans="1:2" x14ac:dyDescent="0.25">
      <c r="A65" s="39" t="s">
        <v>361</v>
      </c>
      <c r="B65" s="40">
        <f>F52</f>
        <v>6.3971612363008005E-4</v>
      </c>
    </row>
    <row r="66" spans="1:2" x14ac:dyDescent="0.25">
      <c r="A66" s="39" t="s">
        <v>377</v>
      </c>
      <c r="B66" s="41" t="s">
        <v>378</v>
      </c>
    </row>
    <row r="67" spans="1:2" x14ac:dyDescent="0.25">
      <c r="A67" s="39" t="s">
        <v>379</v>
      </c>
      <c r="B67" s="41" t="str">
        <f>G52</f>
        <v>Significant difference (p &lt; 0.05)</v>
      </c>
    </row>
    <row r="68" spans="1:2" ht="144" x14ac:dyDescent="0.25">
      <c r="A68" s="34" t="s">
        <v>380</v>
      </c>
    </row>
  </sheetData>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G171"/>
  <sheetViews>
    <sheetView showGridLines="0" topLeftCell="A103" zoomScaleNormal="100" workbookViewId="0"/>
  </sheetViews>
  <sheetFormatPr defaultColWidth="8.7109375" defaultRowHeight="15" x14ac:dyDescent="0.25"/>
  <cols>
    <col min="1" max="1" width="34" customWidth="1"/>
    <col min="2" max="7" width="15" customWidth="1"/>
  </cols>
  <sheetData>
    <row r="1" spans="1:4" ht="16.5" x14ac:dyDescent="0.25">
      <c r="A1" s="33" t="s">
        <v>381</v>
      </c>
    </row>
    <row r="2" spans="1:4" ht="204" x14ac:dyDescent="0.25">
      <c r="A2" s="34" t="s">
        <v>382</v>
      </c>
    </row>
    <row r="4" spans="1:4" x14ac:dyDescent="0.25">
      <c r="A4" s="35" t="s">
        <v>24</v>
      </c>
      <c r="B4" s="35" t="s">
        <v>22</v>
      </c>
      <c r="C4" s="35" t="s">
        <v>383</v>
      </c>
      <c r="D4" s="35" t="s">
        <v>384</v>
      </c>
    </row>
    <row r="5" spans="1:4" x14ac:dyDescent="0.25">
      <c r="A5" s="36" t="str">
        <f>'Raw Data'!C5</f>
        <v>BSR1</v>
      </c>
      <c r="B5" s="36" t="str">
        <f>'Raw Data'!A5</f>
        <v>Up-stream</v>
      </c>
      <c r="C5" s="36" t="s">
        <v>39</v>
      </c>
      <c r="D5" s="37">
        <f>'Raw Data'!R5</f>
        <v>32.966999999999999</v>
      </c>
    </row>
    <row r="6" spans="1:4" x14ac:dyDescent="0.25">
      <c r="A6" s="36" t="str">
        <f>'Raw Data'!C6</f>
        <v>BSR2</v>
      </c>
      <c r="B6" s="36" t="str">
        <f>'Raw Data'!A6</f>
        <v>Up-stream</v>
      </c>
      <c r="C6" s="36" t="s">
        <v>39</v>
      </c>
      <c r="D6" s="37">
        <f>'Raw Data'!R6</f>
        <v>33.733999999999995</v>
      </c>
    </row>
    <row r="7" spans="1:4" x14ac:dyDescent="0.25">
      <c r="A7" s="36" t="str">
        <f>'Raw Data'!C7</f>
        <v>BSR3</v>
      </c>
      <c r="B7" s="36" t="str">
        <f>'Raw Data'!A7</f>
        <v>Up-stream</v>
      </c>
      <c r="C7" s="36" t="s">
        <v>39</v>
      </c>
      <c r="D7" s="37">
        <f>'Raw Data'!R7</f>
        <v>40.631999999999998</v>
      </c>
    </row>
    <row r="8" spans="1:4" x14ac:dyDescent="0.25">
      <c r="A8" s="36" t="str">
        <f>'Raw Data'!C8</f>
        <v>ESR1</v>
      </c>
      <c r="B8" s="36" t="str">
        <f>'Raw Data'!A8</f>
        <v>Up-stream</v>
      </c>
      <c r="C8" s="36" t="s">
        <v>39</v>
      </c>
      <c r="D8" s="37">
        <f>'Raw Data'!R8</f>
        <v>21.826999999999998</v>
      </c>
    </row>
    <row r="9" spans="1:4" x14ac:dyDescent="0.25">
      <c r="A9" s="36" t="str">
        <f>'Raw Data'!C9</f>
        <v>ESR2</v>
      </c>
      <c r="B9" s="36" t="str">
        <f>'Raw Data'!A9</f>
        <v>Up-stream</v>
      </c>
      <c r="C9" s="36" t="s">
        <v>39</v>
      </c>
      <c r="D9" s="37">
        <f>'Raw Data'!R9</f>
        <v>21.125</v>
      </c>
    </row>
    <row r="10" spans="1:4" x14ac:dyDescent="0.25">
      <c r="A10" s="36" t="str">
        <f>'Raw Data'!C10</f>
        <v>ESR3</v>
      </c>
      <c r="B10" s="36" t="str">
        <f>'Raw Data'!A10</f>
        <v>Up-stream</v>
      </c>
      <c r="C10" s="36" t="s">
        <v>39</v>
      </c>
      <c r="D10" s="37">
        <f>'Raw Data'!R10</f>
        <v>22.367000000000001</v>
      </c>
    </row>
    <row r="11" spans="1:4" x14ac:dyDescent="0.25">
      <c r="A11" s="36" t="str">
        <f>'Raw Data'!C11</f>
        <v>NZSR1</v>
      </c>
      <c r="B11" s="36" t="str">
        <f>'Raw Data'!A11</f>
        <v>Up-stream</v>
      </c>
      <c r="C11" s="36" t="s">
        <v>39</v>
      </c>
      <c r="D11" s="37">
        <f>'Raw Data'!R11</f>
        <v>62.385000000000005</v>
      </c>
    </row>
    <row r="12" spans="1:4" x14ac:dyDescent="0.25">
      <c r="A12" s="36" t="str">
        <f>'Raw Data'!C12</f>
        <v>NZSR2</v>
      </c>
      <c r="B12" s="36" t="str">
        <f>'Raw Data'!A12</f>
        <v>Up-stream</v>
      </c>
      <c r="C12" s="36" t="s">
        <v>39</v>
      </c>
      <c r="D12" s="37">
        <f>'Raw Data'!R12</f>
        <v>66.137</v>
      </c>
    </row>
    <row r="13" spans="1:4" x14ac:dyDescent="0.25">
      <c r="A13" s="36" t="str">
        <f>'Raw Data'!C13</f>
        <v>NZSR3</v>
      </c>
      <c r="B13" s="36" t="str">
        <f>'Raw Data'!A13</f>
        <v>Up-stream</v>
      </c>
      <c r="C13" s="36" t="s">
        <v>39</v>
      </c>
      <c r="D13" s="37">
        <f>'Raw Data'!R13</f>
        <v>59.608000000000004</v>
      </c>
    </row>
    <row r="14" spans="1:4" x14ac:dyDescent="0.25">
      <c r="A14" s="36" t="str">
        <f>'Raw Data'!C14</f>
        <v>SSR1</v>
      </c>
      <c r="B14" s="36" t="str">
        <f>'Raw Data'!A14</f>
        <v>Mid-stream</v>
      </c>
      <c r="C14" s="36" t="s">
        <v>39</v>
      </c>
      <c r="D14" s="37">
        <f>'Raw Data'!R14</f>
        <v>32.345999999999997</v>
      </c>
    </row>
    <row r="15" spans="1:4" x14ac:dyDescent="0.25">
      <c r="A15" s="36" t="str">
        <f>'Raw Data'!C15</f>
        <v>SSR2</v>
      </c>
      <c r="B15" s="36" t="str">
        <f>'Raw Data'!A15</f>
        <v>Mid-stream</v>
      </c>
      <c r="C15" s="36" t="s">
        <v>39</v>
      </c>
      <c r="D15" s="37">
        <f>'Raw Data'!R15</f>
        <v>42.596000000000004</v>
      </c>
    </row>
    <row r="16" spans="1:4" x14ac:dyDescent="0.25">
      <c r="A16" s="36" t="str">
        <f>'Raw Data'!C16</f>
        <v>SSR3</v>
      </c>
      <c r="B16" s="36" t="str">
        <f>'Raw Data'!A16</f>
        <v>Mid-stream</v>
      </c>
      <c r="C16" s="36" t="s">
        <v>39</v>
      </c>
      <c r="D16" s="37">
        <f>'Raw Data'!R16</f>
        <v>32.854999999999997</v>
      </c>
    </row>
    <row r="17" spans="1:4" x14ac:dyDescent="0.25">
      <c r="A17" s="36" t="str">
        <f>'Raw Data'!C17</f>
        <v>NISR1</v>
      </c>
      <c r="B17" s="36" t="str">
        <f>'Raw Data'!A17</f>
        <v>Mid-stream</v>
      </c>
      <c r="C17" s="36" t="s">
        <v>39</v>
      </c>
      <c r="D17" s="37">
        <f>'Raw Data'!R17</f>
        <v>51.820999999999998</v>
      </c>
    </row>
    <row r="18" spans="1:4" x14ac:dyDescent="0.25">
      <c r="A18" s="36" t="str">
        <f>'Raw Data'!C18</f>
        <v>NISR2</v>
      </c>
      <c r="B18" s="36" t="str">
        <f>'Raw Data'!A18</f>
        <v>Mid-stream</v>
      </c>
      <c r="C18" s="36" t="s">
        <v>39</v>
      </c>
      <c r="D18" s="37">
        <f>'Raw Data'!R18</f>
        <v>44.793999999999997</v>
      </c>
    </row>
    <row r="19" spans="1:4" x14ac:dyDescent="0.25">
      <c r="A19" s="36" t="str">
        <f>'Raw Data'!C19</f>
        <v>NISR3</v>
      </c>
      <c r="B19" s="36" t="str">
        <f>'Raw Data'!A19</f>
        <v>Mid-stream</v>
      </c>
      <c r="C19" s="36" t="s">
        <v>39</v>
      </c>
      <c r="D19" s="37">
        <f>'Raw Data'!R19</f>
        <v>51.647000000000006</v>
      </c>
    </row>
    <row r="20" spans="1:4" x14ac:dyDescent="0.25">
      <c r="A20" s="36" t="str">
        <f>'Raw Data'!C20</f>
        <v>NDSR1</v>
      </c>
      <c r="B20" s="36" t="str">
        <f>'Raw Data'!A20</f>
        <v>Mid-stream</v>
      </c>
      <c r="C20" s="36" t="s">
        <v>39</v>
      </c>
      <c r="D20" s="37">
        <f>'Raw Data'!R20</f>
        <v>53.152000000000001</v>
      </c>
    </row>
    <row r="21" spans="1:4" x14ac:dyDescent="0.25">
      <c r="A21" s="36" t="str">
        <f>'Raw Data'!C21</f>
        <v>NDSR2</v>
      </c>
      <c r="B21" s="36" t="str">
        <f>'Raw Data'!A21</f>
        <v>Mid-stream</v>
      </c>
      <c r="C21" s="36" t="s">
        <v>39</v>
      </c>
      <c r="D21" s="37">
        <f>'Raw Data'!R21</f>
        <v>51.853999999999999</v>
      </c>
    </row>
    <row r="22" spans="1:4" x14ac:dyDescent="0.25">
      <c r="A22" s="36" t="str">
        <f>'Raw Data'!C22</f>
        <v>NDSR3</v>
      </c>
      <c r="B22" s="36" t="str">
        <f>'Raw Data'!A22</f>
        <v>Mid-stream</v>
      </c>
      <c r="C22" s="36" t="s">
        <v>39</v>
      </c>
      <c r="D22" s="37">
        <f>'Raw Data'!R22</f>
        <v>57.828999999999994</v>
      </c>
    </row>
    <row r="23" spans="1:4" x14ac:dyDescent="0.25">
      <c r="A23" s="36" t="str">
        <f>'Raw Data'!C23</f>
        <v>WSR1</v>
      </c>
      <c r="B23" s="36" t="str">
        <f>'Raw Data'!A23</f>
        <v>Down-stream</v>
      </c>
      <c r="C23" s="36" t="s">
        <v>39</v>
      </c>
      <c r="D23" s="37">
        <f>'Raw Data'!R23</f>
        <v>54.286000000000001</v>
      </c>
    </row>
    <row r="24" spans="1:4" x14ac:dyDescent="0.25">
      <c r="A24" s="36" t="str">
        <f>'Raw Data'!C24</f>
        <v>WSR2</v>
      </c>
      <c r="B24" s="36" t="str">
        <f>'Raw Data'!A24</f>
        <v>Down-stream</v>
      </c>
      <c r="C24" s="36" t="s">
        <v>39</v>
      </c>
      <c r="D24" s="37">
        <f>'Raw Data'!R24</f>
        <v>46.174999999999997</v>
      </c>
    </row>
    <row r="25" spans="1:4" x14ac:dyDescent="0.25">
      <c r="A25" s="36" t="str">
        <f>'Raw Data'!C25</f>
        <v>WSR3</v>
      </c>
      <c r="B25" s="36" t="str">
        <f>'Raw Data'!A25</f>
        <v>Down-stream</v>
      </c>
      <c r="C25" s="36" t="s">
        <v>39</v>
      </c>
      <c r="D25" s="37">
        <f>'Raw Data'!R25</f>
        <v>50.350999999999999</v>
      </c>
    </row>
    <row r="26" spans="1:4" x14ac:dyDescent="0.25">
      <c r="A26" s="36" t="str">
        <f>'Raw Data'!C26</f>
        <v>NSR1</v>
      </c>
      <c r="B26" s="36" t="str">
        <f>'Raw Data'!A26</f>
        <v>Down-stream</v>
      </c>
      <c r="C26" s="36" t="s">
        <v>39</v>
      </c>
      <c r="D26" s="37">
        <f>'Raw Data'!R26</f>
        <v>67.625999999999991</v>
      </c>
    </row>
    <row r="27" spans="1:4" x14ac:dyDescent="0.25">
      <c r="A27" s="36" t="str">
        <f>'Raw Data'!C27</f>
        <v>NSR2</v>
      </c>
      <c r="B27" s="36" t="str">
        <f>'Raw Data'!A27</f>
        <v>Down-stream</v>
      </c>
      <c r="C27" s="36" t="s">
        <v>39</v>
      </c>
      <c r="D27" s="37">
        <f>'Raw Data'!R27</f>
        <v>57.365000000000002</v>
      </c>
    </row>
    <row r="28" spans="1:4" x14ac:dyDescent="0.25">
      <c r="A28" s="36" t="str">
        <f>'Raw Data'!C28</f>
        <v>NSR3</v>
      </c>
      <c r="B28" s="36" t="str">
        <f>'Raw Data'!A28</f>
        <v>Down-stream</v>
      </c>
      <c r="C28" s="36" t="s">
        <v>39</v>
      </c>
      <c r="D28" s="37">
        <f>'Raw Data'!R28</f>
        <v>56.981999999999992</v>
      </c>
    </row>
    <row r="29" spans="1:4" x14ac:dyDescent="0.25">
      <c r="A29" s="36" t="str">
        <f>'Raw Data'!C29</f>
        <v>HSR1</v>
      </c>
      <c r="B29" s="36" t="str">
        <f>'Raw Data'!A29</f>
        <v>Down-stream</v>
      </c>
      <c r="C29" s="36" t="s">
        <v>39</v>
      </c>
      <c r="D29" s="37">
        <f>'Raw Data'!R29</f>
        <v>65.822999999999993</v>
      </c>
    </row>
    <row r="30" spans="1:4" x14ac:dyDescent="0.25">
      <c r="A30" s="36" t="str">
        <f>'Raw Data'!C30</f>
        <v>HSR2</v>
      </c>
      <c r="B30" s="36" t="str">
        <f>'Raw Data'!A30</f>
        <v>Down-stream</v>
      </c>
      <c r="C30" s="36" t="s">
        <v>39</v>
      </c>
      <c r="D30" s="37">
        <f>'Raw Data'!R30</f>
        <v>61.41</v>
      </c>
    </row>
    <row r="31" spans="1:4" x14ac:dyDescent="0.25">
      <c r="A31" s="36" t="str">
        <f>'Raw Data'!C31</f>
        <v>HSR3</v>
      </c>
      <c r="B31" s="36" t="str">
        <f>'Raw Data'!A31</f>
        <v>Down-stream</v>
      </c>
      <c r="C31" s="36" t="s">
        <v>39</v>
      </c>
      <c r="D31" s="37">
        <f>'Raw Data'!R31</f>
        <v>67.853000000000009</v>
      </c>
    </row>
    <row r="32" spans="1:4" x14ac:dyDescent="0.25">
      <c r="A32" s="36" t="str">
        <f>'Raw Data'!C32</f>
        <v>CSR1</v>
      </c>
      <c r="B32" s="36" t="str">
        <f>'Raw Data'!A32</f>
        <v>Down-stream</v>
      </c>
      <c r="C32" s="36" t="s">
        <v>39</v>
      </c>
      <c r="D32" s="37">
        <f>'Raw Data'!R32</f>
        <v>70.695999999999998</v>
      </c>
    </row>
    <row r="33" spans="1:4" x14ac:dyDescent="0.25">
      <c r="A33" s="36" t="str">
        <f>'Raw Data'!C33</f>
        <v>CSR2</v>
      </c>
      <c r="B33" s="36" t="str">
        <f>'Raw Data'!A33</f>
        <v>Down-stream</v>
      </c>
      <c r="C33" s="36" t="s">
        <v>39</v>
      </c>
      <c r="D33" s="37">
        <f>'Raw Data'!R33</f>
        <v>70.134999999999991</v>
      </c>
    </row>
    <row r="34" spans="1:4" x14ac:dyDescent="0.25">
      <c r="A34" s="36" t="str">
        <f>'Raw Data'!C34</f>
        <v>CSR3</v>
      </c>
      <c r="B34" s="36" t="str">
        <f>'Raw Data'!A34</f>
        <v>Down-stream</v>
      </c>
      <c r="C34" s="36" t="s">
        <v>39</v>
      </c>
      <c r="D34" s="37">
        <f>'Raw Data'!R34</f>
        <v>75.048999999999992</v>
      </c>
    </row>
    <row r="35" spans="1:4" x14ac:dyDescent="0.25">
      <c r="A35" s="36" t="str">
        <f>'Raw Data'!C35</f>
        <v>KSR1</v>
      </c>
      <c r="B35" s="36" t="str">
        <f>'Raw Data'!A35</f>
        <v>Down-stream</v>
      </c>
      <c r="C35" s="36" t="s">
        <v>39</v>
      </c>
      <c r="D35" s="37">
        <f>'Raw Data'!R35</f>
        <v>80.527000000000001</v>
      </c>
    </row>
    <row r="36" spans="1:4" x14ac:dyDescent="0.25">
      <c r="A36" s="36" t="str">
        <f>'Raw Data'!C36</f>
        <v>KSR2</v>
      </c>
      <c r="B36" s="36" t="str">
        <f>'Raw Data'!A36</f>
        <v>Down-stream</v>
      </c>
      <c r="C36" s="36" t="s">
        <v>39</v>
      </c>
      <c r="D36" s="37">
        <f>'Raw Data'!R36</f>
        <v>90.805000000000007</v>
      </c>
    </row>
    <row r="37" spans="1:4" x14ac:dyDescent="0.25">
      <c r="A37" s="36" t="str">
        <f>'Raw Data'!C37</f>
        <v>KSR3</v>
      </c>
      <c r="B37" s="36" t="str">
        <f>'Raw Data'!A37</f>
        <v>Down-stream</v>
      </c>
      <c r="C37" s="36" t="s">
        <v>39</v>
      </c>
      <c r="D37" s="37">
        <f>'Raw Data'!R37</f>
        <v>93.149000000000001</v>
      </c>
    </row>
    <row r="38" spans="1:4" x14ac:dyDescent="0.25">
      <c r="A38" s="36" t="str">
        <f>'Raw Data'!C5</f>
        <v>BSR1</v>
      </c>
      <c r="B38" s="36" t="str">
        <f>'Raw Data'!A5</f>
        <v>Up-stream</v>
      </c>
      <c r="C38" s="36" t="s">
        <v>40</v>
      </c>
      <c r="D38" s="37">
        <f>'Raw Data'!S5</f>
        <v>10.775</v>
      </c>
    </row>
    <row r="39" spans="1:4" x14ac:dyDescent="0.25">
      <c r="A39" s="36" t="str">
        <f>'Raw Data'!C6</f>
        <v>BSR2</v>
      </c>
      <c r="B39" s="36" t="str">
        <f>'Raw Data'!A6</f>
        <v>Up-stream</v>
      </c>
      <c r="C39" s="36" t="s">
        <v>40</v>
      </c>
      <c r="D39" s="37">
        <f>'Raw Data'!S6</f>
        <v>7.2759999999999998</v>
      </c>
    </row>
    <row r="40" spans="1:4" x14ac:dyDescent="0.25">
      <c r="A40" s="36" t="str">
        <f>'Raw Data'!C7</f>
        <v>BSR3</v>
      </c>
      <c r="B40" s="36" t="str">
        <f>'Raw Data'!A7</f>
        <v>Up-stream</v>
      </c>
      <c r="C40" s="36" t="s">
        <v>40</v>
      </c>
      <c r="D40" s="37">
        <f>'Raw Data'!S7</f>
        <v>7.4979999999999993</v>
      </c>
    </row>
    <row r="41" spans="1:4" x14ac:dyDescent="0.25">
      <c r="A41" s="36" t="str">
        <f>'Raw Data'!C8</f>
        <v>ESR1</v>
      </c>
      <c r="B41" s="36" t="str">
        <f>'Raw Data'!A8</f>
        <v>Up-stream</v>
      </c>
      <c r="C41" s="36" t="s">
        <v>40</v>
      </c>
      <c r="D41" s="37">
        <f>'Raw Data'!S8</f>
        <v>2.4849999999999999</v>
      </c>
    </row>
    <row r="42" spans="1:4" x14ac:dyDescent="0.25">
      <c r="A42" s="36" t="str">
        <f>'Raw Data'!C9</f>
        <v>ESR2</v>
      </c>
      <c r="B42" s="36" t="str">
        <f>'Raw Data'!A9</f>
        <v>Up-stream</v>
      </c>
      <c r="C42" s="36" t="s">
        <v>40</v>
      </c>
      <c r="D42" s="37">
        <f>'Raw Data'!S9</f>
        <v>2.4849999999999999</v>
      </c>
    </row>
    <row r="43" spans="1:4" x14ac:dyDescent="0.25">
      <c r="A43" s="36" t="str">
        <f>'Raw Data'!C10</f>
        <v>ESR3</v>
      </c>
      <c r="B43" s="36" t="str">
        <f>'Raw Data'!A10</f>
        <v>Up-stream</v>
      </c>
      <c r="C43" s="36" t="s">
        <v>40</v>
      </c>
      <c r="D43" s="37">
        <f>'Raw Data'!S10</f>
        <v>2.4849999999999999</v>
      </c>
    </row>
    <row r="44" spans="1:4" x14ac:dyDescent="0.25">
      <c r="A44" s="36" t="str">
        <f>'Raw Data'!C11</f>
        <v>NZSR1</v>
      </c>
      <c r="B44" s="36" t="str">
        <f>'Raw Data'!A11</f>
        <v>Up-stream</v>
      </c>
      <c r="C44" s="36" t="s">
        <v>40</v>
      </c>
      <c r="D44" s="37">
        <f>'Raw Data'!S11</f>
        <v>30.526999999999997</v>
      </c>
    </row>
    <row r="45" spans="1:4" x14ac:dyDescent="0.25">
      <c r="A45" s="36" t="str">
        <f>'Raw Data'!C12</f>
        <v>NZSR2</v>
      </c>
      <c r="B45" s="36" t="str">
        <f>'Raw Data'!A12</f>
        <v>Up-stream</v>
      </c>
      <c r="C45" s="36" t="s">
        <v>40</v>
      </c>
      <c r="D45" s="37">
        <f>'Raw Data'!S12</f>
        <v>31.620000000000005</v>
      </c>
    </row>
    <row r="46" spans="1:4" x14ac:dyDescent="0.25">
      <c r="A46" s="36" t="str">
        <f>'Raw Data'!C13</f>
        <v>NZSR3</v>
      </c>
      <c r="B46" s="36" t="str">
        <f>'Raw Data'!A13</f>
        <v>Up-stream</v>
      </c>
      <c r="C46" s="36" t="s">
        <v>40</v>
      </c>
      <c r="D46" s="37">
        <f>'Raw Data'!S13</f>
        <v>27.803000000000001</v>
      </c>
    </row>
    <row r="47" spans="1:4" x14ac:dyDescent="0.25">
      <c r="A47" s="36" t="str">
        <f>'Raw Data'!C14</f>
        <v>SSR1</v>
      </c>
      <c r="B47" s="36" t="str">
        <f>'Raw Data'!A14</f>
        <v>Mid-stream</v>
      </c>
      <c r="C47" s="36" t="s">
        <v>40</v>
      </c>
      <c r="D47" s="37">
        <f>'Raw Data'!S14</f>
        <v>8.7729999999999997</v>
      </c>
    </row>
    <row r="48" spans="1:4" x14ac:dyDescent="0.25">
      <c r="A48" s="36" t="str">
        <f>'Raw Data'!C15</f>
        <v>SSR2</v>
      </c>
      <c r="B48" s="36" t="str">
        <f>'Raw Data'!A15</f>
        <v>Mid-stream</v>
      </c>
      <c r="C48" s="36" t="s">
        <v>40</v>
      </c>
      <c r="D48" s="37">
        <f>'Raw Data'!S15</f>
        <v>8.609</v>
      </c>
    </row>
    <row r="49" spans="1:4" x14ac:dyDescent="0.25">
      <c r="A49" s="36" t="str">
        <f>'Raw Data'!C16</f>
        <v>SSR3</v>
      </c>
      <c r="B49" s="36" t="str">
        <f>'Raw Data'!A16</f>
        <v>Mid-stream</v>
      </c>
      <c r="C49" s="36" t="s">
        <v>40</v>
      </c>
      <c r="D49" s="37">
        <f>'Raw Data'!S16</f>
        <v>13.234</v>
      </c>
    </row>
    <row r="50" spans="1:4" x14ac:dyDescent="0.25">
      <c r="A50" s="36" t="str">
        <f>'Raw Data'!C17</f>
        <v>NISR1</v>
      </c>
      <c r="B50" s="36" t="str">
        <f>'Raw Data'!A17</f>
        <v>Mid-stream</v>
      </c>
      <c r="C50" s="36" t="s">
        <v>40</v>
      </c>
      <c r="D50" s="37">
        <f>'Raw Data'!S17</f>
        <v>18.349</v>
      </c>
    </row>
    <row r="51" spans="1:4" x14ac:dyDescent="0.25">
      <c r="A51" s="36" t="str">
        <f>'Raw Data'!C18</f>
        <v>NISR2</v>
      </c>
      <c r="B51" s="36" t="str">
        <f>'Raw Data'!A18</f>
        <v>Mid-stream</v>
      </c>
      <c r="C51" s="36" t="s">
        <v>40</v>
      </c>
      <c r="D51" s="37">
        <f>'Raw Data'!S18</f>
        <v>13.743</v>
      </c>
    </row>
    <row r="52" spans="1:4" x14ac:dyDescent="0.25">
      <c r="A52" s="36" t="str">
        <f>'Raw Data'!C19</f>
        <v>NISR3</v>
      </c>
      <c r="B52" s="36" t="str">
        <f>'Raw Data'!A19</f>
        <v>Mid-stream</v>
      </c>
      <c r="C52" s="36" t="s">
        <v>40</v>
      </c>
      <c r="D52" s="37">
        <f>'Raw Data'!S19</f>
        <v>14.061</v>
      </c>
    </row>
    <row r="53" spans="1:4" x14ac:dyDescent="0.25">
      <c r="A53" s="36" t="str">
        <f>'Raw Data'!C20</f>
        <v>NDSR1</v>
      </c>
      <c r="B53" s="36" t="str">
        <f>'Raw Data'!A20</f>
        <v>Mid-stream</v>
      </c>
      <c r="C53" s="36" t="s">
        <v>40</v>
      </c>
      <c r="D53" s="37">
        <f>'Raw Data'!S20</f>
        <v>16.327999999999999</v>
      </c>
    </row>
    <row r="54" spans="1:4" x14ac:dyDescent="0.25">
      <c r="A54" s="36" t="str">
        <f>'Raw Data'!C21</f>
        <v>NDSR2</v>
      </c>
      <c r="B54" s="36" t="str">
        <f>'Raw Data'!A21</f>
        <v>Mid-stream</v>
      </c>
      <c r="C54" s="36" t="s">
        <v>40</v>
      </c>
      <c r="D54" s="37">
        <f>'Raw Data'!S21</f>
        <v>23.736000000000001</v>
      </c>
    </row>
    <row r="55" spans="1:4" x14ac:dyDescent="0.25">
      <c r="A55" s="36" t="str">
        <f>'Raw Data'!C22</f>
        <v>NDSR3</v>
      </c>
      <c r="B55" s="36" t="str">
        <f>'Raw Data'!A22</f>
        <v>Mid-stream</v>
      </c>
      <c r="C55" s="36" t="s">
        <v>40</v>
      </c>
      <c r="D55" s="37">
        <f>'Raw Data'!S22</f>
        <v>18.981999999999999</v>
      </c>
    </row>
    <row r="56" spans="1:4" x14ac:dyDescent="0.25">
      <c r="A56" s="36" t="str">
        <f>'Raw Data'!C23</f>
        <v>WSR1</v>
      </c>
      <c r="B56" s="36" t="str">
        <f>'Raw Data'!A23</f>
        <v>Down-stream</v>
      </c>
      <c r="C56" s="36" t="s">
        <v>40</v>
      </c>
      <c r="D56" s="37">
        <f>'Raw Data'!S23</f>
        <v>25.512</v>
      </c>
    </row>
    <row r="57" spans="1:4" x14ac:dyDescent="0.25">
      <c r="A57" s="36" t="str">
        <f>'Raw Data'!C24</f>
        <v>WSR2</v>
      </c>
      <c r="B57" s="36" t="str">
        <f>'Raw Data'!A24</f>
        <v>Down-stream</v>
      </c>
      <c r="C57" s="36" t="s">
        <v>40</v>
      </c>
      <c r="D57" s="37">
        <f>'Raw Data'!S24</f>
        <v>28.036999999999999</v>
      </c>
    </row>
    <row r="58" spans="1:4" x14ac:dyDescent="0.25">
      <c r="A58" s="36" t="str">
        <f>'Raw Data'!C25</f>
        <v>WSR3</v>
      </c>
      <c r="B58" s="36" t="str">
        <f>'Raw Data'!A25</f>
        <v>Down-stream</v>
      </c>
      <c r="C58" s="36" t="s">
        <v>40</v>
      </c>
      <c r="D58" s="37">
        <f>'Raw Data'!S25</f>
        <v>24.739000000000001</v>
      </c>
    </row>
    <row r="59" spans="1:4" x14ac:dyDescent="0.25">
      <c r="A59" s="36" t="str">
        <f>'Raw Data'!C26</f>
        <v>NSR1</v>
      </c>
      <c r="B59" s="36" t="str">
        <f>'Raw Data'!A26</f>
        <v>Down-stream</v>
      </c>
      <c r="C59" s="36" t="s">
        <v>40</v>
      </c>
      <c r="D59" s="37">
        <f>'Raw Data'!S26</f>
        <v>21.241</v>
      </c>
    </row>
    <row r="60" spans="1:4" x14ac:dyDescent="0.25">
      <c r="A60" s="36" t="str">
        <f>'Raw Data'!C27</f>
        <v>NSR2</v>
      </c>
      <c r="B60" s="36" t="str">
        <f>'Raw Data'!A27</f>
        <v>Down-stream</v>
      </c>
      <c r="C60" s="36" t="s">
        <v>40</v>
      </c>
      <c r="D60" s="37">
        <f>'Raw Data'!S27</f>
        <v>22.984999999999999</v>
      </c>
    </row>
    <row r="61" spans="1:4" x14ac:dyDescent="0.25">
      <c r="A61" s="36" t="str">
        <f>'Raw Data'!C28</f>
        <v>NSR3</v>
      </c>
      <c r="B61" s="36" t="str">
        <f>'Raw Data'!A28</f>
        <v>Down-stream</v>
      </c>
      <c r="C61" s="36" t="s">
        <v>40</v>
      </c>
      <c r="D61" s="37">
        <f>'Raw Data'!S28</f>
        <v>31.251000000000001</v>
      </c>
    </row>
    <row r="62" spans="1:4" x14ac:dyDescent="0.25">
      <c r="A62" s="36" t="str">
        <f>'Raw Data'!C29</f>
        <v>HSR1</v>
      </c>
      <c r="B62" s="36" t="str">
        <f>'Raw Data'!A29</f>
        <v>Down-stream</v>
      </c>
      <c r="C62" s="36" t="s">
        <v>40</v>
      </c>
      <c r="D62" s="37">
        <f>'Raw Data'!S29</f>
        <v>28.795999999999999</v>
      </c>
    </row>
    <row r="63" spans="1:4" x14ac:dyDescent="0.25">
      <c r="A63" s="36" t="str">
        <f>'Raw Data'!C30</f>
        <v>HSR2</v>
      </c>
      <c r="B63" s="36" t="str">
        <f>'Raw Data'!A30</f>
        <v>Down-stream</v>
      </c>
      <c r="C63" s="36" t="s">
        <v>40</v>
      </c>
      <c r="D63" s="37">
        <f>'Raw Data'!S30</f>
        <v>34.695</v>
      </c>
    </row>
    <row r="64" spans="1:4" x14ac:dyDescent="0.25">
      <c r="A64" s="36" t="str">
        <f>'Raw Data'!C31</f>
        <v>HSR3</v>
      </c>
      <c r="B64" s="36" t="str">
        <f>'Raw Data'!A31</f>
        <v>Down-stream</v>
      </c>
      <c r="C64" s="36" t="s">
        <v>40</v>
      </c>
      <c r="D64" s="37">
        <f>'Raw Data'!S31</f>
        <v>27.896000000000001</v>
      </c>
    </row>
    <row r="65" spans="1:4" x14ac:dyDescent="0.25">
      <c r="A65" s="36" t="str">
        <f>'Raw Data'!C32</f>
        <v>CSR1</v>
      </c>
      <c r="B65" s="36" t="str">
        <f>'Raw Data'!A32</f>
        <v>Down-stream</v>
      </c>
      <c r="C65" s="36" t="s">
        <v>40</v>
      </c>
      <c r="D65" s="37">
        <f>'Raw Data'!S32</f>
        <v>27.698999999999998</v>
      </c>
    </row>
    <row r="66" spans="1:4" x14ac:dyDescent="0.25">
      <c r="A66" s="36" t="str">
        <f>'Raw Data'!C33</f>
        <v>CSR2</v>
      </c>
      <c r="B66" s="36" t="str">
        <f>'Raw Data'!A33</f>
        <v>Down-stream</v>
      </c>
      <c r="C66" s="36" t="s">
        <v>40</v>
      </c>
      <c r="D66" s="37">
        <f>'Raw Data'!S33</f>
        <v>31.198</v>
      </c>
    </row>
    <row r="67" spans="1:4" x14ac:dyDescent="0.25">
      <c r="A67" s="36" t="str">
        <f>'Raw Data'!C34</f>
        <v>CSR3</v>
      </c>
      <c r="B67" s="36" t="str">
        <f>'Raw Data'!A34</f>
        <v>Down-stream</v>
      </c>
      <c r="C67" s="36" t="s">
        <v>40</v>
      </c>
      <c r="D67" s="37">
        <f>'Raw Data'!S34</f>
        <v>36.711999999999996</v>
      </c>
    </row>
    <row r="68" spans="1:4" x14ac:dyDescent="0.25">
      <c r="A68" s="36" t="str">
        <f>'Raw Data'!C35</f>
        <v>KSR1</v>
      </c>
      <c r="B68" s="36" t="str">
        <f>'Raw Data'!A35</f>
        <v>Down-stream</v>
      </c>
      <c r="C68" s="36" t="s">
        <v>40</v>
      </c>
      <c r="D68" s="37">
        <f>'Raw Data'!S35</f>
        <v>47.852000000000004</v>
      </c>
    </row>
    <row r="69" spans="1:4" x14ac:dyDescent="0.25">
      <c r="A69" s="36" t="str">
        <f>'Raw Data'!C36</f>
        <v>KSR2</v>
      </c>
      <c r="B69" s="36" t="str">
        <f>'Raw Data'!A36</f>
        <v>Down-stream</v>
      </c>
      <c r="C69" s="36" t="s">
        <v>40</v>
      </c>
      <c r="D69" s="37">
        <f>'Raw Data'!S36</f>
        <v>40.356000000000002</v>
      </c>
    </row>
    <row r="70" spans="1:4" x14ac:dyDescent="0.25">
      <c r="A70" s="36" t="str">
        <f>'Raw Data'!C37</f>
        <v>KSR3</v>
      </c>
      <c r="B70" s="36" t="str">
        <f>'Raw Data'!A37</f>
        <v>Down-stream</v>
      </c>
      <c r="C70" s="36" t="s">
        <v>40</v>
      </c>
      <c r="D70" s="37">
        <f>'Raw Data'!S37</f>
        <v>46.298000000000002</v>
      </c>
    </row>
    <row r="71" spans="1:4" x14ac:dyDescent="0.25">
      <c r="A71" s="36" t="str">
        <f>'Raw Data'!C5</f>
        <v>BSR1</v>
      </c>
      <c r="B71" s="36" t="str">
        <f>'Raw Data'!A5</f>
        <v>Up-stream</v>
      </c>
      <c r="C71" s="36" t="s">
        <v>41</v>
      </c>
      <c r="D71" s="37">
        <f>'Raw Data'!T5</f>
        <v>1</v>
      </c>
    </row>
    <row r="72" spans="1:4" x14ac:dyDescent="0.25">
      <c r="A72" s="36" t="str">
        <f>'Raw Data'!C6</f>
        <v>BSR2</v>
      </c>
      <c r="B72" s="36" t="str">
        <f>'Raw Data'!A6</f>
        <v>Up-stream</v>
      </c>
      <c r="C72" s="36" t="s">
        <v>41</v>
      </c>
      <c r="D72" s="37">
        <f>'Raw Data'!T6</f>
        <v>1.8420000000000001</v>
      </c>
    </row>
    <row r="73" spans="1:4" x14ac:dyDescent="0.25">
      <c r="A73" s="36" t="str">
        <f>'Raw Data'!C7</f>
        <v>BSR3</v>
      </c>
      <c r="B73" s="36" t="str">
        <f>'Raw Data'!A7</f>
        <v>Up-stream</v>
      </c>
      <c r="C73" s="36" t="s">
        <v>41</v>
      </c>
      <c r="D73" s="37">
        <f>'Raw Data'!T7</f>
        <v>1.7929999999999999</v>
      </c>
    </row>
    <row r="74" spans="1:4" x14ac:dyDescent="0.25">
      <c r="A74" s="36" t="str">
        <f>'Raw Data'!C8</f>
        <v>ESR1</v>
      </c>
      <c r="B74" s="36" t="str">
        <f>'Raw Data'!A8</f>
        <v>Up-stream</v>
      </c>
      <c r="C74" s="36" t="s">
        <v>41</v>
      </c>
      <c r="D74" s="37">
        <f>'Raw Data'!T8</f>
        <v>1</v>
      </c>
    </row>
    <row r="75" spans="1:4" x14ac:dyDescent="0.25">
      <c r="A75" s="36" t="str">
        <f>'Raw Data'!C9</f>
        <v>ESR2</v>
      </c>
      <c r="B75" s="36" t="str">
        <f>'Raw Data'!A9</f>
        <v>Up-stream</v>
      </c>
      <c r="C75" s="36" t="s">
        <v>41</v>
      </c>
      <c r="D75" s="37">
        <f>'Raw Data'!T9</f>
        <v>1</v>
      </c>
    </row>
    <row r="76" spans="1:4" x14ac:dyDescent="0.25">
      <c r="A76" s="36" t="str">
        <f>'Raw Data'!C10</f>
        <v>ESR3</v>
      </c>
      <c r="B76" s="36" t="str">
        <f>'Raw Data'!A10</f>
        <v>Up-stream</v>
      </c>
      <c r="C76" s="36" t="s">
        <v>41</v>
      </c>
      <c r="D76" s="37">
        <f>'Raw Data'!T10</f>
        <v>1</v>
      </c>
    </row>
    <row r="77" spans="1:4" x14ac:dyDescent="0.25">
      <c r="A77" s="36" t="str">
        <f>'Raw Data'!C11</f>
        <v>NZSR1</v>
      </c>
      <c r="B77" s="36" t="str">
        <f>'Raw Data'!A11</f>
        <v>Up-stream</v>
      </c>
      <c r="C77" s="36" t="s">
        <v>41</v>
      </c>
      <c r="D77" s="37">
        <f>'Raw Data'!T11</f>
        <v>11.927</v>
      </c>
    </row>
    <row r="78" spans="1:4" x14ac:dyDescent="0.25">
      <c r="A78" s="36" t="str">
        <f>'Raw Data'!C12</f>
        <v>NZSR2</v>
      </c>
      <c r="B78" s="36" t="str">
        <f>'Raw Data'!A12</f>
        <v>Up-stream</v>
      </c>
      <c r="C78" s="36" t="s">
        <v>41</v>
      </c>
      <c r="D78" s="37">
        <f>'Raw Data'!T12</f>
        <v>11.582000000000001</v>
      </c>
    </row>
    <row r="79" spans="1:4" x14ac:dyDescent="0.25">
      <c r="A79" s="36" t="str">
        <f>'Raw Data'!C13</f>
        <v>NZSR3</v>
      </c>
      <c r="B79" s="36" t="str">
        <f>'Raw Data'!A13</f>
        <v>Up-stream</v>
      </c>
      <c r="C79" s="36" t="s">
        <v>41</v>
      </c>
      <c r="D79" s="37">
        <f>'Raw Data'!T13</f>
        <v>10.981999999999999</v>
      </c>
    </row>
    <row r="80" spans="1:4" x14ac:dyDescent="0.25">
      <c r="A80" s="36" t="str">
        <f>'Raw Data'!C14</f>
        <v>SSR1</v>
      </c>
      <c r="B80" s="36" t="str">
        <f>'Raw Data'!A14</f>
        <v>Mid-stream</v>
      </c>
      <c r="C80" s="36" t="s">
        <v>41</v>
      </c>
      <c r="D80" s="37">
        <f>'Raw Data'!T14</f>
        <v>5.1720000000000006</v>
      </c>
    </row>
    <row r="81" spans="1:4" x14ac:dyDescent="0.25">
      <c r="A81" s="36" t="str">
        <f>'Raw Data'!C15</f>
        <v>SSR2</v>
      </c>
      <c r="B81" s="36" t="str">
        <f>'Raw Data'!A15</f>
        <v>Mid-stream</v>
      </c>
      <c r="C81" s="36" t="s">
        <v>41</v>
      </c>
      <c r="D81" s="37">
        <f>'Raw Data'!T15</f>
        <v>5.0969999999999995</v>
      </c>
    </row>
    <row r="82" spans="1:4" x14ac:dyDescent="0.25">
      <c r="A82" s="36" t="str">
        <f>'Raw Data'!C16</f>
        <v>SSR3</v>
      </c>
      <c r="B82" s="36" t="str">
        <f>'Raw Data'!A16</f>
        <v>Mid-stream</v>
      </c>
      <c r="C82" s="36" t="s">
        <v>41</v>
      </c>
      <c r="D82" s="37">
        <f>'Raw Data'!T16</f>
        <v>3.3460000000000001</v>
      </c>
    </row>
    <row r="83" spans="1:4" x14ac:dyDescent="0.25">
      <c r="A83" s="36" t="str">
        <f>'Raw Data'!C17</f>
        <v>NISR1</v>
      </c>
      <c r="B83" s="36" t="str">
        <f>'Raw Data'!A17</f>
        <v>Mid-stream</v>
      </c>
      <c r="C83" s="36" t="s">
        <v>41</v>
      </c>
      <c r="D83" s="37">
        <f>'Raw Data'!T17</f>
        <v>2.8860000000000001</v>
      </c>
    </row>
    <row r="84" spans="1:4" x14ac:dyDescent="0.25">
      <c r="A84" s="36" t="str">
        <f>'Raw Data'!C18</f>
        <v>NISR2</v>
      </c>
      <c r="B84" s="36" t="str">
        <f>'Raw Data'!A18</f>
        <v>Mid-stream</v>
      </c>
      <c r="C84" s="36" t="s">
        <v>41</v>
      </c>
      <c r="D84" s="37">
        <f>'Raw Data'!T18</f>
        <v>2.536</v>
      </c>
    </row>
    <row r="85" spans="1:4" x14ac:dyDescent="0.25">
      <c r="A85" s="36" t="str">
        <f>'Raw Data'!C19</f>
        <v>NISR3</v>
      </c>
      <c r="B85" s="36" t="str">
        <f>'Raw Data'!A19</f>
        <v>Mid-stream</v>
      </c>
      <c r="C85" s="36" t="s">
        <v>41</v>
      </c>
      <c r="D85" s="37">
        <f>'Raw Data'!T19</f>
        <v>3.6320000000000001</v>
      </c>
    </row>
    <row r="86" spans="1:4" x14ac:dyDescent="0.25">
      <c r="A86" s="36" t="str">
        <f>'Raw Data'!C20</f>
        <v>NDSR1</v>
      </c>
      <c r="B86" s="36" t="str">
        <f>'Raw Data'!A20</f>
        <v>Mid-stream</v>
      </c>
      <c r="C86" s="36" t="s">
        <v>41</v>
      </c>
      <c r="D86" s="37">
        <f>'Raw Data'!T20</f>
        <v>2.657</v>
      </c>
    </row>
    <row r="87" spans="1:4" x14ac:dyDescent="0.25">
      <c r="A87" s="36" t="str">
        <f>'Raw Data'!C21</f>
        <v>NDSR2</v>
      </c>
      <c r="B87" s="36" t="str">
        <f>'Raw Data'!A21</f>
        <v>Mid-stream</v>
      </c>
      <c r="C87" s="36" t="s">
        <v>41</v>
      </c>
      <c r="D87" s="37">
        <f>'Raw Data'!T21</f>
        <v>1</v>
      </c>
    </row>
    <row r="88" spans="1:4" x14ac:dyDescent="0.25">
      <c r="A88" s="36" t="str">
        <f>'Raw Data'!C22</f>
        <v>NDSR3</v>
      </c>
      <c r="B88" s="36" t="str">
        <f>'Raw Data'!A22</f>
        <v>Mid-stream</v>
      </c>
      <c r="C88" s="36" t="s">
        <v>41</v>
      </c>
      <c r="D88" s="37">
        <f>'Raw Data'!T22</f>
        <v>2.351</v>
      </c>
    </row>
    <row r="89" spans="1:4" x14ac:dyDescent="0.25">
      <c r="A89" s="36" t="str">
        <f>'Raw Data'!C23</f>
        <v>WSR1</v>
      </c>
      <c r="B89" s="36" t="str">
        <f>'Raw Data'!A23</f>
        <v>Down-stream</v>
      </c>
      <c r="C89" s="36" t="s">
        <v>41</v>
      </c>
      <c r="D89" s="37">
        <f>'Raw Data'!T23</f>
        <v>3.7130000000000001</v>
      </c>
    </row>
    <row r="90" spans="1:4" x14ac:dyDescent="0.25">
      <c r="A90" s="36" t="str">
        <f>'Raw Data'!C24</f>
        <v>WSR2</v>
      </c>
      <c r="B90" s="36" t="str">
        <f>'Raw Data'!A24</f>
        <v>Down-stream</v>
      </c>
      <c r="C90" s="36" t="s">
        <v>41</v>
      </c>
      <c r="D90" s="37">
        <f>'Raw Data'!T24</f>
        <v>5.8920000000000003</v>
      </c>
    </row>
    <row r="91" spans="1:4" x14ac:dyDescent="0.25">
      <c r="A91" s="36" t="str">
        <f>'Raw Data'!C25</f>
        <v>WSR3</v>
      </c>
      <c r="B91" s="36" t="str">
        <f>'Raw Data'!A25</f>
        <v>Down-stream</v>
      </c>
      <c r="C91" s="36" t="s">
        <v>41</v>
      </c>
      <c r="D91" s="37">
        <f>'Raw Data'!T25</f>
        <v>6.6609999999999996</v>
      </c>
    </row>
    <row r="92" spans="1:4" x14ac:dyDescent="0.25">
      <c r="A92" s="36" t="str">
        <f>'Raw Data'!C26</f>
        <v>NSR1</v>
      </c>
      <c r="B92" s="36" t="str">
        <f>'Raw Data'!A26</f>
        <v>Down-stream</v>
      </c>
      <c r="C92" s="36" t="s">
        <v>41</v>
      </c>
      <c r="D92" s="37">
        <f>'Raw Data'!T26</f>
        <v>8.3149999999999995</v>
      </c>
    </row>
    <row r="93" spans="1:4" x14ac:dyDescent="0.25">
      <c r="A93" s="36" t="str">
        <f>'Raw Data'!C27</f>
        <v>NSR2</v>
      </c>
      <c r="B93" s="36" t="str">
        <f>'Raw Data'!A27</f>
        <v>Down-stream</v>
      </c>
      <c r="C93" s="36" t="s">
        <v>41</v>
      </c>
      <c r="D93" s="37">
        <f>'Raw Data'!T27</f>
        <v>4.0459999999999994</v>
      </c>
    </row>
    <row r="94" spans="1:4" x14ac:dyDescent="0.25">
      <c r="A94" s="36" t="str">
        <f>'Raw Data'!C28</f>
        <v>NSR3</v>
      </c>
      <c r="B94" s="36" t="str">
        <f>'Raw Data'!A28</f>
        <v>Down-stream</v>
      </c>
      <c r="C94" s="36" t="s">
        <v>41</v>
      </c>
      <c r="D94" s="37">
        <f>'Raw Data'!T28</f>
        <v>5.2200000000000006</v>
      </c>
    </row>
    <row r="95" spans="1:4" x14ac:dyDescent="0.25">
      <c r="A95" s="36" t="str">
        <f>'Raw Data'!C29</f>
        <v>HSR1</v>
      </c>
      <c r="B95" s="36" t="str">
        <f>'Raw Data'!A29</f>
        <v>Down-stream</v>
      </c>
      <c r="C95" s="36" t="s">
        <v>41</v>
      </c>
      <c r="D95" s="37">
        <f>'Raw Data'!T29</f>
        <v>8.673</v>
      </c>
    </row>
    <row r="96" spans="1:4" x14ac:dyDescent="0.25">
      <c r="A96" s="36" t="str">
        <f>'Raw Data'!C30</f>
        <v>HSR2</v>
      </c>
      <c r="B96" s="36" t="str">
        <f>'Raw Data'!A30</f>
        <v>Down-stream</v>
      </c>
      <c r="C96" s="36" t="s">
        <v>41</v>
      </c>
      <c r="D96" s="37">
        <f>'Raw Data'!T30</f>
        <v>8.9469999999999992</v>
      </c>
    </row>
    <row r="97" spans="1:7" x14ac:dyDescent="0.25">
      <c r="A97" s="36" t="str">
        <f>'Raw Data'!C31</f>
        <v>HSR3</v>
      </c>
      <c r="B97" s="36" t="str">
        <f>'Raw Data'!A31</f>
        <v>Down-stream</v>
      </c>
      <c r="C97" s="36" t="s">
        <v>41</v>
      </c>
      <c r="D97" s="37">
        <f>'Raw Data'!T31</f>
        <v>6.3109999999999999</v>
      </c>
    </row>
    <row r="98" spans="1:7" x14ac:dyDescent="0.25">
      <c r="A98" s="36" t="str">
        <f>'Raw Data'!C32</f>
        <v>CSR1</v>
      </c>
      <c r="B98" s="36" t="str">
        <f>'Raw Data'!A32</f>
        <v>Down-stream</v>
      </c>
      <c r="C98" s="36" t="s">
        <v>41</v>
      </c>
      <c r="D98" s="37">
        <f>'Raw Data'!T32</f>
        <v>10.109</v>
      </c>
    </row>
    <row r="99" spans="1:7" x14ac:dyDescent="0.25">
      <c r="A99" s="36" t="str">
        <f>'Raw Data'!C33</f>
        <v>CSR2</v>
      </c>
      <c r="B99" s="36" t="str">
        <f>'Raw Data'!A33</f>
        <v>Down-stream</v>
      </c>
      <c r="C99" s="36" t="s">
        <v>41</v>
      </c>
      <c r="D99" s="37">
        <f>'Raw Data'!T33</f>
        <v>11.748000000000001</v>
      </c>
    </row>
    <row r="100" spans="1:7" x14ac:dyDescent="0.25">
      <c r="A100" s="36" t="str">
        <f>'Raw Data'!C34</f>
        <v>CSR3</v>
      </c>
      <c r="B100" s="36" t="str">
        <f>'Raw Data'!A34</f>
        <v>Down-stream</v>
      </c>
      <c r="C100" s="36" t="s">
        <v>41</v>
      </c>
      <c r="D100" s="37">
        <f>'Raw Data'!T34</f>
        <v>12.805</v>
      </c>
    </row>
    <row r="101" spans="1:7" x14ac:dyDescent="0.25">
      <c r="A101" s="36" t="str">
        <f>'Raw Data'!C35</f>
        <v>KSR1</v>
      </c>
      <c r="B101" s="36" t="str">
        <f>'Raw Data'!A35</f>
        <v>Down-stream</v>
      </c>
      <c r="C101" s="36" t="s">
        <v>41</v>
      </c>
      <c r="D101" s="37">
        <f>'Raw Data'!T35</f>
        <v>17.695</v>
      </c>
    </row>
    <row r="102" spans="1:7" x14ac:dyDescent="0.25">
      <c r="A102" s="36" t="str">
        <f>'Raw Data'!C36</f>
        <v>KSR2</v>
      </c>
      <c r="B102" s="36" t="str">
        <f>'Raw Data'!A36</f>
        <v>Down-stream</v>
      </c>
      <c r="C102" s="36" t="s">
        <v>41</v>
      </c>
      <c r="D102" s="37">
        <f>'Raw Data'!T36</f>
        <v>18.792000000000002</v>
      </c>
    </row>
    <row r="103" spans="1:7" x14ac:dyDescent="0.25">
      <c r="A103" s="36" t="str">
        <f>'Raw Data'!C37</f>
        <v>KSR3</v>
      </c>
      <c r="B103" s="36" t="str">
        <f>'Raw Data'!A37</f>
        <v>Down-stream</v>
      </c>
      <c r="C103" s="36" t="s">
        <v>41</v>
      </c>
      <c r="D103" s="37">
        <f>'Raw Data'!T37</f>
        <v>19.058999999999997</v>
      </c>
    </row>
    <row r="105" spans="1:7" x14ac:dyDescent="0.25">
      <c r="A105" s="39" t="s">
        <v>385</v>
      </c>
    </row>
    <row r="106" spans="1:7" x14ac:dyDescent="0.25">
      <c r="A106" s="35" t="s">
        <v>386</v>
      </c>
      <c r="B106" s="35" t="s">
        <v>39</v>
      </c>
      <c r="C106" s="35" t="s">
        <v>40</v>
      </c>
      <c r="D106" s="35" t="s">
        <v>41</v>
      </c>
      <c r="E106" s="35" t="s">
        <v>387</v>
      </c>
      <c r="F106" s="35" t="s">
        <v>388</v>
      </c>
      <c r="G106" s="35" t="s">
        <v>389</v>
      </c>
    </row>
    <row r="107" spans="1:7" x14ac:dyDescent="0.25">
      <c r="A107" s="39" t="s">
        <v>44</v>
      </c>
      <c r="B107" s="37">
        <f t="shared" ref="B107:D109" si="0">SUMIFS($D$5:$D$103,$B$5:$B$103,$A107,$C$5:$C$103,B$106)</f>
        <v>360.78199999999998</v>
      </c>
      <c r="C107" s="37">
        <f t="shared" si="0"/>
        <v>122.95399999999999</v>
      </c>
      <c r="D107" s="37">
        <f t="shared" si="0"/>
        <v>42.125999999999998</v>
      </c>
      <c r="E107" s="42">
        <f>SUM(B107:D107)</f>
        <v>525.86199999999997</v>
      </c>
      <c r="F107" s="39">
        <f>COUNTIFS($B$5:$B$103,$A107)/3</f>
        <v>9</v>
      </c>
      <c r="G107" s="37">
        <f>(B107^2+C107^2+D107^2)/F107</f>
        <v>16339.548612888886</v>
      </c>
    </row>
    <row r="108" spans="1:7" x14ac:dyDescent="0.25">
      <c r="A108" s="39" t="s">
        <v>57</v>
      </c>
      <c r="B108" s="37">
        <f t="shared" si="0"/>
        <v>418.89399999999995</v>
      </c>
      <c r="C108" s="37">
        <f t="shared" si="0"/>
        <v>135.815</v>
      </c>
      <c r="D108" s="37">
        <f t="shared" si="0"/>
        <v>28.677000000000003</v>
      </c>
      <c r="E108" s="42">
        <f>SUM(B108:D108)</f>
        <v>583.38599999999997</v>
      </c>
      <c r="F108" s="39">
        <f>COUNTIFS($B$5:$B$103,$A108)/3</f>
        <v>9</v>
      </c>
      <c r="G108" s="37">
        <f>(B108^2+C108^2+D108^2)/F108</f>
        <v>21637.807532222218</v>
      </c>
    </row>
    <row r="109" spans="1:7" x14ac:dyDescent="0.25">
      <c r="A109" s="39" t="s">
        <v>70</v>
      </c>
      <c r="B109" s="37">
        <f t="shared" si="0"/>
        <v>1008.2319999999999</v>
      </c>
      <c r="C109" s="37">
        <f t="shared" si="0"/>
        <v>475.26699999999994</v>
      </c>
      <c r="D109" s="37">
        <f t="shared" si="0"/>
        <v>147.98599999999999</v>
      </c>
      <c r="E109" s="42">
        <f>SUM(B109:D109)</f>
        <v>1631.4849999999997</v>
      </c>
      <c r="F109" s="39">
        <f>COUNTIFS($B$5:$B$103,$A109)/3</f>
        <v>15</v>
      </c>
      <c r="G109" s="37">
        <f>(B109^2+C109^2+D109^2)/F109</f>
        <v>84287.356220599977</v>
      </c>
    </row>
    <row r="110" spans="1:7" x14ac:dyDescent="0.25">
      <c r="A110" s="39" t="s">
        <v>390</v>
      </c>
      <c r="B110" s="42">
        <f>SUM(B107:B109)</f>
        <v>1787.9079999999999</v>
      </c>
      <c r="C110" s="42">
        <f>SUM(C107:C109)</f>
        <v>734.03599999999994</v>
      </c>
      <c r="D110" s="42">
        <f>SUM(D107:D109)</f>
        <v>218.78899999999999</v>
      </c>
      <c r="E110" s="42">
        <f>SUM(B110:D110)</f>
        <v>2740.7330000000002</v>
      </c>
    </row>
    <row r="111" spans="1:7" x14ac:dyDescent="0.25">
      <c r="A111" s="39" t="s">
        <v>391</v>
      </c>
      <c r="B111" s="39">
        <f>COUNTIFS($C$5:$C$103,B$106)</f>
        <v>33</v>
      </c>
      <c r="C111" s="39">
        <f>COUNTIFS($C$5:$C$103,C$106)</f>
        <v>33</v>
      </c>
      <c r="D111" s="39">
        <f>COUNTIFS($C$5:$C$103,D$106)</f>
        <v>33</v>
      </c>
    </row>
    <row r="113" spans="1:2" x14ac:dyDescent="0.25">
      <c r="A113" s="39" t="s">
        <v>392</v>
      </c>
    </row>
    <row r="114" spans="1:2" x14ac:dyDescent="0.25">
      <c r="A114" s="36" t="s">
        <v>393</v>
      </c>
      <c r="B114" s="36">
        <v>3</v>
      </c>
    </row>
    <row r="115" spans="1:2" x14ac:dyDescent="0.25">
      <c r="A115" s="36" t="s">
        <v>394</v>
      </c>
      <c r="B115" s="36">
        <v>3</v>
      </c>
    </row>
    <row r="116" spans="1:2" x14ac:dyDescent="0.25">
      <c r="A116" s="36" t="s">
        <v>395</v>
      </c>
      <c r="B116" s="36">
        <f>COUNT($D$5:$D$103)</f>
        <v>99</v>
      </c>
    </row>
    <row r="117" spans="1:2" x14ac:dyDescent="0.25">
      <c r="A117" s="36" t="s">
        <v>396</v>
      </c>
      <c r="B117" s="37">
        <f>SUM($D$5:$D$103)</f>
        <v>2740.7330000000002</v>
      </c>
    </row>
    <row r="118" spans="1:2" x14ac:dyDescent="0.25">
      <c r="A118" s="36" t="s">
        <v>397</v>
      </c>
      <c r="B118" s="37">
        <f>B117^2/B116</f>
        <v>75874.923002919197</v>
      </c>
    </row>
    <row r="119" spans="1:2" x14ac:dyDescent="0.25">
      <c r="A119" s="36" t="s">
        <v>398</v>
      </c>
      <c r="B119" s="37">
        <f>SUMSQ($D$5:$D$103)</f>
        <v>131166.966105</v>
      </c>
    </row>
    <row r="121" spans="1:2" x14ac:dyDescent="0.25">
      <c r="A121" s="39" t="s">
        <v>399</v>
      </c>
    </row>
    <row r="122" spans="1:2" x14ac:dyDescent="0.25">
      <c r="A122" s="36" t="s">
        <v>400</v>
      </c>
      <c r="B122" s="37">
        <f>B119-B118</f>
        <v>55292.043102080803</v>
      </c>
    </row>
    <row r="123" spans="1:2" x14ac:dyDescent="0.25">
      <c r="A123" s="36" t="s">
        <v>401</v>
      </c>
      <c r="B123" s="37">
        <f>SUMPRODUCT(E107:E109,E107:E109,1/(F107:F109*B115))-B118</f>
        <v>6121.967781340034</v>
      </c>
    </row>
    <row r="124" spans="1:2" x14ac:dyDescent="0.25">
      <c r="A124" s="36" t="s">
        <v>402</v>
      </c>
      <c r="B124" s="37">
        <f>SUMSQ(B110:D110)/(B116/B115)-B118</f>
        <v>38770.304035898982</v>
      </c>
    </row>
    <row r="125" spans="1:2" x14ac:dyDescent="0.25">
      <c r="A125" s="36" t="s">
        <v>403</v>
      </c>
      <c r="B125" s="37">
        <f>SUM(G107:G109)-B118</f>
        <v>46389.789362791882</v>
      </c>
    </row>
    <row r="126" spans="1:2" x14ac:dyDescent="0.25">
      <c r="A126" s="36" t="s">
        <v>404</v>
      </c>
      <c r="B126" s="37">
        <f>B125-B123-B124</f>
        <v>1497.5175455528661</v>
      </c>
    </row>
    <row r="127" spans="1:2" x14ac:dyDescent="0.25">
      <c r="A127" s="36" t="s">
        <v>405</v>
      </c>
      <c r="B127" s="37">
        <f>B122-B125</f>
        <v>8902.2537392889208</v>
      </c>
    </row>
    <row r="129" spans="1:7" x14ac:dyDescent="0.25">
      <c r="A129" s="39" t="s">
        <v>406</v>
      </c>
    </row>
    <row r="130" spans="1:7" x14ac:dyDescent="0.25">
      <c r="A130" s="35" t="s">
        <v>407</v>
      </c>
      <c r="B130" s="35" t="s">
        <v>408</v>
      </c>
      <c r="C130" s="35" t="s">
        <v>409</v>
      </c>
      <c r="D130" s="35" t="s">
        <v>410</v>
      </c>
      <c r="E130" s="35" t="s">
        <v>411</v>
      </c>
      <c r="F130" s="35" t="s">
        <v>361</v>
      </c>
      <c r="G130" s="35" t="s">
        <v>162</v>
      </c>
    </row>
    <row r="131" spans="1:7" x14ac:dyDescent="0.25">
      <c r="A131" s="39" t="s">
        <v>412</v>
      </c>
      <c r="B131" s="37">
        <f>B123</f>
        <v>6121.967781340034</v>
      </c>
      <c r="C131" s="36">
        <f>B114-1</f>
        <v>2</v>
      </c>
      <c r="D131" s="37">
        <f>B131/C131</f>
        <v>3060.983890670017</v>
      </c>
      <c r="E131" s="37">
        <f>D131/D134</f>
        <v>30.945933269063001</v>
      </c>
      <c r="F131" s="40">
        <f>_xlfn.F.DIST.RT(E131,C131,C134)</f>
        <v>5.9137038153734346E-11</v>
      </c>
      <c r="G131" s="36" t="str">
        <f>IF(F131&lt;0.05,"Significant (p &lt; 0.05)","Not significant (p ≥ 0.05)")</f>
        <v>Significant (p &lt; 0.05)</v>
      </c>
    </row>
    <row r="132" spans="1:7" x14ac:dyDescent="0.25">
      <c r="A132" s="39" t="s">
        <v>413</v>
      </c>
      <c r="B132" s="37">
        <f>B124</f>
        <v>38770.304035898982</v>
      </c>
      <c r="C132" s="36">
        <f>B115-1</f>
        <v>2</v>
      </c>
      <c r="D132" s="37">
        <f>B132/C132</f>
        <v>19385.152017949491</v>
      </c>
      <c r="E132" s="37">
        <f>D132/D134</f>
        <v>195.97999930238018</v>
      </c>
      <c r="F132" s="40">
        <f>_xlfn.F.DIST.RT(E132,C132,C134)</f>
        <v>1.6047898709087264E-33</v>
      </c>
      <c r="G132" s="36" t="str">
        <f>IF(F132&lt;0.05,"Significant (p &lt; 0.05)","Not significant (p ≥ 0.05)")</f>
        <v>Significant (p &lt; 0.05)</v>
      </c>
    </row>
    <row r="133" spans="1:7" x14ac:dyDescent="0.25">
      <c r="A133" s="39" t="s">
        <v>414</v>
      </c>
      <c r="B133" s="37">
        <f>B126</f>
        <v>1497.5175455528661</v>
      </c>
      <c r="C133" s="36">
        <f>(B114-1)*(B115-1)</f>
        <v>4</v>
      </c>
      <c r="D133" s="37">
        <f>B133/C133</f>
        <v>374.37938638821652</v>
      </c>
      <c r="E133" s="37">
        <f>D133/D134</f>
        <v>3.784900516397868</v>
      </c>
      <c r="F133" s="40">
        <f>_xlfn.F.DIST.RT(E133,C133,C134)</f>
        <v>6.8441146885678313E-3</v>
      </c>
      <c r="G133" s="36" t="str">
        <f>IF(F133&lt;0.05,"Significant (p &lt; 0.05)","Not significant (p ≥ 0.05)")</f>
        <v>Significant (p &lt; 0.05)</v>
      </c>
    </row>
    <row r="134" spans="1:7" x14ac:dyDescent="0.25">
      <c r="A134" s="36" t="s">
        <v>415</v>
      </c>
      <c r="B134" s="37">
        <f>B127</f>
        <v>8902.2537392889208</v>
      </c>
      <c r="C134" s="36">
        <f>B116-B114*B115</f>
        <v>90</v>
      </c>
      <c r="D134" s="37">
        <f>B134/C134</f>
        <v>98.913930436543566</v>
      </c>
      <c r="E134" s="36"/>
      <c r="F134" s="36"/>
      <c r="G134" s="36"/>
    </row>
    <row r="135" spans="1:7" x14ac:dyDescent="0.25">
      <c r="A135" s="36" t="s">
        <v>416</v>
      </c>
      <c r="B135" s="37">
        <f>B122</f>
        <v>55292.043102080803</v>
      </c>
      <c r="C135" s="36">
        <f>B116-1</f>
        <v>98</v>
      </c>
      <c r="D135" s="36"/>
      <c r="E135" s="36"/>
      <c r="F135" s="36"/>
      <c r="G135" s="36"/>
    </row>
    <row r="137" spans="1:7" ht="16.5" x14ac:dyDescent="0.25">
      <c r="A137" s="33" t="s">
        <v>365</v>
      </c>
    </row>
    <row r="139" spans="1:7" x14ac:dyDescent="0.25">
      <c r="A139" s="39" t="s">
        <v>417</v>
      </c>
    </row>
    <row r="140" spans="1:7" ht="153" x14ac:dyDescent="0.25">
      <c r="A140" s="39" t="s">
        <v>367</v>
      </c>
      <c r="B140" s="41" t="s">
        <v>418</v>
      </c>
    </row>
    <row r="141" spans="1:7" ht="76.5" x14ac:dyDescent="0.25">
      <c r="A141" s="39" t="s">
        <v>369</v>
      </c>
      <c r="B141" s="41" t="s">
        <v>419</v>
      </c>
    </row>
    <row r="142" spans="1:7" ht="102" x14ac:dyDescent="0.25">
      <c r="A142" s="39" t="s">
        <v>371</v>
      </c>
      <c r="B142" s="41" t="s">
        <v>420</v>
      </c>
    </row>
    <row r="143" spans="1:7" x14ac:dyDescent="0.25">
      <c r="A143" s="39" t="s">
        <v>373</v>
      </c>
      <c r="B143" s="41" t="s">
        <v>374</v>
      </c>
    </row>
    <row r="144" spans="1:7" x14ac:dyDescent="0.25">
      <c r="A144" s="39" t="s">
        <v>375</v>
      </c>
      <c r="B144" s="41" t="str">
        <f>C131&amp;", "&amp;C134</f>
        <v>2, 90</v>
      </c>
    </row>
    <row r="145" spans="1:2" x14ac:dyDescent="0.25">
      <c r="A145" s="39" t="s">
        <v>376</v>
      </c>
      <c r="B145" s="37">
        <f>E131</f>
        <v>30.945933269063001</v>
      </c>
    </row>
    <row r="146" spans="1:2" x14ac:dyDescent="0.25">
      <c r="A146" s="39" t="s">
        <v>361</v>
      </c>
      <c r="B146" s="40">
        <f>F131</f>
        <v>5.9137038153734346E-11</v>
      </c>
    </row>
    <row r="147" spans="1:2" ht="51" x14ac:dyDescent="0.25">
      <c r="A147" s="39" t="s">
        <v>377</v>
      </c>
      <c r="B147" s="41" t="s">
        <v>378</v>
      </c>
    </row>
    <row r="148" spans="1:2" ht="25.5" x14ac:dyDescent="0.25">
      <c r="A148" s="39" t="s">
        <v>379</v>
      </c>
      <c r="B148" s="41" t="str">
        <f>G131</f>
        <v>Significant (p &lt; 0.05)</v>
      </c>
    </row>
    <row r="150" spans="1:2" x14ac:dyDescent="0.25">
      <c r="A150" s="39" t="s">
        <v>421</v>
      </c>
    </row>
    <row r="151" spans="1:2" ht="165.75" x14ac:dyDescent="0.25">
      <c r="A151" s="39" t="s">
        <v>367</v>
      </c>
      <c r="B151" s="41" t="s">
        <v>422</v>
      </c>
    </row>
    <row r="152" spans="1:2" ht="76.5" x14ac:dyDescent="0.25">
      <c r="A152" s="39" t="s">
        <v>369</v>
      </c>
      <c r="B152" s="41" t="s">
        <v>423</v>
      </c>
    </row>
    <row r="153" spans="1:2" ht="102" x14ac:dyDescent="0.25">
      <c r="A153" s="39" t="s">
        <v>371</v>
      </c>
      <c r="B153" s="41" t="s">
        <v>420</v>
      </c>
    </row>
    <row r="154" spans="1:2" x14ac:dyDescent="0.25">
      <c r="A154" s="39" t="s">
        <v>373</v>
      </c>
      <c r="B154" s="41" t="s">
        <v>374</v>
      </c>
    </row>
    <row r="155" spans="1:2" x14ac:dyDescent="0.25">
      <c r="A155" s="39" t="s">
        <v>375</v>
      </c>
      <c r="B155" s="41" t="str">
        <f>C132&amp;", "&amp;C134</f>
        <v>2, 90</v>
      </c>
    </row>
    <row r="156" spans="1:2" x14ac:dyDescent="0.25">
      <c r="A156" s="39" t="s">
        <v>376</v>
      </c>
      <c r="B156" s="37">
        <f>E132</f>
        <v>195.97999930238018</v>
      </c>
    </row>
    <row r="157" spans="1:2" x14ac:dyDescent="0.25">
      <c r="A157" s="39" t="s">
        <v>361</v>
      </c>
      <c r="B157" s="40">
        <f>F132</f>
        <v>1.6047898709087264E-33</v>
      </c>
    </row>
    <row r="158" spans="1:2" ht="51" x14ac:dyDescent="0.25">
      <c r="A158" s="39" t="s">
        <v>377</v>
      </c>
      <c r="B158" s="41" t="s">
        <v>378</v>
      </c>
    </row>
    <row r="159" spans="1:2" ht="25.5" x14ac:dyDescent="0.25">
      <c r="A159" s="39" t="s">
        <v>379</v>
      </c>
      <c r="B159" s="41" t="str">
        <f>G132</f>
        <v>Significant (p &lt; 0.05)</v>
      </c>
    </row>
    <row r="161" spans="1:2" x14ac:dyDescent="0.25">
      <c r="A161" s="39" t="s">
        <v>424</v>
      </c>
    </row>
    <row r="162" spans="1:2" ht="178.5" x14ac:dyDescent="0.25">
      <c r="A162" s="39" t="s">
        <v>367</v>
      </c>
      <c r="B162" s="41" t="s">
        <v>425</v>
      </c>
    </row>
    <row r="163" spans="1:2" ht="127.5" x14ac:dyDescent="0.25">
      <c r="A163" s="39" t="s">
        <v>369</v>
      </c>
      <c r="B163" s="41" t="s">
        <v>426</v>
      </c>
    </row>
    <row r="164" spans="1:2" ht="114.75" x14ac:dyDescent="0.25">
      <c r="A164" s="39" t="s">
        <v>371</v>
      </c>
      <c r="B164" s="41" t="s">
        <v>427</v>
      </c>
    </row>
    <row r="165" spans="1:2" x14ac:dyDescent="0.25">
      <c r="A165" s="39" t="s">
        <v>373</v>
      </c>
      <c r="B165" s="41" t="s">
        <v>374</v>
      </c>
    </row>
    <row r="166" spans="1:2" x14ac:dyDescent="0.25">
      <c r="A166" s="39" t="s">
        <v>375</v>
      </c>
      <c r="B166" s="41" t="str">
        <f>C133&amp;", "&amp;C134</f>
        <v>4, 90</v>
      </c>
    </row>
    <row r="167" spans="1:2" x14ac:dyDescent="0.25">
      <c r="A167" s="39" t="s">
        <v>376</v>
      </c>
      <c r="B167" s="37">
        <f>E133</f>
        <v>3.784900516397868</v>
      </c>
    </row>
    <row r="168" spans="1:2" x14ac:dyDescent="0.25">
      <c r="A168" s="39" t="s">
        <v>361</v>
      </c>
      <c r="B168" s="40">
        <f>F133</f>
        <v>6.8441146885678313E-3</v>
      </c>
    </row>
    <row r="169" spans="1:2" ht="51" x14ac:dyDescent="0.25">
      <c r="A169" s="39" t="s">
        <v>377</v>
      </c>
      <c r="B169" s="41" t="s">
        <v>378</v>
      </c>
    </row>
    <row r="170" spans="1:2" ht="25.5" x14ac:dyDescent="0.25">
      <c r="A170" s="39" t="s">
        <v>379</v>
      </c>
      <c r="B170" s="41" t="str">
        <f>G133</f>
        <v>Significant (p &lt; 0.05)</v>
      </c>
    </row>
    <row r="171" spans="1:2" ht="168" x14ac:dyDescent="0.25">
      <c r="A171" s="34" t="s">
        <v>428</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README</vt:lpstr>
      <vt:lpstr>Raw Data</vt:lpstr>
      <vt:lpstr>Descriptive Stats</vt:lpstr>
      <vt:lpstr>Site Means</vt:lpstr>
      <vt:lpstr>Zone Means</vt:lpstr>
      <vt:lpstr>Group Means</vt:lpstr>
      <vt:lpstr>Statistics</vt:lpstr>
      <vt:lpstr>Diagnostic Ratios</vt:lpstr>
      <vt:lpstr>SQG</vt:lpstr>
      <vt:lpstr>Ecological Risk</vt:lpstr>
      <vt:lpstr>Parameters</vt:lpstr>
      <vt:lpstr>Toxicity</vt:lpstr>
      <vt:lpstr>Health Risk</vt:lpstr>
      <vt:lpstr>Kruskal-Wallis Test</vt:lpstr>
      <vt:lpstr>Two-Way ANOVA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Md. Ashikur Rahman</cp:lastModifiedBy>
  <cp:revision>0</cp:revision>
  <dcterms:created xsi:type="dcterms:W3CDTF">2026-09-18T02:19:17Z</dcterms:created>
  <dcterms:modified xsi:type="dcterms:W3CDTF">2026-09-22T03:08:43Z</dcterms:modified>
  <dc:language>en-US</dc:language>
</cp:coreProperties>
</file>