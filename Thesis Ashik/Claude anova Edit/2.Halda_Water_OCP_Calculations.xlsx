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X:\Fisheries\THESIS\Data New\Claude anova Edit\"/>
    </mc:Choice>
  </mc:AlternateContent>
  <xr:revisionPtr revIDLastSave="0" documentId="13_ncr:1_{AAD8E63D-9F4E-4218-B5AD-B1E8609C424C}" xr6:coauthVersionLast="47" xr6:coauthVersionMax="47" xr10:uidLastSave="{00000000-0000-0000-0000-000000000000}"/>
  <bookViews>
    <workbookView xWindow="-120" yWindow="-120" windowWidth="29040" windowHeight="15720" tabRatio="500" firstSheet="1" activeTab="1" xr2:uid="{00000000-000D-0000-FFFF-FFFF00000000}"/>
  </bookViews>
  <sheets>
    <sheet name="README" sheetId="1" r:id="rId1"/>
    <sheet name="Raw_Data" sheetId="2" r:id="rId2"/>
    <sheet name="Descriptive_Stats" sheetId="3" r:id="rId3"/>
    <sheet name="Zone_Site_Means" sheetId="4" r:id="rId4"/>
    <sheet name="Diagnostic_Ratios" sheetId="5" r:id="rId5"/>
    <sheet name="Parameters" sheetId="6" r:id="rId6"/>
    <sheet name="Health_Risk" sheetId="7" r:id="rId7"/>
    <sheet name="Health_Summary" sheetId="8" r:id="rId8"/>
    <sheet name="Eco_Risk" sheetId="9" r:id="rId9"/>
    <sheet name="Guideline_Comparison" sheetId="10" r:id="rId10"/>
    <sheet name="Statistics" sheetId="11" r:id="rId11"/>
    <sheet name="Kruskal-Wallis Test" sheetId="12" r:id="rId12"/>
    <sheet name="Two-Way ANOVA" sheetId="13" r:id="rId13"/>
  </sheets>
  <definedNames>
    <definedName name="_xlnm._FilterDatabase" localSheetId="6" hidden="1">Health_Risk!$A$4:$O$424</definedName>
  </definedNames>
  <calcPr calcId="181029"/>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V3" i="2" l="1"/>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2" i="2"/>
  <c r="U34" i="2"/>
  <c r="U3" i="2"/>
  <c r="U4" i="2"/>
  <c r="D73" i="13" s="1"/>
  <c r="U5" i="2"/>
  <c r="U6" i="2"/>
  <c r="U7" i="2"/>
  <c r="U8" i="2"/>
  <c r="U9" i="2"/>
  <c r="U10" i="2"/>
  <c r="U11" i="2"/>
  <c r="U12" i="2"/>
  <c r="U13" i="2"/>
  <c r="D82" i="13" s="1"/>
  <c r="U14" i="2"/>
  <c r="U15" i="2"/>
  <c r="U16" i="2"/>
  <c r="D85" i="13" s="1"/>
  <c r="U17" i="2"/>
  <c r="U18" i="2"/>
  <c r="U19" i="2"/>
  <c r="D88" i="13" s="1"/>
  <c r="U20" i="2"/>
  <c r="U21" i="2"/>
  <c r="U22" i="2"/>
  <c r="U23" i="2"/>
  <c r="U24" i="2"/>
  <c r="D93" i="13" s="1"/>
  <c r="U25" i="2"/>
  <c r="D94" i="13" s="1"/>
  <c r="U26" i="2"/>
  <c r="U27" i="2"/>
  <c r="U28" i="2"/>
  <c r="D97" i="13" s="1"/>
  <c r="U29" i="2"/>
  <c r="U30" i="2"/>
  <c r="U31" i="2"/>
  <c r="U32" i="2"/>
  <c r="U33" i="2"/>
  <c r="U2" i="2"/>
  <c r="C133" i="13"/>
  <c r="C132" i="13"/>
  <c r="C131" i="13"/>
  <c r="D111" i="13"/>
  <c r="C111" i="13"/>
  <c r="B111" i="13"/>
  <c r="B103" i="13"/>
  <c r="A103" i="13"/>
  <c r="B102" i="13"/>
  <c r="A102" i="13"/>
  <c r="B101" i="13"/>
  <c r="A101" i="13"/>
  <c r="B100" i="13"/>
  <c r="A100" i="13"/>
  <c r="B99" i="13"/>
  <c r="A99" i="13"/>
  <c r="B98" i="13"/>
  <c r="A98" i="13"/>
  <c r="B97" i="13"/>
  <c r="A97" i="13"/>
  <c r="B96" i="13"/>
  <c r="A96" i="13"/>
  <c r="B95" i="13"/>
  <c r="A95" i="13"/>
  <c r="B94" i="13"/>
  <c r="A94" i="13"/>
  <c r="B93" i="13"/>
  <c r="A93" i="13"/>
  <c r="B92" i="13"/>
  <c r="A92" i="13"/>
  <c r="B91" i="13"/>
  <c r="A91" i="13"/>
  <c r="B90" i="13"/>
  <c r="A90" i="13"/>
  <c r="B89" i="13"/>
  <c r="A89" i="13"/>
  <c r="B88" i="13"/>
  <c r="A88" i="13"/>
  <c r="B87" i="13"/>
  <c r="A87" i="13"/>
  <c r="B86" i="13"/>
  <c r="A86" i="13"/>
  <c r="B85" i="13"/>
  <c r="A85" i="13"/>
  <c r="B84" i="13"/>
  <c r="A84" i="13"/>
  <c r="B83" i="13"/>
  <c r="A83" i="13"/>
  <c r="B82" i="13"/>
  <c r="A82" i="13"/>
  <c r="B81" i="13"/>
  <c r="A81" i="13"/>
  <c r="B80" i="13"/>
  <c r="A80" i="13"/>
  <c r="B79" i="13"/>
  <c r="A79" i="13"/>
  <c r="B78" i="13"/>
  <c r="A78" i="13"/>
  <c r="B77" i="13"/>
  <c r="A77" i="13"/>
  <c r="B76" i="13"/>
  <c r="A76" i="13"/>
  <c r="B75" i="13"/>
  <c r="A75" i="13"/>
  <c r="B74" i="13"/>
  <c r="A74" i="13"/>
  <c r="B73" i="13"/>
  <c r="A73" i="13"/>
  <c r="B72" i="13"/>
  <c r="A72" i="13"/>
  <c r="B71" i="13"/>
  <c r="A71" i="13"/>
  <c r="B70" i="13"/>
  <c r="A70" i="13"/>
  <c r="B69" i="13"/>
  <c r="A69" i="13"/>
  <c r="B68" i="13"/>
  <c r="A68" i="13"/>
  <c r="B67" i="13"/>
  <c r="A67" i="13"/>
  <c r="B66" i="13"/>
  <c r="A66" i="13"/>
  <c r="B65" i="13"/>
  <c r="A65" i="13"/>
  <c r="B64" i="13"/>
  <c r="A64" i="13"/>
  <c r="B63" i="13"/>
  <c r="A63" i="13"/>
  <c r="B62" i="13"/>
  <c r="A62" i="13"/>
  <c r="B61" i="13"/>
  <c r="A61" i="13"/>
  <c r="B60" i="13"/>
  <c r="A60" i="13"/>
  <c r="B59" i="13"/>
  <c r="A59" i="13"/>
  <c r="B58" i="13"/>
  <c r="A58" i="13"/>
  <c r="B57" i="13"/>
  <c r="A57" i="13"/>
  <c r="B56" i="13"/>
  <c r="A56" i="13"/>
  <c r="B55" i="13"/>
  <c r="A55" i="13"/>
  <c r="B54" i="13"/>
  <c r="A54" i="13"/>
  <c r="B53" i="13"/>
  <c r="A53" i="13"/>
  <c r="B52" i="13"/>
  <c r="A52" i="13"/>
  <c r="B51" i="13"/>
  <c r="A51" i="13"/>
  <c r="B50" i="13"/>
  <c r="A50" i="13"/>
  <c r="B49" i="13"/>
  <c r="A49" i="13"/>
  <c r="B48" i="13"/>
  <c r="A48" i="13"/>
  <c r="B47" i="13"/>
  <c r="A47" i="13"/>
  <c r="B46" i="13"/>
  <c r="A46" i="13"/>
  <c r="B45" i="13"/>
  <c r="A45" i="13"/>
  <c r="B44" i="13"/>
  <c r="A44" i="13"/>
  <c r="B43" i="13"/>
  <c r="A43" i="13"/>
  <c r="B42" i="13"/>
  <c r="A42" i="13"/>
  <c r="B41" i="13"/>
  <c r="A41" i="13"/>
  <c r="B40" i="13"/>
  <c r="A40" i="13"/>
  <c r="B39" i="13"/>
  <c r="A39" i="13"/>
  <c r="B38" i="13"/>
  <c r="A38" i="13"/>
  <c r="B37" i="13"/>
  <c r="A37" i="13"/>
  <c r="B36" i="13"/>
  <c r="A36" i="13"/>
  <c r="B35" i="13"/>
  <c r="A35" i="13"/>
  <c r="B34" i="13"/>
  <c r="A34" i="13"/>
  <c r="B33" i="13"/>
  <c r="A33" i="13"/>
  <c r="B32" i="13"/>
  <c r="A32" i="13"/>
  <c r="B31" i="13"/>
  <c r="A31" i="13"/>
  <c r="B30" i="13"/>
  <c r="A30" i="13"/>
  <c r="B29" i="13"/>
  <c r="A29" i="13"/>
  <c r="B28" i="13"/>
  <c r="A28" i="13"/>
  <c r="B27" i="13"/>
  <c r="A27" i="13"/>
  <c r="B26" i="13"/>
  <c r="A26" i="13"/>
  <c r="B25" i="13"/>
  <c r="A25" i="13"/>
  <c r="B24" i="13"/>
  <c r="A24" i="13"/>
  <c r="B23" i="13"/>
  <c r="A23" i="13"/>
  <c r="B22" i="13"/>
  <c r="A22" i="13"/>
  <c r="B21" i="13"/>
  <c r="A21" i="13"/>
  <c r="B20" i="13"/>
  <c r="A20" i="13"/>
  <c r="B19" i="13"/>
  <c r="A19" i="13"/>
  <c r="B18" i="13"/>
  <c r="A18" i="13"/>
  <c r="B17" i="13"/>
  <c r="A17" i="13"/>
  <c r="B16" i="13"/>
  <c r="A16" i="13"/>
  <c r="B15" i="13"/>
  <c r="A15" i="13"/>
  <c r="B14" i="13"/>
  <c r="A14" i="13"/>
  <c r="B13" i="13"/>
  <c r="A13" i="13"/>
  <c r="B12" i="13"/>
  <c r="A12" i="13"/>
  <c r="B11" i="13"/>
  <c r="A11" i="13"/>
  <c r="B10" i="13"/>
  <c r="A10" i="13"/>
  <c r="B9" i="13"/>
  <c r="A9" i="13"/>
  <c r="B8" i="13"/>
  <c r="A8" i="13"/>
  <c r="B7" i="13"/>
  <c r="A7" i="13"/>
  <c r="B6" i="13"/>
  <c r="A6" i="13"/>
  <c r="B5" i="13"/>
  <c r="A5" i="13"/>
  <c r="C52" i="12"/>
  <c r="B63" i="12" s="1"/>
  <c r="B37" i="12"/>
  <c r="A37" i="12"/>
  <c r="B36" i="12"/>
  <c r="A36" i="12"/>
  <c r="B35" i="12"/>
  <c r="A35" i="12"/>
  <c r="B34" i="12"/>
  <c r="A34" i="12"/>
  <c r="B33" i="12"/>
  <c r="A33" i="12"/>
  <c r="B32" i="12"/>
  <c r="A32" i="12"/>
  <c r="B31" i="12"/>
  <c r="A31" i="12"/>
  <c r="B30" i="12"/>
  <c r="A30" i="12"/>
  <c r="B29" i="12"/>
  <c r="A29" i="12"/>
  <c r="B28" i="12"/>
  <c r="A28" i="12"/>
  <c r="B27" i="12"/>
  <c r="A27" i="12"/>
  <c r="B26" i="12"/>
  <c r="A26" i="12"/>
  <c r="B25" i="12"/>
  <c r="A25" i="12"/>
  <c r="B24" i="12"/>
  <c r="A24" i="12"/>
  <c r="B23" i="12"/>
  <c r="A23" i="12"/>
  <c r="B22" i="12"/>
  <c r="A22" i="12"/>
  <c r="B21" i="12"/>
  <c r="A21" i="12"/>
  <c r="B20" i="12"/>
  <c r="A20" i="12"/>
  <c r="B19" i="12"/>
  <c r="A19" i="12"/>
  <c r="B18" i="12"/>
  <c r="A18" i="12"/>
  <c r="B17" i="12"/>
  <c r="A17" i="12"/>
  <c r="B16" i="12"/>
  <c r="A16" i="12"/>
  <c r="B15" i="12"/>
  <c r="A15" i="12"/>
  <c r="B14" i="12"/>
  <c r="A14" i="12"/>
  <c r="B13" i="12"/>
  <c r="A13" i="12"/>
  <c r="B12" i="12"/>
  <c r="A12" i="12"/>
  <c r="B11" i="12"/>
  <c r="A11" i="12"/>
  <c r="B10" i="12"/>
  <c r="A10" i="12"/>
  <c r="B9" i="12"/>
  <c r="A9" i="12"/>
  <c r="B8" i="12"/>
  <c r="A8" i="12"/>
  <c r="B7" i="12"/>
  <c r="A7" i="12"/>
  <c r="B6" i="12"/>
  <c r="A6" i="12"/>
  <c r="B5" i="12"/>
  <c r="A5" i="12"/>
  <c r="O17" i="10"/>
  <c r="M17" i="10"/>
  <c r="N17" i="10" s="1"/>
  <c r="J17" i="10"/>
  <c r="G17" i="10"/>
  <c r="D17" i="10"/>
  <c r="M16" i="10"/>
  <c r="N16" i="10" s="1"/>
  <c r="J16" i="10"/>
  <c r="G16" i="10"/>
  <c r="D16" i="10"/>
  <c r="M15" i="10"/>
  <c r="J15" i="10"/>
  <c r="G15" i="10"/>
  <c r="D15" i="10"/>
  <c r="M14" i="10"/>
  <c r="J14" i="10"/>
  <c r="G14" i="10"/>
  <c r="F14" i="10"/>
  <c r="E14" i="10"/>
  <c r="D14" i="10"/>
  <c r="M13" i="10"/>
  <c r="O13" i="10" s="1"/>
  <c r="L13" i="10"/>
  <c r="K13" i="10"/>
  <c r="J13" i="10"/>
  <c r="G13" i="10"/>
  <c r="E13" i="10"/>
  <c r="D13" i="10"/>
  <c r="F13" i="10" s="1"/>
  <c r="M12" i="10"/>
  <c r="J12" i="10"/>
  <c r="G12" i="10"/>
  <c r="D12" i="10"/>
  <c r="F12" i="10" s="1"/>
  <c r="M11" i="10"/>
  <c r="L11" i="10"/>
  <c r="K11" i="10"/>
  <c r="J11" i="10"/>
  <c r="G11" i="10"/>
  <c r="F11" i="10"/>
  <c r="D11" i="10"/>
  <c r="E11" i="10" s="1"/>
  <c r="O10" i="10"/>
  <c r="M10" i="10"/>
  <c r="N10" i="10" s="1"/>
  <c r="J10" i="10"/>
  <c r="L10" i="10" s="1"/>
  <c r="G10" i="10"/>
  <c r="F10" i="10"/>
  <c r="D10" i="10"/>
  <c r="E10" i="10" s="1"/>
  <c r="M9" i="10"/>
  <c r="J9" i="10"/>
  <c r="L9" i="10" s="1"/>
  <c r="G9" i="10"/>
  <c r="D9" i="10"/>
  <c r="M8" i="10"/>
  <c r="K8" i="10"/>
  <c r="J8" i="10"/>
  <c r="L8" i="10" s="1"/>
  <c r="G8" i="10"/>
  <c r="D8" i="10"/>
  <c r="M7" i="10"/>
  <c r="J7" i="10"/>
  <c r="L7" i="10" s="1"/>
  <c r="G7" i="10"/>
  <c r="D7" i="10"/>
  <c r="M6" i="10"/>
  <c r="L6" i="10"/>
  <c r="K6" i="10"/>
  <c r="J6" i="10"/>
  <c r="G6" i="10"/>
  <c r="D6" i="10"/>
  <c r="M5" i="10"/>
  <c r="L5" i="10"/>
  <c r="K5" i="10"/>
  <c r="J5" i="10"/>
  <c r="G5" i="10"/>
  <c r="D5" i="10"/>
  <c r="M4" i="10"/>
  <c r="K4" i="10"/>
  <c r="J4" i="10"/>
  <c r="L4" i="10" s="1"/>
  <c r="G4" i="10"/>
  <c r="D4" i="10"/>
  <c r="D37" i="9"/>
  <c r="D36" i="9"/>
  <c r="D35" i="9"/>
  <c r="D34" i="9"/>
  <c r="D33" i="9"/>
  <c r="D32" i="9"/>
  <c r="D31" i="9"/>
  <c r="D30" i="9"/>
  <c r="D29" i="9"/>
  <c r="D28" i="9"/>
  <c r="D27" i="9"/>
  <c r="D26" i="9"/>
  <c r="D25" i="9"/>
  <c r="D24" i="9"/>
  <c r="F34" i="6"/>
  <c r="F33" i="6"/>
  <c r="F32" i="6"/>
  <c r="F31" i="6"/>
  <c r="F30" i="6"/>
  <c r="F29" i="6"/>
  <c r="F28" i="6"/>
  <c r="F27" i="6"/>
  <c r="F26" i="6"/>
  <c r="F25" i="6"/>
  <c r="F24" i="6"/>
  <c r="F23" i="6"/>
  <c r="F22" i="6"/>
  <c r="F21" i="6"/>
  <c r="D16" i="6"/>
  <c r="C16" i="6"/>
  <c r="D15" i="6"/>
  <c r="C15" i="6"/>
  <c r="AU18" i="4"/>
  <c r="AE19" i="9" s="1"/>
  <c r="AT18" i="4"/>
  <c r="AD19" i="9" s="1"/>
  <c r="AS18" i="4"/>
  <c r="AC19" i="9" s="1"/>
  <c r="AR18" i="4"/>
  <c r="AB19" i="9" s="1"/>
  <c r="AQ18" i="4"/>
  <c r="AA19" i="9" s="1"/>
  <c r="AP18" i="4"/>
  <c r="Z19" i="9" s="1"/>
  <c r="AO18" i="4"/>
  <c r="Y19" i="9" s="1"/>
  <c r="AN18" i="4"/>
  <c r="X19" i="9" s="1"/>
  <c r="AM18" i="4"/>
  <c r="W19" i="9" s="1"/>
  <c r="AL18" i="4"/>
  <c r="V19" i="9" s="1"/>
  <c r="AK18" i="4"/>
  <c r="U19" i="9" s="1"/>
  <c r="AJ18" i="4"/>
  <c r="T19" i="9" s="1"/>
  <c r="AI18" i="4"/>
  <c r="S19" i="9" s="1"/>
  <c r="AH18" i="4"/>
  <c r="R19" i="9" s="1"/>
  <c r="Q18" i="4"/>
  <c r="AF18" i="4" s="1"/>
  <c r="P18" i="4"/>
  <c r="O18" i="4"/>
  <c r="AD18" i="4" s="1"/>
  <c r="N18" i="4"/>
  <c r="AC18" i="4" s="1"/>
  <c r="M18" i="4"/>
  <c r="L18" i="4"/>
  <c r="K18" i="4"/>
  <c r="J18" i="4"/>
  <c r="I18" i="4"/>
  <c r="X18" i="4" s="1"/>
  <c r="H18" i="4"/>
  <c r="G18" i="4"/>
  <c r="V18" i="4" s="1"/>
  <c r="F18" i="4"/>
  <c r="E18" i="4"/>
  <c r="T18" i="4" s="1"/>
  <c r="D18" i="4"/>
  <c r="C18" i="4"/>
  <c r="AU17" i="4"/>
  <c r="AE18" i="9" s="1"/>
  <c r="AT17" i="4"/>
  <c r="AD18" i="9" s="1"/>
  <c r="AS17" i="4"/>
  <c r="AC18" i="9" s="1"/>
  <c r="AR17" i="4"/>
  <c r="AB18" i="9" s="1"/>
  <c r="AQ17" i="4"/>
  <c r="AA18" i="9" s="1"/>
  <c r="AP17" i="4"/>
  <c r="Z18" i="9" s="1"/>
  <c r="AO17" i="4"/>
  <c r="Y18" i="9" s="1"/>
  <c r="AN17" i="4"/>
  <c r="X18" i="9" s="1"/>
  <c r="AM17" i="4"/>
  <c r="W18" i="9" s="1"/>
  <c r="AL17" i="4"/>
  <c r="V18" i="9" s="1"/>
  <c r="AK17" i="4"/>
  <c r="U18" i="9" s="1"/>
  <c r="AJ17" i="4"/>
  <c r="T18" i="9" s="1"/>
  <c r="AI17" i="4"/>
  <c r="S18" i="9" s="1"/>
  <c r="AH17" i="4"/>
  <c r="R18" i="9" s="1"/>
  <c r="Q17" i="4"/>
  <c r="AF17" i="4" s="1"/>
  <c r="P17" i="4"/>
  <c r="AE17" i="4" s="1"/>
  <c r="O17" i="4"/>
  <c r="AD17" i="4" s="1"/>
  <c r="N17" i="4"/>
  <c r="M17" i="4"/>
  <c r="L17" i="4"/>
  <c r="K17" i="4"/>
  <c r="J17" i="4"/>
  <c r="I17" i="4"/>
  <c r="H17" i="4"/>
  <c r="G17" i="4"/>
  <c r="F17" i="4"/>
  <c r="E17" i="4"/>
  <c r="T17" i="4" s="1"/>
  <c r="D17" i="4"/>
  <c r="C17" i="4"/>
  <c r="AU16" i="4"/>
  <c r="AE17" i="9" s="1"/>
  <c r="AT16" i="4"/>
  <c r="AD17" i="9" s="1"/>
  <c r="AS16" i="4"/>
  <c r="AC17" i="9" s="1"/>
  <c r="AR16" i="4"/>
  <c r="AB17" i="9" s="1"/>
  <c r="AQ16" i="4"/>
  <c r="AA17" i="9" s="1"/>
  <c r="AP16" i="4"/>
  <c r="Z17" i="9" s="1"/>
  <c r="AO16" i="4"/>
  <c r="Y17" i="9" s="1"/>
  <c r="AN16" i="4"/>
  <c r="X17" i="9" s="1"/>
  <c r="AM16" i="4"/>
  <c r="W17" i="9" s="1"/>
  <c r="AL16" i="4"/>
  <c r="V17" i="9" s="1"/>
  <c r="AK16" i="4"/>
  <c r="U17" i="9" s="1"/>
  <c r="AJ16" i="4"/>
  <c r="T17" i="9" s="1"/>
  <c r="AI16" i="4"/>
  <c r="S17" i="9" s="1"/>
  <c r="AH16" i="4"/>
  <c r="R17" i="9" s="1"/>
  <c r="X16" i="4"/>
  <c r="Q16" i="4"/>
  <c r="P16" i="4"/>
  <c r="O16" i="4"/>
  <c r="AD16" i="4" s="1"/>
  <c r="N16" i="4"/>
  <c r="AC16" i="4" s="1"/>
  <c r="M16" i="4"/>
  <c r="AB16" i="4" s="1"/>
  <c r="L16" i="4"/>
  <c r="K16" i="4"/>
  <c r="Z16" i="4" s="1"/>
  <c r="J16" i="4"/>
  <c r="Y16" i="4" s="1"/>
  <c r="I16" i="4"/>
  <c r="H16" i="4"/>
  <c r="G16" i="4"/>
  <c r="F16" i="4"/>
  <c r="E16" i="4"/>
  <c r="D16" i="4"/>
  <c r="C16" i="4"/>
  <c r="AU15" i="4"/>
  <c r="AE16" i="9" s="1"/>
  <c r="AT15" i="4"/>
  <c r="AD16" i="9" s="1"/>
  <c r="AS15" i="4"/>
  <c r="AC16" i="9" s="1"/>
  <c r="AR15" i="4"/>
  <c r="AB16" i="9" s="1"/>
  <c r="AQ15" i="4"/>
  <c r="AA16" i="9" s="1"/>
  <c r="AP15" i="4"/>
  <c r="Z16" i="9" s="1"/>
  <c r="AO15" i="4"/>
  <c r="Y16" i="9" s="1"/>
  <c r="AN15" i="4"/>
  <c r="X16" i="9" s="1"/>
  <c r="AM15" i="4"/>
  <c r="W16" i="9" s="1"/>
  <c r="AL15" i="4"/>
  <c r="V16" i="9" s="1"/>
  <c r="AK15" i="4"/>
  <c r="U16" i="9" s="1"/>
  <c r="AJ15" i="4"/>
  <c r="T16" i="9" s="1"/>
  <c r="AI15" i="4"/>
  <c r="S16" i="9" s="1"/>
  <c r="AH15" i="4"/>
  <c r="R16" i="9" s="1"/>
  <c r="Q15" i="4"/>
  <c r="P15" i="4"/>
  <c r="O15" i="4"/>
  <c r="N15" i="4"/>
  <c r="M15" i="4"/>
  <c r="L15" i="4"/>
  <c r="K15" i="4"/>
  <c r="J15" i="4"/>
  <c r="I15" i="4"/>
  <c r="H15" i="4"/>
  <c r="G15" i="4"/>
  <c r="F15" i="4"/>
  <c r="E15" i="4"/>
  <c r="D15" i="4"/>
  <c r="C15" i="4"/>
  <c r="AU14" i="4"/>
  <c r="AE15" i="9" s="1"/>
  <c r="AT14" i="4"/>
  <c r="AD15" i="9" s="1"/>
  <c r="AS14" i="4"/>
  <c r="AC15" i="9" s="1"/>
  <c r="AR14" i="4"/>
  <c r="AB15" i="9" s="1"/>
  <c r="AQ14" i="4"/>
  <c r="AA15" i="9" s="1"/>
  <c r="AP14" i="4"/>
  <c r="Z15" i="9" s="1"/>
  <c r="AO14" i="4"/>
  <c r="Y15" i="9" s="1"/>
  <c r="AN14" i="4"/>
  <c r="X15" i="9" s="1"/>
  <c r="AM14" i="4"/>
  <c r="W15" i="9" s="1"/>
  <c r="AL14" i="4"/>
  <c r="V15" i="9" s="1"/>
  <c r="AK14" i="4"/>
  <c r="U15" i="9" s="1"/>
  <c r="AJ14" i="4"/>
  <c r="T15" i="9" s="1"/>
  <c r="AI14" i="4"/>
  <c r="S15" i="9" s="1"/>
  <c r="AH14" i="4"/>
  <c r="R15" i="9" s="1"/>
  <c r="Q14" i="4"/>
  <c r="AF14" i="4" s="1"/>
  <c r="P14" i="4"/>
  <c r="O14" i="4"/>
  <c r="N14" i="4"/>
  <c r="M14" i="4"/>
  <c r="L14" i="4"/>
  <c r="K14" i="4"/>
  <c r="Z14" i="4" s="1"/>
  <c r="J14" i="4"/>
  <c r="Y14" i="4" s="1"/>
  <c r="I14" i="4"/>
  <c r="H14" i="4"/>
  <c r="G14" i="4"/>
  <c r="V14" i="4" s="1"/>
  <c r="F14" i="4"/>
  <c r="U14" i="4" s="1"/>
  <c r="E14" i="4"/>
  <c r="T14" i="4" s="1"/>
  <c r="D14" i="4"/>
  <c r="C14" i="4"/>
  <c r="AU13" i="4"/>
  <c r="AE14" i="9" s="1"/>
  <c r="AT13" i="4"/>
  <c r="AD14" i="9" s="1"/>
  <c r="AS13" i="4"/>
  <c r="AC14" i="9" s="1"/>
  <c r="AR13" i="4"/>
  <c r="AB14" i="9" s="1"/>
  <c r="AQ13" i="4"/>
  <c r="AA14" i="9" s="1"/>
  <c r="AP13" i="4"/>
  <c r="Z14" i="9" s="1"/>
  <c r="AO13" i="4"/>
  <c r="Y14" i="9" s="1"/>
  <c r="AN13" i="4"/>
  <c r="X14" i="9" s="1"/>
  <c r="AM13" i="4"/>
  <c r="W14" i="9" s="1"/>
  <c r="AL13" i="4"/>
  <c r="V14" i="9" s="1"/>
  <c r="AK13" i="4"/>
  <c r="U14" i="9" s="1"/>
  <c r="AJ13" i="4"/>
  <c r="T14" i="9" s="1"/>
  <c r="AI13" i="4"/>
  <c r="S14" i="9" s="1"/>
  <c r="AH13" i="4"/>
  <c r="R14" i="9" s="1"/>
  <c r="AD13" i="4"/>
  <c r="Q13" i="4"/>
  <c r="AF13" i="4" s="1"/>
  <c r="P13" i="4"/>
  <c r="AE13" i="4" s="1"/>
  <c r="O13" i="4"/>
  <c r="N13" i="4"/>
  <c r="M13" i="4"/>
  <c r="L13" i="4"/>
  <c r="K13" i="4"/>
  <c r="J13" i="4"/>
  <c r="I13" i="4"/>
  <c r="X13" i="4" s="1"/>
  <c r="H13" i="4"/>
  <c r="G13" i="4"/>
  <c r="F13" i="4"/>
  <c r="E13" i="4"/>
  <c r="T13" i="4" s="1"/>
  <c r="D13" i="4"/>
  <c r="C13" i="4"/>
  <c r="AU12" i="4"/>
  <c r="AE13" i="9" s="1"/>
  <c r="AT12" i="4"/>
  <c r="AD13" i="9" s="1"/>
  <c r="AS12" i="4"/>
  <c r="AC13" i="9" s="1"/>
  <c r="AR12" i="4"/>
  <c r="AB13" i="9" s="1"/>
  <c r="AQ12" i="4"/>
  <c r="AA13" i="9" s="1"/>
  <c r="AP12" i="4"/>
  <c r="Z13" i="9" s="1"/>
  <c r="AO12" i="4"/>
  <c r="Y13" i="9" s="1"/>
  <c r="AN12" i="4"/>
  <c r="X13" i="9" s="1"/>
  <c r="AM12" i="4"/>
  <c r="W13" i="9" s="1"/>
  <c r="AL12" i="4"/>
  <c r="V13" i="9" s="1"/>
  <c r="AK12" i="4"/>
  <c r="U13" i="9" s="1"/>
  <c r="AJ12" i="4"/>
  <c r="T13" i="9" s="1"/>
  <c r="AI12" i="4"/>
  <c r="S13" i="9" s="1"/>
  <c r="AH12" i="4"/>
  <c r="R13" i="9" s="1"/>
  <c r="AC12" i="4"/>
  <c r="Q12" i="4"/>
  <c r="AF12" i="4" s="1"/>
  <c r="P12" i="4"/>
  <c r="O12" i="4"/>
  <c r="AD12" i="4" s="1"/>
  <c r="N12" i="4"/>
  <c r="M12" i="4"/>
  <c r="AB12" i="4" s="1"/>
  <c r="L12" i="4"/>
  <c r="K12" i="4"/>
  <c r="J12" i="4"/>
  <c r="I12" i="4"/>
  <c r="H12" i="4"/>
  <c r="G12" i="4"/>
  <c r="V12" i="4" s="1"/>
  <c r="F12" i="4"/>
  <c r="U12" i="4" s="1"/>
  <c r="E12" i="4"/>
  <c r="D12" i="4"/>
  <c r="C12" i="4"/>
  <c r="AU11" i="4"/>
  <c r="AE12" i="9" s="1"/>
  <c r="AT11" i="4"/>
  <c r="AD12" i="9" s="1"/>
  <c r="AS11" i="4"/>
  <c r="AC12" i="9" s="1"/>
  <c r="AR11" i="4"/>
  <c r="AB12" i="9" s="1"/>
  <c r="AQ11" i="4"/>
  <c r="AA12" i="9" s="1"/>
  <c r="AP11" i="4"/>
  <c r="Z12" i="9" s="1"/>
  <c r="AO11" i="4"/>
  <c r="Y12" i="9" s="1"/>
  <c r="AN11" i="4"/>
  <c r="X12" i="9" s="1"/>
  <c r="AM11" i="4"/>
  <c r="W12" i="9" s="1"/>
  <c r="AL11" i="4"/>
  <c r="V12" i="9" s="1"/>
  <c r="AK11" i="4"/>
  <c r="U12" i="9" s="1"/>
  <c r="AJ11" i="4"/>
  <c r="T12" i="9" s="1"/>
  <c r="AI11" i="4"/>
  <c r="S12" i="9" s="1"/>
  <c r="AH11" i="4"/>
  <c r="R12" i="9" s="1"/>
  <c r="AD11" i="4"/>
  <c r="Q11" i="4"/>
  <c r="P11" i="4"/>
  <c r="O11" i="4"/>
  <c r="N11" i="4"/>
  <c r="M11" i="4"/>
  <c r="L11" i="4"/>
  <c r="AA11" i="4" s="1"/>
  <c r="K11" i="4"/>
  <c r="J11" i="4"/>
  <c r="I11" i="4"/>
  <c r="H11" i="4"/>
  <c r="G11" i="4"/>
  <c r="F11" i="4"/>
  <c r="E11" i="4"/>
  <c r="D11" i="4"/>
  <c r="C11" i="4"/>
  <c r="AU10" i="4"/>
  <c r="AE11" i="9" s="1"/>
  <c r="AT10" i="4"/>
  <c r="AD11" i="9" s="1"/>
  <c r="AS10" i="4"/>
  <c r="AC11" i="9" s="1"/>
  <c r="AR10" i="4"/>
  <c r="AB11" i="9" s="1"/>
  <c r="AQ10" i="4"/>
  <c r="AA11" i="9" s="1"/>
  <c r="AP10" i="4"/>
  <c r="Z11" i="9" s="1"/>
  <c r="AO10" i="4"/>
  <c r="Y11" i="9" s="1"/>
  <c r="AN10" i="4"/>
  <c r="X11" i="9" s="1"/>
  <c r="AM10" i="4"/>
  <c r="W11" i="9" s="1"/>
  <c r="AL10" i="4"/>
  <c r="V11" i="9" s="1"/>
  <c r="AK10" i="4"/>
  <c r="U11" i="9" s="1"/>
  <c r="AJ10" i="4"/>
  <c r="T11" i="9" s="1"/>
  <c r="AI10" i="4"/>
  <c r="S11" i="9" s="1"/>
  <c r="AH10" i="4"/>
  <c r="R11" i="9" s="1"/>
  <c r="AD10" i="4"/>
  <c r="Q10" i="4"/>
  <c r="P10" i="4"/>
  <c r="O10" i="4"/>
  <c r="N10" i="4"/>
  <c r="AC10" i="4" s="1"/>
  <c r="M10" i="4"/>
  <c r="L10" i="4"/>
  <c r="K10" i="4"/>
  <c r="Z10" i="4" s="1"/>
  <c r="J10" i="4"/>
  <c r="Y10" i="4" s="1"/>
  <c r="I10" i="4"/>
  <c r="X10" i="4" s="1"/>
  <c r="H10" i="4"/>
  <c r="G10" i="4"/>
  <c r="F10" i="4"/>
  <c r="E10" i="4"/>
  <c r="D10" i="4"/>
  <c r="C10" i="4"/>
  <c r="AU9" i="4"/>
  <c r="AE10" i="9" s="1"/>
  <c r="AT9" i="4"/>
  <c r="AD10" i="9" s="1"/>
  <c r="AS9" i="4"/>
  <c r="AC10" i="9" s="1"/>
  <c r="AR9" i="4"/>
  <c r="AB10" i="9" s="1"/>
  <c r="AQ9" i="4"/>
  <c r="AA10" i="9" s="1"/>
  <c r="AP9" i="4"/>
  <c r="Z10" i="9" s="1"/>
  <c r="AO9" i="4"/>
  <c r="Y10" i="9" s="1"/>
  <c r="AN9" i="4"/>
  <c r="X10" i="9" s="1"/>
  <c r="AM9" i="4"/>
  <c r="W10" i="9" s="1"/>
  <c r="AL9" i="4"/>
  <c r="V10" i="9" s="1"/>
  <c r="AK9" i="4"/>
  <c r="U10" i="9" s="1"/>
  <c r="AJ9" i="4"/>
  <c r="T10" i="9" s="1"/>
  <c r="AI9" i="4"/>
  <c r="S10" i="9" s="1"/>
  <c r="AH9" i="4"/>
  <c r="R10" i="9" s="1"/>
  <c r="Q9" i="4"/>
  <c r="P9" i="4"/>
  <c r="O9" i="4"/>
  <c r="N9" i="4"/>
  <c r="M9" i="4"/>
  <c r="D168" i="7" s="1"/>
  <c r="E168" i="7" s="1"/>
  <c r="L9" i="4"/>
  <c r="K9" i="4"/>
  <c r="J9" i="4"/>
  <c r="I9" i="4"/>
  <c r="H9" i="4"/>
  <c r="G9" i="4"/>
  <c r="F9" i="4"/>
  <c r="E9" i="4"/>
  <c r="D9" i="4"/>
  <c r="C9" i="4"/>
  <c r="AU8" i="4"/>
  <c r="AE9" i="9" s="1"/>
  <c r="AT8" i="4"/>
  <c r="AD9" i="9" s="1"/>
  <c r="AS8" i="4"/>
  <c r="AC9" i="9" s="1"/>
  <c r="AR8" i="4"/>
  <c r="AB9" i="9" s="1"/>
  <c r="AQ8" i="4"/>
  <c r="AA9" i="9" s="1"/>
  <c r="AP8" i="4"/>
  <c r="Z9" i="9" s="1"/>
  <c r="AO8" i="4"/>
  <c r="Y9" i="9" s="1"/>
  <c r="AN8" i="4"/>
  <c r="X9" i="9" s="1"/>
  <c r="AM8" i="4"/>
  <c r="W9" i="9" s="1"/>
  <c r="AL8" i="4"/>
  <c r="V9" i="9" s="1"/>
  <c r="AK8" i="4"/>
  <c r="U9" i="9" s="1"/>
  <c r="AJ8" i="4"/>
  <c r="T9" i="9" s="1"/>
  <c r="AI8" i="4"/>
  <c r="S9" i="9" s="1"/>
  <c r="AH8" i="4"/>
  <c r="R9" i="9" s="1"/>
  <c r="Q8" i="4"/>
  <c r="AF8" i="4" s="1"/>
  <c r="P8" i="4"/>
  <c r="O8" i="4"/>
  <c r="N8" i="4"/>
  <c r="M8" i="4"/>
  <c r="L8" i="4"/>
  <c r="K8" i="4"/>
  <c r="Z8" i="4" s="1"/>
  <c r="J8" i="4"/>
  <c r="I8" i="4"/>
  <c r="H8" i="4"/>
  <c r="G8" i="4"/>
  <c r="V8" i="4" s="1"/>
  <c r="F8" i="4"/>
  <c r="U8" i="4" s="1"/>
  <c r="E8" i="4"/>
  <c r="T8" i="4" s="1"/>
  <c r="D8" i="4"/>
  <c r="C8" i="4"/>
  <c r="AU7" i="4"/>
  <c r="AE8" i="9" s="1"/>
  <c r="AT7" i="4"/>
  <c r="AD8" i="9" s="1"/>
  <c r="AS7" i="4"/>
  <c r="AC8" i="9" s="1"/>
  <c r="AR7" i="4"/>
  <c r="AB8" i="9" s="1"/>
  <c r="AQ7" i="4"/>
  <c r="AA8" i="9" s="1"/>
  <c r="AP7" i="4"/>
  <c r="Z8" i="9" s="1"/>
  <c r="AO7" i="4"/>
  <c r="Y8" i="9" s="1"/>
  <c r="AN7" i="4"/>
  <c r="X8" i="9" s="1"/>
  <c r="AM7" i="4"/>
  <c r="W8" i="9" s="1"/>
  <c r="AL7" i="4"/>
  <c r="V8" i="9" s="1"/>
  <c r="AK7" i="4"/>
  <c r="U8" i="9" s="1"/>
  <c r="AJ7" i="4"/>
  <c r="T8" i="9" s="1"/>
  <c r="AI7" i="4"/>
  <c r="S8" i="9" s="1"/>
  <c r="AH7" i="4"/>
  <c r="R8" i="9" s="1"/>
  <c r="Q7" i="4"/>
  <c r="AF7" i="4" s="1"/>
  <c r="P7" i="4"/>
  <c r="AE7" i="4" s="1"/>
  <c r="O7" i="4"/>
  <c r="AD7" i="4" s="1"/>
  <c r="N7" i="4"/>
  <c r="M7" i="4"/>
  <c r="L7" i="4"/>
  <c r="K7" i="4"/>
  <c r="J7" i="4"/>
  <c r="I7" i="4"/>
  <c r="X7" i="4" s="1"/>
  <c r="H7" i="4"/>
  <c r="G7" i="4"/>
  <c r="V7" i="4" s="1"/>
  <c r="F7" i="4"/>
  <c r="E7" i="4"/>
  <c r="T7" i="4" s="1"/>
  <c r="D7" i="4"/>
  <c r="D89" i="7" s="1"/>
  <c r="E89" i="7" s="1"/>
  <c r="C7" i="4"/>
  <c r="AU6" i="4"/>
  <c r="AE7" i="9" s="1"/>
  <c r="AT6" i="4"/>
  <c r="AD7" i="9" s="1"/>
  <c r="AS6" i="4"/>
  <c r="AC7" i="9" s="1"/>
  <c r="AR6" i="4"/>
  <c r="AB7" i="9" s="1"/>
  <c r="AQ6" i="4"/>
  <c r="AA7" i="9" s="1"/>
  <c r="AP6" i="4"/>
  <c r="Z7" i="9" s="1"/>
  <c r="AO6" i="4"/>
  <c r="Y7" i="9" s="1"/>
  <c r="AN6" i="4"/>
  <c r="X7" i="9" s="1"/>
  <c r="AM6" i="4"/>
  <c r="W7" i="9" s="1"/>
  <c r="AL6" i="4"/>
  <c r="V7" i="9" s="1"/>
  <c r="AK6" i="4"/>
  <c r="U7" i="9" s="1"/>
  <c r="AJ6" i="4"/>
  <c r="T7" i="9" s="1"/>
  <c r="AI6" i="4"/>
  <c r="S7" i="9" s="1"/>
  <c r="AH6" i="4"/>
  <c r="R7" i="9" s="1"/>
  <c r="AB6" i="4"/>
  <c r="Q6" i="4"/>
  <c r="AF6" i="4" s="1"/>
  <c r="P6" i="4"/>
  <c r="AE6" i="4" s="1"/>
  <c r="O6" i="4"/>
  <c r="AD6" i="4" s="1"/>
  <c r="N6" i="4"/>
  <c r="AC6" i="4" s="1"/>
  <c r="M6" i="4"/>
  <c r="L6" i="4"/>
  <c r="K6" i="4"/>
  <c r="J6" i="4"/>
  <c r="I6" i="4"/>
  <c r="X6" i="4" s="1"/>
  <c r="H6" i="4"/>
  <c r="G6" i="4"/>
  <c r="V6" i="4" s="1"/>
  <c r="F6" i="4"/>
  <c r="E6" i="4"/>
  <c r="D6" i="4"/>
  <c r="S6" i="4" s="1"/>
  <c r="C6" i="4"/>
  <c r="AU5" i="4"/>
  <c r="AE6" i="9" s="1"/>
  <c r="AT5" i="4"/>
  <c r="AD6" i="9" s="1"/>
  <c r="AS5" i="4"/>
  <c r="AC6" i="9" s="1"/>
  <c r="AR5" i="4"/>
  <c r="AB6" i="9" s="1"/>
  <c r="AQ5" i="4"/>
  <c r="AA6" i="9" s="1"/>
  <c r="AP5" i="4"/>
  <c r="Z6" i="9" s="1"/>
  <c r="AO5" i="4"/>
  <c r="Y6" i="9" s="1"/>
  <c r="AN5" i="4"/>
  <c r="X6" i="9" s="1"/>
  <c r="AM5" i="4"/>
  <c r="W6" i="9" s="1"/>
  <c r="AL5" i="4"/>
  <c r="V6" i="9" s="1"/>
  <c r="AK5" i="4"/>
  <c r="U6" i="9" s="1"/>
  <c r="AJ5" i="4"/>
  <c r="T6" i="9" s="1"/>
  <c r="AI5" i="4"/>
  <c r="S6" i="9" s="1"/>
  <c r="AH5" i="4"/>
  <c r="R6" i="9" s="1"/>
  <c r="Q5" i="4"/>
  <c r="P5" i="4"/>
  <c r="O5" i="4"/>
  <c r="N5" i="4"/>
  <c r="AC5" i="4" s="1"/>
  <c r="M5" i="4"/>
  <c r="L5" i="4"/>
  <c r="K5" i="4"/>
  <c r="J5" i="4"/>
  <c r="I5" i="4"/>
  <c r="H5" i="4"/>
  <c r="G5" i="4"/>
  <c r="F5" i="4"/>
  <c r="E5" i="4"/>
  <c r="D5" i="4"/>
  <c r="C5" i="4"/>
  <c r="AU4" i="4"/>
  <c r="AT4" i="4"/>
  <c r="AS4" i="4"/>
  <c r="AR4" i="4"/>
  <c r="AQ4" i="4"/>
  <c r="AP4" i="4"/>
  <c r="AO4" i="4"/>
  <c r="AN4" i="4"/>
  <c r="AM4" i="4"/>
  <c r="AL4" i="4"/>
  <c r="AK4" i="4"/>
  <c r="AJ4" i="4"/>
  <c r="AI4" i="4"/>
  <c r="AH4" i="4"/>
  <c r="AF4" i="4"/>
  <c r="AE4" i="4"/>
  <c r="AD4" i="4"/>
  <c r="AC4" i="4"/>
  <c r="AB4" i="4"/>
  <c r="AA4" i="4"/>
  <c r="Z4" i="4"/>
  <c r="Y4" i="4"/>
  <c r="X4" i="4"/>
  <c r="W4" i="4"/>
  <c r="V4" i="4"/>
  <c r="U4" i="4"/>
  <c r="T4" i="4"/>
  <c r="S4" i="4"/>
  <c r="Q4" i="4"/>
  <c r="P4" i="4"/>
  <c r="O4" i="4"/>
  <c r="N4" i="4"/>
  <c r="M4" i="4"/>
  <c r="L4" i="4"/>
  <c r="K4" i="4"/>
  <c r="J4" i="4"/>
  <c r="I4" i="4"/>
  <c r="D10" i="7" s="1"/>
  <c r="E10" i="7" s="1"/>
  <c r="H4" i="4"/>
  <c r="G4" i="4"/>
  <c r="F4" i="4"/>
  <c r="E4" i="4"/>
  <c r="D4" i="4"/>
  <c r="G17" i="3"/>
  <c r="F17" i="3"/>
  <c r="E17" i="3"/>
  <c r="D17" i="3"/>
  <c r="C17" i="3"/>
  <c r="B17" i="3"/>
  <c r="G16" i="3"/>
  <c r="H16" i="3" s="1"/>
  <c r="F16" i="3"/>
  <c r="E16" i="3"/>
  <c r="J16" i="3" s="1"/>
  <c r="D16" i="3"/>
  <c r="C16" i="3"/>
  <c r="B16" i="3"/>
  <c r="G15" i="3"/>
  <c r="F15" i="3"/>
  <c r="E15" i="3"/>
  <c r="D15" i="3"/>
  <c r="C15" i="3"/>
  <c r="B15" i="3"/>
  <c r="G14" i="3"/>
  <c r="F14" i="3"/>
  <c r="E14" i="3"/>
  <c r="D14" i="3"/>
  <c r="C14" i="3"/>
  <c r="B14" i="3"/>
  <c r="G13" i="3"/>
  <c r="H13" i="3" s="1"/>
  <c r="F13" i="3"/>
  <c r="E13" i="3"/>
  <c r="D13" i="3"/>
  <c r="C13" i="3"/>
  <c r="B13" i="3"/>
  <c r="G12" i="3"/>
  <c r="F12" i="3"/>
  <c r="E12" i="3"/>
  <c r="D12" i="3"/>
  <c r="C12" i="3"/>
  <c r="B12" i="3"/>
  <c r="G11" i="3"/>
  <c r="F11" i="3"/>
  <c r="E11" i="3"/>
  <c r="D11" i="3"/>
  <c r="C11" i="3"/>
  <c r="B11" i="3"/>
  <c r="G10" i="3"/>
  <c r="F10" i="3"/>
  <c r="E10" i="3"/>
  <c r="D10" i="3"/>
  <c r="C10" i="3"/>
  <c r="B10" i="3"/>
  <c r="G9" i="3"/>
  <c r="F9" i="3"/>
  <c r="E9" i="3"/>
  <c r="D9" i="3"/>
  <c r="C9" i="3"/>
  <c r="B9" i="3"/>
  <c r="G8" i="3"/>
  <c r="F8" i="3"/>
  <c r="E8" i="3"/>
  <c r="D8" i="3"/>
  <c r="C8" i="3"/>
  <c r="B8" i="3"/>
  <c r="G7" i="3"/>
  <c r="H7" i="3" s="1"/>
  <c r="F7" i="3"/>
  <c r="E7" i="3"/>
  <c r="D7" i="3"/>
  <c r="C7" i="3"/>
  <c r="B7" i="3"/>
  <c r="G6" i="3"/>
  <c r="F6" i="3"/>
  <c r="E6" i="3"/>
  <c r="D6" i="3"/>
  <c r="C6" i="3"/>
  <c r="B6" i="3"/>
  <c r="G5" i="3"/>
  <c r="F5" i="3"/>
  <c r="E5" i="3"/>
  <c r="D5" i="3"/>
  <c r="C5" i="3"/>
  <c r="B5" i="3"/>
  <c r="G4" i="3"/>
  <c r="F4" i="3"/>
  <c r="E4" i="3"/>
  <c r="J4" i="3" s="1"/>
  <c r="D4" i="3"/>
  <c r="C4" i="3"/>
  <c r="B4" i="3"/>
  <c r="D103" i="13"/>
  <c r="T34" i="2"/>
  <c r="D70" i="13" s="1"/>
  <c r="S34" i="2"/>
  <c r="D37" i="13" s="1"/>
  <c r="R34" i="2"/>
  <c r="C37" i="12" s="1"/>
  <c r="D102" i="13"/>
  <c r="T33" i="2"/>
  <c r="D69" i="13" s="1"/>
  <c r="S33" i="2"/>
  <c r="D36" i="13" s="1"/>
  <c r="R33" i="2"/>
  <c r="C36" i="12" s="1"/>
  <c r="D101" i="13"/>
  <c r="T32" i="2"/>
  <c r="D68" i="13" s="1"/>
  <c r="S32" i="2"/>
  <c r="D35" i="13" s="1"/>
  <c r="R32" i="2"/>
  <c r="D100" i="13"/>
  <c r="T31" i="2"/>
  <c r="D67" i="13" s="1"/>
  <c r="S31" i="2"/>
  <c r="D34" i="13" s="1"/>
  <c r="R31" i="2"/>
  <c r="C34" i="12" s="1"/>
  <c r="D99" i="13"/>
  <c r="T30" i="2"/>
  <c r="D66" i="13" s="1"/>
  <c r="S30" i="2"/>
  <c r="D33" i="13" s="1"/>
  <c r="R30" i="2"/>
  <c r="C33" i="12" s="1"/>
  <c r="D98" i="13"/>
  <c r="T29" i="2"/>
  <c r="D65" i="13" s="1"/>
  <c r="S29" i="2"/>
  <c r="D32" i="13" s="1"/>
  <c r="R29" i="2"/>
  <c r="C32" i="12" s="1"/>
  <c r="T28" i="2"/>
  <c r="D64" i="13" s="1"/>
  <c r="S28" i="2"/>
  <c r="D31" i="13" s="1"/>
  <c r="R28" i="2"/>
  <c r="C31" i="12" s="1"/>
  <c r="D96" i="13"/>
  <c r="T27" i="2"/>
  <c r="D63" i="13" s="1"/>
  <c r="S27" i="2"/>
  <c r="D30" i="13" s="1"/>
  <c r="R27" i="2"/>
  <c r="C30" i="12" s="1"/>
  <c r="D95" i="13"/>
  <c r="T26" i="2"/>
  <c r="D62" i="13" s="1"/>
  <c r="S26" i="2"/>
  <c r="D29" i="13" s="1"/>
  <c r="R26" i="2"/>
  <c r="C29" i="12" s="1"/>
  <c r="T25" i="2"/>
  <c r="D61" i="13" s="1"/>
  <c r="S25" i="2"/>
  <c r="D28" i="13" s="1"/>
  <c r="R25" i="2"/>
  <c r="C28" i="12" s="1"/>
  <c r="T24" i="2"/>
  <c r="D60" i="13" s="1"/>
  <c r="S24" i="2"/>
  <c r="D27" i="13" s="1"/>
  <c r="R24" i="2"/>
  <c r="C27" i="12" s="1"/>
  <c r="D92" i="13"/>
  <c r="T23" i="2"/>
  <c r="D59" i="13" s="1"/>
  <c r="S23" i="2"/>
  <c r="D26" i="13" s="1"/>
  <c r="R23" i="2"/>
  <c r="D91" i="13"/>
  <c r="T22" i="2"/>
  <c r="D58" i="13" s="1"/>
  <c r="S22" i="2"/>
  <c r="D25" i="13" s="1"/>
  <c r="R22" i="2"/>
  <c r="C25" i="12" s="1"/>
  <c r="D90" i="13"/>
  <c r="T21" i="2"/>
  <c r="D57" i="13" s="1"/>
  <c r="S21" i="2"/>
  <c r="D24" i="13" s="1"/>
  <c r="R21" i="2"/>
  <c r="C24" i="12" s="1"/>
  <c r="D89" i="13"/>
  <c r="T20" i="2"/>
  <c r="D56" i="13" s="1"/>
  <c r="S20" i="2"/>
  <c r="D23" i="13" s="1"/>
  <c r="R20" i="2"/>
  <c r="T19" i="2"/>
  <c r="D55" i="13" s="1"/>
  <c r="S19" i="2"/>
  <c r="D22" i="13" s="1"/>
  <c r="R19" i="2"/>
  <c r="C22" i="12" s="1"/>
  <c r="D87" i="13"/>
  <c r="T18" i="2"/>
  <c r="D54" i="13" s="1"/>
  <c r="S18" i="2"/>
  <c r="D21" i="13" s="1"/>
  <c r="R18" i="2"/>
  <c r="C21" i="12" s="1"/>
  <c r="D86" i="13"/>
  <c r="T17" i="2"/>
  <c r="D53" i="13" s="1"/>
  <c r="S17" i="2"/>
  <c r="D20" i="13" s="1"/>
  <c r="R17" i="2"/>
  <c r="C20" i="12" s="1"/>
  <c r="T16" i="2"/>
  <c r="D52" i="13" s="1"/>
  <c r="S16" i="2"/>
  <c r="D19" i="13" s="1"/>
  <c r="R16" i="2"/>
  <c r="C19" i="12" s="1"/>
  <c r="D84" i="13"/>
  <c r="T15" i="2"/>
  <c r="D51" i="13" s="1"/>
  <c r="S15" i="2"/>
  <c r="D18" i="13" s="1"/>
  <c r="R15" i="2"/>
  <c r="C18" i="12" s="1"/>
  <c r="D83" i="13"/>
  <c r="T14" i="2"/>
  <c r="D50" i="13" s="1"/>
  <c r="S14" i="2"/>
  <c r="D17" i="13" s="1"/>
  <c r="R14" i="2"/>
  <c r="C17" i="12" s="1"/>
  <c r="T13" i="2"/>
  <c r="D49" i="13" s="1"/>
  <c r="S13" i="2"/>
  <c r="D16" i="13" s="1"/>
  <c r="R13" i="2"/>
  <c r="C16" i="12" s="1"/>
  <c r="D81" i="13"/>
  <c r="T12" i="2"/>
  <c r="D48" i="13" s="1"/>
  <c r="S12" i="2"/>
  <c r="D15" i="13" s="1"/>
  <c r="R12" i="2"/>
  <c r="C15" i="12" s="1"/>
  <c r="D80" i="13"/>
  <c r="T11" i="2"/>
  <c r="D47" i="13" s="1"/>
  <c r="S11" i="2"/>
  <c r="D14" i="13" s="1"/>
  <c r="R11" i="2"/>
  <c r="C14" i="12" s="1"/>
  <c r="D79" i="13"/>
  <c r="T10" i="2"/>
  <c r="D46" i="13" s="1"/>
  <c r="S10" i="2"/>
  <c r="D13" i="13" s="1"/>
  <c r="R10" i="2"/>
  <c r="C13" i="12" s="1"/>
  <c r="D78" i="13"/>
  <c r="T9" i="2"/>
  <c r="D45" i="13" s="1"/>
  <c r="S9" i="2"/>
  <c r="D12" i="13" s="1"/>
  <c r="R9" i="2"/>
  <c r="C12" i="12" s="1"/>
  <c r="D77" i="13"/>
  <c r="T8" i="2"/>
  <c r="D44" i="13" s="1"/>
  <c r="S8" i="2"/>
  <c r="D11" i="13" s="1"/>
  <c r="R8" i="2"/>
  <c r="C11" i="12" s="1"/>
  <c r="D76" i="13"/>
  <c r="T7" i="2"/>
  <c r="D43" i="13" s="1"/>
  <c r="S7" i="2"/>
  <c r="D10" i="13" s="1"/>
  <c r="R7" i="2"/>
  <c r="C10" i="12" s="1"/>
  <c r="D75" i="13"/>
  <c r="T6" i="2"/>
  <c r="D42" i="13" s="1"/>
  <c r="S6" i="2"/>
  <c r="D9" i="13" s="1"/>
  <c r="R6" i="2"/>
  <c r="C9" i="12" s="1"/>
  <c r="D74" i="13"/>
  <c r="T5" i="2"/>
  <c r="D41" i="13" s="1"/>
  <c r="S5" i="2"/>
  <c r="D8" i="13" s="1"/>
  <c r="R5" i="2"/>
  <c r="T4" i="2"/>
  <c r="D40" i="13" s="1"/>
  <c r="S4" i="2"/>
  <c r="D7" i="13" s="1"/>
  <c r="R4" i="2"/>
  <c r="C7" i="12" s="1"/>
  <c r="D72" i="13"/>
  <c r="T3" i="2"/>
  <c r="D39" i="13" s="1"/>
  <c r="S3" i="2"/>
  <c r="D6" i="13" s="1"/>
  <c r="R3" i="2"/>
  <c r="C6" i="12" s="1"/>
  <c r="D71" i="13"/>
  <c r="T2" i="2"/>
  <c r="S2" i="2"/>
  <c r="D5" i="13" s="1"/>
  <c r="R2" i="2"/>
  <c r="J12" i="3" l="1"/>
  <c r="J8" i="3"/>
  <c r="I4" i="3"/>
  <c r="D10" i="5"/>
  <c r="B13" i="5"/>
  <c r="X9" i="4"/>
  <c r="S7" i="4"/>
  <c r="J15" i="3"/>
  <c r="J11" i="3"/>
  <c r="H8" i="3"/>
  <c r="H12" i="3"/>
  <c r="I12" i="3"/>
  <c r="I16" i="3"/>
  <c r="Z11" i="4"/>
  <c r="AB15" i="4"/>
  <c r="AB17" i="4"/>
  <c r="B25" i="3"/>
  <c r="C25" i="3" s="1"/>
  <c r="H4" i="3"/>
  <c r="J14" i="3"/>
  <c r="H11" i="3"/>
  <c r="B14" i="5"/>
  <c r="R7" i="4"/>
  <c r="AG7" i="4" s="1"/>
  <c r="C14" i="5"/>
  <c r="AV10" i="4"/>
  <c r="H14" i="3"/>
  <c r="F18" i="3"/>
  <c r="R5" i="4"/>
  <c r="I11" i="3"/>
  <c r="C4" i="4"/>
  <c r="B9" i="5"/>
  <c r="AV7" i="4"/>
  <c r="R13" i="4"/>
  <c r="AG13" i="4" s="1"/>
  <c r="I6" i="3"/>
  <c r="R4" i="4"/>
  <c r="S13" i="4"/>
  <c r="H5" i="3"/>
  <c r="I8" i="3"/>
  <c r="AB9" i="4"/>
  <c r="U18" i="4"/>
  <c r="I10" i="3"/>
  <c r="R6" i="4"/>
  <c r="AG6" i="4" s="1"/>
  <c r="S17" i="4"/>
  <c r="D14" i="5"/>
  <c r="G14" i="5" s="1"/>
  <c r="B18" i="3"/>
  <c r="AB5" i="4"/>
  <c r="D18" i="3"/>
  <c r="AF19" i="9"/>
  <c r="E18" i="3"/>
  <c r="B24" i="3"/>
  <c r="C24" i="3" s="1"/>
  <c r="B13" i="10"/>
  <c r="L5" i="9"/>
  <c r="E33" i="9" s="1"/>
  <c r="B33" i="9"/>
  <c r="D28" i="7"/>
  <c r="E28" i="7" s="1"/>
  <c r="D14" i="7"/>
  <c r="E14" i="7" s="1"/>
  <c r="V5" i="9"/>
  <c r="F28" i="9" s="1"/>
  <c r="H28" i="9" s="1"/>
  <c r="C8" i="10"/>
  <c r="C28" i="9"/>
  <c r="C6" i="9"/>
  <c r="D47" i="7"/>
  <c r="E47" i="7" s="1"/>
  <c r="D33" i="7"/>
  <c r="E33" i="7" s="1"/>
  <c r="O6" i="9"/>
  <c r="D59" i="7"/>
  <c r="E59" i="7" s="1"/>
  <c r="D45" i="7"/>
  <c r="E45" i="7" s="1"/>
  <c r="AF5" i="4"/>
  <c r="K7" i="9"/>
  <c r="D69" i="7"/>
  <c r="E69" i="7" s="1"/>
  <c r="D83" i="7"/>
  <c r="E83" i="7" s="1"/>
  <c r="AA6" i="4"/>
  <c r="E8" i="9"/>
  <c r="D105" i="7"/>
  <c r="E105" i="7" s="1"/>
  <c r="D91" i="7"/>
  <c r="E91" i="7" s="1"/>
  <c r="M9" i="9"/>
  <c r="D141" i="7"/>
  <c r="E141" i="7" s="1"/>
  <c r="D127" i="7"/>
  <c r="E127" i="7" s="1"/>
  <c r="AC8" i="4"/>
  <c r="AF9" i="9"/>
  <c r="K10" i="9"/>
  <c r="D153" i="7"/>
  <c r="E153" i="7" s="1"/>
  <c r="D167" i="7"/>
  <c r="E167" i="7" s="1"/>
  <c r="K5" i="5"/>
  <c r="AF10" i="9"/>
  <c r="K11" i="9"/>
  <c r="D195" i="7"/>
  <c r="E195" i="7" s="1"/>
  <c r="D181" i="7"/>
  <c r="E181" i="7" s="1"/>
  <c r="K6" i="5"/>
  <c r="AA10" i="4"/>
  <c r="AB11" i="4"/>
  <c r="H13" i="9"/>
  <c r="D234" i="7"/>
  <c r="E234" i="7" s="1"/>
  <c r="D248" i="7"/>
  <c r="E248" i="7" s="1"/>
  <c r="X12" i="4"/>
  <c r="F14" i="9"/>
  <c r="D274" i="7"/>
  <c r="E274" i="7" s="1"/>
  <c r="D260" i="7"/>
  <c r="E260" i="7" s="1"/>
  <c r="AV14" i="4"/>
  <c r="M16" i="9"/>
  <c r="D337" i="7"/>
  <c r="E337" i="7" s="1"/>
  <c r="D323" i="7"/>
  <c r="E323" i="7" s="1"/>
  <c r="AC15" i="4"/>
  <c r="E17" i="9"/>
  <c r="D357" i="7"/>
  <c r="E357" i="7" s="1"/>
  <c r="D343" i="7"/>
  <c r="E343" i="7" s="1"/>
  <c r="C12" i="5"/>
  <c r="U16" i="4"/>
  <c r="R16" i="4"/>
  <c r="AG16" i="4" s="1"/>
  <c r="E18" i="9"/>
  <c r="D385" i="7"/>
  <c r="E385" i="7" s="1"/>
  <c r="D371" i="7"/>
  <c r="E371" i="7" s="1"/>
  <c r="C13" i="5"/>
  <c r="U17" i="4"/>
  <c r="R17" i="4"/>
  <c r="AG17" i="4" s="1"/>
  <c r="AE5" i="4"/>
  <c r="G13" i="9"/>
  <c r="D247" i="7"/>
  <c r="E247" i="7" s="1"/>
  <c r="D233" i="7"/>
  <c r="E233" i="7" s="1"/>
  <c r="D8" i="5"/>
  <c r="W12" i="4"/>
  <c r="G168" i="7"/>
  <c r="F168" i="7"/>
  <c r="L11" i="9"/>
  <c r="D196" i="7"/>
  <c r="E196" i="7" s="1"/>
  <c r="D182" i="7"/>
  <c r="E182" i="7" s="1"/>
  <c r="G14" i="9"/>
  <c r="D275" i="7"/>
  <c r="E275" i="7" s="1"/>
  <c r="D261" i="7"/>
  <c r="E261" i="7" s="1"/>
  <c r="D9" i="5"/>
  <c r="B35" i="9"/>
  <c r="B15" i="10"/>
  <c r="N5" i="9"/>
  <c r="E35" i="9" s="1"/>
  <c r="D30" i="7"/>
  <c r="E30" i="7" s="1"/>
  <c r="D16" i="7"/>
  <c r="E16" i="7" s="1"/>
  <c r="E6" i="9"/>
  <c r="D49" i="7"/>
  <c r="E49" i="7" s="1"/>
  <c r="D35" i="7"/>
  <c r="E35" i="7" s="1"/>
  <c r="U5" i="4"/>
  <c r="AG5" i="4"/>
  <c r="G8" i="9"/>
  <c r="D107" i="7"/>
  <c r="E107" i="7" s="1"/>
  <c r="D93" i="7"/>
  <c r="E93" i="7" s="1"/>
  <c r="AV8" i="4"/>
  <c r="M10" i="9"/>
  <c r="D169" i="7"/>
  <c r="E169" i="7" s="1"/>
  <c r="D155" i="7"/>
  <c r="E155" i="7" s="1"/>
  <c r="AC9" i="4"/>
  <c r="AV9" i="4"/>
  <c r="M11" i="9"/>
  <c r="D197" i="7"/>
  <c r="E197" i="7" s="1"/>
  <c r="D183" i="7"/>
  <c r="E183" i="7" s="1"/>
  <c r="AE11" i="4"/>
  <c r="V13" i="4"/>
  <c r="C16" i="9"/>
  <c r="D327" i="7"/>
  <c r="E327" i="7" s="1"/>
  <c r="D313" i="7"/>
  <c r="E313" i="7" s="1"/>
  <c r="S15" i="4"/>
  <c r="B11" i="5"/>
  <c r="O16" i="9"/>
  <c r="D325" i="7"/>
  <c r="E325" i="7" s="1"/>
  <c r="D339" i="7"/>
  <c r="E339" i="7" s="1"/>
  <c r="AE15" i="4"/>
  <c r="G18" i="9"/>
  <c r="D387" i="7"/>
  <c r="E387" i="7" s="1"/>
  <c r="D373" i="7"/>
  <c r="E373" i="7" s="1"/>
  <c r="D13" i="5"/>
  <c r="G13" i="5" s="1"/>
  <c r="W17" i="4"/>
  <c r="P17" i="9"/>
  <c r="D368" i="7"/>
  <c r="E368" i="7" s="1"/>
  <c r="D354" i="7"/>
  <c r="E354" i="7" s="1"/>
  <c r="AF16" i="4"/>
  <c r="F18" i="9"/>
  <c r="D372" i="7"/>
  <c r="E372" i="7" s="1"/>
  <c r="D386" i="7"/>
  <c r="E386" i="7" s="1"/>
  <c r="V17" i="4"/>
  <c r="I7" i="3"/>
  <c r="H10" i="3"/>
  <c r="C30" i="9"/>
  <c r="C10" i="10"/>
  <c r="X5" i="9"/>
  <c r="F30" i="9" s="1"/>
  <c r="H30" i="9" s="1"/>
  <c r="E7" i="12"/>
  <c r="D7" i="12"/>
  <c r="E10" i="12"/>
  <c r="D10" i="12"/>
  <c r="E13" i="12"/>
  <c r="D13" i="12"/>
  <c r="E16" i="12"/>
  <c r="D16" i="12"/>
  <c r="E19" i="12"/>
  <c r="D19" i="12"/>
  <c r="E22" i="12"/>
  <c r="D22" i="12"/>
  <c r="E25" i="12"/>
  <c r="D25" i="12"/>
  <c r="E28" i="12"/>
  <c r="D28" i="12"/>
  <c r="E31" i="12"/>
  <c r="D31" i="12"/>
  <c r="E34" i="12"/>
  <c r="D34" i="12"/>
  <c r="E37" i="12"/>
  <c r="D37" i="12"/>
  <c r="J7" i="3"/>
  <c r="J10" i="3"/>
  <c r="J13" i="3"/>
  <c r="I13" i="3"/>
  <c r="C18" i="3"/>
  <c r="B4" i="10"/>
  <c r="N4" i="10" s="1"/>
  <c r="B24" i="9"/>
  <c r="C5" i="9"/>
  <c r="D5" i="7"/>
  <c r="E5" i="7" s="1"/>
  <c r="D19" i="7"/>
  <c r="E19" i="7" s="1"/>
  <c r="B16" i="10"/>
  <c r="H16" i="10" s="1"/>
  <c r="B36" i="9"/>
  <c r="O5" i="9"/>
  <c r="E36" i="9" s="1"/>
  <c r="D31" i="7"/>
  <c r="E31" i="7" s="1"/>
  <c r="D17" i="7"/>
  <c r="E17" i="7" s="1"/>
  <c r="C31" i="9"/>
  <c r="C11" i="10"/>
  <c r="I11" i="10" s="1"/>
  <c r="Y5" i="9"/>
  <c r="F31" i="9" s="1"/>
  <c r="H31" i="9" s="1"/>
  <c r="F6" i="9"/>
  <c r="D50" i="7"/>
  <c r="E50" i="7" s="1"/>
  <c r="D36" i="7"/>
  <c r="E36" i="7" s="1"/>
  <c r="S5" i="4"/>
  <c r="H8" i="9"/>
  <c r="D108" i="7"/>
  <c r="E108" i="7" s="1"/>
  <c r="D94" i="7"/>
  <c r="E94" i="7" s="1"/>
  <c r="U7" i="4"/>
  <c r="N10" i="9"/>
  <c r="D170" i="7"/>
  <c r="E170" i="7" s="1"/>
  <c r="D156" i="7"/>
  <c r="E156" i="7" s="1"/>
  <c r="AD9" i="4"/>
  <c r="M12" i="9"/>
  <c r="D211" i="7"/>
  <c r="E211" i="7" s="1"/>
  <c r="D225" i="7"/>
  <c r="E225" i="7" s="1"/>
  <c r="AC11" i="4"/>
  <c r="AF11" i="4"/>
  <c r="I14" i="9"/>
  <c r="D263" i="7"/>
  <c r="E263" i="7" s="1"/>
  <c r="D277" i="7"/>
  <c r="E277" i="7" s="1"/>
  <c r="H9" i="5"/>
  <c r="Y13" i="4"/>
  <c r="W13" i="4"/>
  <c r="I19" i="9"/>
  <c r="D417" i="7"/>
  <c r="E417" i="7" s="1"/>
  <c r="D403" i="7"/>
  <c r="E403" i="7" s="1"/>
  <c r="H14" i="5"/>
  <c r="Y18" i="4"/>
  <c r="I13" i="9"/>
  <c r="D235" i="7"/>
  <c r="E235" i="7" s="1"/>
  <c r="D249" i="7"/>
  <c r="E249" i="7" s="1"/>
  <c r="H8" i="5"/>
  <c r="Y12" i="4"/>
  <c r="I8" i="9"/>
  <c r="D109" i="7"/>
  <c r="E109" i="7" s="1"/>
  <c r="D95" i="7"/>
  <c r="E95" i="7" s="1"/>
  <c r="Y7" i="4"/>
  <c r="C10" i="9"/>
  <c r="D159" i="7"/>
  <c r="E159" i="7" s="1"/>
  <c r="D145" i="7"/>
  <c r="E145" i="7" s="1"/>
  <c r="S9" i="4"/>
  <c r="B5" i="5"/>
  <c r="O10" i="9"/>
  <c r="D157" i="7"/>
  <c r="E157" i="7" s="1"/>
  <c r="D171" i="7"/>
  <c r="E171" i="7" s="1"/>
  <c r="AE9" i="4"/>
  <c r="C11" i="9"/>
  <c r="D173" i="7"/>
  <c r="E173" i="7" s="1"/>
  <c r="D187" i="7"/>
  <c r="E187" i="7" s="1"/>
  <c r="B6" i="5"/>
  <c r="S10" i="4"/>
  <c r="O11" i="9"/>
  <c r="D199" i="7"/>
  <c r="E199" i="7" s="1"/>
  <c r="D185" i="7"/>
  <c r="E185" i="7" s="1"/>
  <c r="AE10" i="4"/>
  <c r="N12" i="9"/>
  <c r="D212" i="7"/>
  <c r="E212" i="7" s="1"/>
  <c r="D226" i="7"/>
  <c r="E226" i="7" s="1"/>
  <c r="J14" i="9"/>
  <c r="D264" i="7"/>
  <c r="E264" i="7" s="1"/>
  <c r="D278" i="7"/>
  <c r="E278" i="7" s="1"/>
  <c r="Z13" i="4"/>
  <c r="Z15" i="4"/>
  <c r="B32" i="9"/>
  <c r="B12" i="10"/>
  <c r="K12" i="10" s="1"/>
  <c r="K5" i="9"/>
  <c r="E32" i="9" s="1"/>
  <c r="D27" i="7"/>
  <c r="E27" i="7" s="1"/>
  <c r="D13" i="7"/>
  <c r="E13" i="7" s="1"/>
  <c r="J10" i="9"/>
  <c r="D152" i="7"/>
  <c r="E152" i="7" s="1"/>
  <c r="D166" i="7"/>
  <c r="E166" i="7" s="1"/>
  <c r="B34" i="9"/>
  <c r="B14" i="10"/>
  <c r="M5" i="9"/>
  <c r="E34" i="9" s="1"/>
  <c r="D29" i="7"/>
  <c r="E29" i="7" s="1"/>
  <c r="D15" i="7"/>
  <c r="E15" i="7" s="1"/>
  <c r="N16" i="9"/>
  <c r="D324" i="7"/>
  <c r="E324" i="7" s="1"/>
  <c r="D338" i="7"/>
  <c r="E338" i="7" s="1"/>
  <c r="AD15" i="4"/>
  <c r="B5" i="10"/>
  <c r="N5" i="10" s="1"/>
  <c r="D5" i="9"/>
  <c r="E25" i="9" s="1"/>
  <c r="B25" i="9"/>
  <c r="D20" i="7"/>
  <c r="E20" i="7" s="1"/>
  <c r="D6" i="7"/>
  <c r="E6" i="7" s="1"/>
  <c r="B17" i="10"/>
  <c r="P5" i="9"/>
  <c r="E37" i="9" s="1"/>
  <c r="B37" i="9"/>
  <c r="D32" i="7"/>
  <c r="E32" i="7" s="1"/>
  <c r="D18" i="7"/>
  <c r="E18" i="7" s="1"/>
  <c r="C32" i="9"/>
  <c r="C12" i="10"/>
  <c r="L12" i="10" s="1"/>
  <c r="Z5" i="9"/>
  <c r="F32" i="9" s="1"/>
  <c r="H32" i="9" s="1"/>
  <c r="B26" i="9"/>
  <c r="E5" i="9"/>
  <c r="E26" i="9" s="1"/>
  <c r="B6" i="10"/>
  <c r="D21" i="7"/>
  <c r="E21" i="7" s="1"/>
  <c r="D7" i="7"/>
  <c r="E7" i="7" s="1"/>
  <c r="V5" i="4"/>
  <c r="D7" i="9"/>
  <c r="D62" i="7"/>
  <c r="E62" i="7" s="1"/>
  <c r="D76" i="7"/>
  <c r="E76" i="7" s="1"/>
  <c r="P7" i="9"/>
  <c r="D74" i="7"/>
  <c r="E74" i="7" s="1"/>
  <c r="D88" i="7"/>
  <c r="E88" i="7" s="1"/>
  <c r="J8" i="9"/>
  <c r="D110" i="7"/>
  <c r="E110" i="7" s="1"/>
  <c r="D96" i="7"/>
  <c r="E96" i="7" s="1"/>
  <c r="Z7" i="4"/>
  <c r="W7" i="4"/>
  <c r="D11" i="9"/>
  <c r="D174" i="7"/>
  <c r="E174" i="7" s="1"/>
  <c r="D188" i="7"/>
  <c r="E188" i="7" s="1"/>
  <c r="T10" i="4"/>
  <c r="P11" i="9"/>
  <c r="D200" i="7"/>
  <c r="E200" i="7" s="1"/>
  <c r="D186" i="7"/>
  <c r="E186" i="7" s="1"/>
  <c r="AF10" i="4"/>
  <c r="C12" i="9"/>
  <c r="D201" i="7"/>
  <c r="E201" i="7" s="1"/>
  <c r="D215" i="7"/>
  <c r="E215" i="7" s="1"/>
  <c r="B7" i="5"/>
  <c r="O12" i="9"/>
  <c r="D213" i="7"/>
  <c r="E213" i="7" s="1"/>
  <c r="D227" i="7"/>
  <c r="E227" i="7" s="1"/>
  <c r="K14" i="9"/>
  <c r="D265" i="7"/>
  <c r="E265" i="7" s="1"/>
  <c r="D279" i="7"/>
  <c r="E279" i="7" s="1"/>
  <c r="K9" i="5"/>
  <c r="AA13" i="4"/>
  <c r="H15" i="9"/>
  <c r="D290" i="7"/>
  <c r="E290" i="7" s="1"/>
  <c r="D304" i="7"/>
  <c r="E304" i="7" s="1"/>
  <c r="X14" i="4"/>
  <c r="AA15" i="4"/>
  <c r="D6" i="9"/>
  <c r="D48" i="7"/>
  <c r="E48" i="7" s="1"/>
  <c r="D34" i="7"/>
  <c r="E34" i="7" s="1"/>
  <c r="E7" i="9"/>
  <c r="D63" i="7"/>
  <c r="E63" i="7" s="1"/>
  <c r="D77" i="7"/>
  <c r="E77" i="7" s="1"/>
  <c r="AF7" i="9"/>
  <c r="K8" i="9"/>
  <c r="D111" i="7"/>
  <c r="E111" i="7" s="1"/>
  <c r="D97" i="7"/>
  <c r="E97" i="7" s="1"/>
  <c r="AA7" i="4"/>
  <c r="G9" i="9"/>
  <c r="D135" i="7"/>
  <c r="E135" i="7" s="1"/>
  <c r="D121" i="7"/>
  <c r="E121" i="7" s="1"/>
  <c r="W8" i="4"/>
  <c r="D4" i="5"/>
  <c r="V9" i="4"/>
  <c r="E11" i="9"/>
  <c r="D189" i="7"/>
  <c r="E189" i="7" s="1"/>
  <c r="D175" i="7"/>
  <c r="E175" i="7" s="1"/>
  <c r="C6" i="5"/>
  <c r="U10" i="4"/>
  <c r="R10" i="4"/>
  <c r="AG10" i="4" s="1"/>
  <c r="AF13" i="9"/>
  <c r="D17" i="9"/>
  <c r="D342" i="7"/>
  <c r="E342" i="7" s="1"/>
  <c r="D356" i="7"/>
  <c r="E356" i="7" s="1"/>
  <c r="T16" i="4"/>
  <c r="X15" i="4"/>
  <c r="W15" i="4"/>
  <c r="V15" i="4"/>
  <c r="G6" i="9"/>
  <c r="D51" i="7"/>
  <c r="E51" i="7" s="1"/>
  <c r="D37" i="7"/>
  <c r="E37" i="7" s="1"/>
  <c r="W5" i="4"/>
  <c r="J9" i="3"/>
  <c r="I9" i="3"/>
  <c r="C34" i="9"/>
  <c r="C14" i="10"/>
  <c r="AB5" i="9"/>
  <c r="F34" i="9" s="1"/>
  <c r="H34" i="9" s="1"/>
  <c r="Z5" i="4"/>
  <c r="C5" i="12"/>
  <c r="AV15" i="4"/>
  <c r="AV16" i="4"/>
  <c r="AV17" i="4"/>
  <c r="AV11" i="4"/>
  <c r="R8" i="4"/>
  <c r="AG8" i="4" s="1"/>
  <c r="AV5" i="4"/>
  <c r="AG4" i="4"/>
  <c r="AV18" i="4"/>
  <c r="AV12" i="4"/>
  <c r="C8" i="12"/>
  <c r="R9" i="4"/>
  <c r="AG9" i="4" s="1"/>
  <c r="E11" i="12"/>
  <c r="D11" i="12"/>
  <c r="E14" i="12"/>
  <c r="D14" i="12"/>
  <c r="E17" i="12"/>
  <c r="D17" i="12"/>
  <c r="D20" i="12"/>
  <c r="E20" i="12"/>
  <c r="C23" i="12"/>
  <c r="R14" i="4"/>
  <c r="AG14" i="4" s="1"/>
  <c r="C26" i="12"/>
  <c r="R15" i="4"/>
  <c r="AG15" i="4" s="1"/>
  <c r="E29" i="12"/>
  <c r="D29" i="12"/>
  <c r="D32" i="12"/>
  <c r="E32" i="12"/>
  <c r="C35" i="12"/>
  <c r="R18" i="4"/>
  <c r="AG18" i="4" s="1"/>
  <c r="H9" i="3"/>
  <c r="H15" i="3"/>
  <c r="G18" i="3"/>
  <c r="G5" i="9"/>
  <c r="E28" i="9" s="1"/>
  <c r="B8" i="10"/>
  <c r="B28" i="9"/>
  <c r="D23" i="7"/>
  <c r="E23" i="7" s="1"/>
  <c r="D9" i="7"/>
  <c r="E9" i="7" s="1"/>
  <c r="AA5" i="4"/>
  <c r="F7" i="9"/>
  <c r="D64" i="7"/>
  <c r="E64" i="7" s="1"/>
  <c r="D78" i="7"/>
  <c r="E78" i="7" s="1"/>
  <c r="H9" i="9"/>
  <c r="D136" i="7"/>
  <c r="E136" i="7" s="1"/>
  <c r="D122" i="7"/>
  <c r="E122" i="7" s="1"/>
  <c r="X8" i="4"/>
  <c r="W9" i="4"/>
  <c r="E12" i="9"/>
  <c r="D203" i="7"/>
  <c r="E203" i="7" s="1"/>
  <c r="D217" i="7"/>
  <c r="E217" i="7" s="1"/>
  <c r="C7" i="5"/>
  <c r="U11" i="4"/>
  <c r="R11" i="4"/>
  <c r="AG11" i="4" s="1"/>
  <c r="C13" i="9"/>
  <c r="D229" i="7"/>
  <c r="E229" i="7" s="1"/>
  <c r="D243" i="7"/>
  <c r="E243" i="7" s="1"/>
  <c r="S12" i="4"/>
  <c r="B8" i="5"/>
  <c r="O13" i="9"/>
  <c r="D255" i="7"/>
  <c r="E255" i="7" s="1"/>
  <c r="D241" i="7"/>
  <c r="E241" i="7" s="1"/>
  <c r="AE12" i="4"/>
  <c r="N6" i="9"/>
  <c r="D58" i="7"/>
  <c r="E58" i="7" s="1"/>
  <c r="D44" i="7"/>
  <c r="E44" i="7" s="1"/>
  <c r="J17" i="3"/>
  <c r="I17" i="3"/>
  <c r="AF6" i="9"/>
  <c r="C7" i="9"/>
  <c r="D61" i="7"/>
  <c r="E61" i="7" s="1"/>
  <c r="D75" i="7"/>
  <c r="E75" i="7" s="1"/>
  <c r="I6" i="9"/>
  <c r="D53" i="7"/>
  <c r="E53" i="7" s="1"/>
  <c r="D39" i="7"/>
  <c r="E39" i="7" s="1"/>
  <c r="Y5" i="4"/>
  <c r="I15" i="3"/>
  <c r="G10" i="7"/>
  <c r="F10" i="7"/>
  <c r="G7" i="9"/>
  <c r="D65" i="7"/>
  <c r="E65" i="7" s="1"/>
  <c r="D79" i="7"/>
  <c r="E79" i="7" s="1"/>
  <c r="W6" i="4"/>
  <c r="T6" i="4"/>
  <c r="AV6" i="4"/>
  <c r="M8" i="9"/>
  <c r="D113" i="7"/>
  <c r="E113" i="7" s="1"/>
  <c r="D99" i="7"/>
  <c r="E99" i="7" s="1"/>
  <c r="AC7" i="4"/>
  <c r="I9" i="9"/>
  <c r="D137" i="7"/>
  <c r="E137" i="7" s="1"/>
  <c r="D123" i="7"/>
  <c r="E123" i="7" s="1"/>
  <c r="H4" i="5"/>
  <c r="Y8" i="4"/>
  <c r="F12" i="9"/>
  <c r="D204" i="7"/>
  <c r="E204" i="7" s="1"/>
  <c r="D218" i="7"/>
  <c r="E218" i="7" s="1"/>
  <c r="V11" i="4"/>
  <c r="S11" i="4"/>
  <c r="D13" i="9"/>
  <c r="D230" i="7"/>
  <c r="E230" i="7" s="1"/>
  <c r="D244" i="7"/>
  <c r="E244" i="7" s="1"/>
  <c r="P13" i="9"/>
  <c r="D242" i="7"/>
  <c r="E242" i="7" s="1"/>
  <c r="D256" i="7"/>
  <c r="E256" i="7" s="1"/>
  <c r="AF14" i="9"/>
  <c r="K15" i="9"/>
  <c r="D293" i="7"/>
  <c r="E293" i="7" s="1"/>
  <c r="D307" i="7"/>
  <c r="E307" i="7" s="1"/>
  <c r="K10" i="5"/>
  <c r="AA14" i="4"/>
  <c r="L9" i="9"/>
  <c r="D140" i="7"/>
  <c r="E140" i="7" s="1"/>
  <c r="D126" i="7"/>
  <c r="E126" i="7" s="1"/>
  <c r="AB8" i="4"/>
  <c r="O7" i="9"/>
  <c r="D73" i="7"/>
  <c r="E73" i="7" s="1"/>
  <c r="D87" i="7"/>
  <c r="E87" i="7" s="1"/>
  <c r="H6" i="3"/>
  <c r="D38" i="13"/>
  <c r="B116" i="13" s="1"/>
  <c r="B23" i="3"/>
  <c r="C23" i="3" s="1"/>
  <c r="J5" i="3"/>
  <c r="I5" i="3"/>
  <c r="H7" i="9"/>
  <c r="D66" i="7"/>
  <c r="E66" i="7" s="1"/>
  <c r="D80" i="7"/>
  <c r="E80" i="7" s="1"/>
  <c r="U6" i="4"/>
  <c r="Z9" i="4"/>
  <c r="G12" i="9"/>
  <c r="D205" i="7"/>
  <c r="E205" i="7" s="1"/>
  <c r="D219" i="7"/>
  <c r="E219" i="7" s="1"/>
  <c r="D7" i="5"/>
  <c r="W11" i="4"/>
  <c r="T11" i="4"/>
  <c r="E13" i="9"/>
  <c r="D231" i="7"/>
  <c r="E231" i="7" s="1"/>
  <c r="D245" i="7"/>
  <c r="E245" i="7" s="1"/>
  <c r="C8" i="5"/>
  <c r="R12" i="4"/>
  <c r="AG12" i="4" s="1"/>
  <c r="L15" i="9"/>
  <c r="D308" i="7"/>
  <c r="E308" i="7" s="1"/>
  <c r="D294" i="7"/>
  <c r="E294" i="7" s="1"/>
  <c r="AB14" i="4"/>
  <c r="F14" i="5"/>
  <c r="U5" i="9"/>
  <c r="F27" i="9" s="1"/>
  <c r="H27" i="9" s="1"/>
  <c r="C27" i="9"/>
  <c r="C7" i="10"/>
  <c r="O7" i="10" s="1"/>
  <c r="E14" i="9"/>
  <c r="D259" i="7"/>
  <c r="E259" i="7" s="1"/>
  <c r="D273" i="7"/>
  <c r="E273" i="7" s="1"/>
  <c r="U13" i="4"/>
  <c r="C9" i="5"/>
  <c r="E9" i="5" s="1"/>
  <c r="L9" i="5" s="1"/>
  <c r="H17" i="3"/>
  <c r="C29" i="9"/>
  <c r="C9" i="10"/>
  <c r="F9" i="10" s="1"/>
  <c r="W5" i="9"/>
  <c r="F29" i="9" s="1"/>
  <c r="H29" i="9" s="1"/>
  <c r="P6" i="9"/>
  <c r="D60" i="7"/>
  <c r="E60" i="7" s="1"/>
  <c r="D46" i="7"/>
  <c r="E46" i="7" s="1"/>
  <c r="F8" i="9"/>
  <c r="D106" i="7"/>
  <c r="E106" i="7" s="1"/>
  <c r="D92" i="7"/>
  <c r="E92" i="7" s="1"/>
  <c r="T5" i="4"/>
  <c r="J6" i="3"/>
  <c r="I14" i="3"/>
  <c r="B22" i="3"/>
  <c r="C22" i="3" s="1"/>
  <c r="C26" i="9"/>
  <c r="T5" i="9"/>
  <c r="F26" i="9" s="1"/>
  <c r="H26" i="9" s="1"/>
  <c r="C6" i="10"/>
  <c r="I6" i="10" s="1"/>
  <c r="AV4" i="4"/>
  <c r="M6" i="9"/>
  <c r="D57" i="7"/>
  <c r="E57" i="7" s="1"/>
  <c r="D43" i="7"/>
  <c r="E43" i="7" s="1"/>
  <c r="AD5" i="4"/>
  <c r="I7" i="9"/>
  <c r="D81" i="7"/>
  <c r="E81" i="7" s="1"/>
  <c r="D67" i="7"/>
  <c r="E67" i="7" s="1"/>
  <c r="Y6" i="4"/>
  <c r="G89" i="7"/>
  <c r="F89" i="7"/>
  <c r="AF8" i="9"/>
  <c r="K9" i="9"/>
  <c r="D139" i="7"/>
  <c r="E139" i="7" s="1"/>
  <c r="D125" i="7"/>
  <c r="E125" i="7" s="1"/>
  <c r="K4" i="5"/>
  <c r="AA8" i="4"/>
  <c r="I10" i="9"/>
  <c r="D165" i="7"/>
  <c r="E165" i="7" s="1"/>
  <c r="D151" i="7"/>
  <c r="E151" i="7" s="1"/>
  <c r="H5" i="5"/>
  <c r="Y9" i="4"/>
  <c r="AA9" i="4"/>
  <c r="AB10" i="4"/>
  <c r="T12" i="4"/>
  <c r="AV13" i="4"/>
  <c r="M15" i="9"/>
  <c r="D309" i="7"/>
  <c r="E309" i="7" s="1"/>
  <c r="D295" i="7"/>
  <c r="E295" i="7" s="1"/>
  <c r="AC14" i="4"/>
  <c r="C17" i="9"/>
  <c r="D355" i="7"/>
  <c r="E355" i="7" s="1"/>
  <c r="D341" i="7"/>
  <c r="E341" i="7" s="1"/>
  <c r="B12" i="5"/>
  <c r="S16" i="4"/>
  <c r="O17" i="9"/>
  <c r="D353" i="7"/>
  <c r="E353" i="7" s="1"/>
  <c r="D367" i="7"/>
  <c r="E367" i="7" s="1"/>
  <c r="AE16" i="4"/>
  <c r="F5" i="9"/>
  <c r="E27" i="9" s="1"/>
  <c r="B27" i="9"/>
  <c r="B7" i="10"/>
  <c r="N7" i="10" s="1"/>
  <c r="D22" i="7"/>
  <c r="E22" i="7" s="1"/>
  <c r="C13" i="10"/>
  <c r="I13" i="10" s="1"/>
  <c r="AA5" i="9"/>
  <c r="F33" i="9" s="1"/>
  <c r="H33" i="9" s="1"/>
  <c r="C33" i="9"/>
  <c r="H6" i="9"/>
  <c r="D52" i="7"/>
  <c r="E52" i="7" s="1"/>
  <c r="D38" i="7"/>
  <c r="E38" i="7" s="1"/>
  <c r="J7" i="9"/>
  <c r="D82" i="7"/>
  <c r="E82" i="7" s="1"/>
  <c r="L8" i="9"/>
  <c r="D112" i="7"/>
  <c r="E112" i="7" s="1"/>
  <c r="D98" i="7"/>
  <c r="E98" i="7" s="1"/>
  <c r="N9" i="9"/>
  <c r="D142" i="7"/>
  <c r="E142" i="7" s="1"/>
  <c r="D128" i="7"/>
  <c r="E128" i="7" s="1"/>
  <c r="D10" i="9"/>
  <c r="D146" i="7"/>
  <c r="E146" i="7" s="1"/>
  <c r="D160" i="7"/>
  <c r="E160" i="7" s="1"/>
  <c r="P10" i="9"/>
  <c r="D158" i="7"/>
  <c r="E158" i="7" s="1"/>
  <c r="D172" i="7"/>
  <c r="E172" i="7" s="1"/>
  <c r="F11" i="9"/>
  <c r="D190" i="7"/>
  <c r="E190" i="7" s="1"/>
  <c r="D176" i="7"/>
  <c r="E176" i="7" s="1"/>
  <c r="H12" i="9"/>
  <c r="D206" i="7"/>
  <c r="E206" i="7" s="1"/>
  <c r="D220" i="7"/>
  <c r="E220" i="7" s="1"/>
  <c r="J13" i="9"/>
  <c r="D250" i="7"/>
  <c r="E250" i="7" s="1"/>
  <c r="D236" i="7"/>
  <c r="E236" i="7" s="1"/>
  <c r="L14" i="9"/>
  <c r="D266" i="7"/>
  <c r="E266" i="7" s="1"/>
  <c r="D280" i="7"/>
  <c r="E280" i="7" s="1"/>
  <c r="N15" i="9"/>
  <c r="D310" i="7"/>
  <c r="E310" i="7" s="1"/>
  <c r="D296" i="7"/>
  <c r="E296" i="7" s="1"/>
  <c r="D16" i="9"/>
  <c r="D328" i="7"/>
  <c r="E328" i="7" s="1"/>
  <c r="D314" i="7"/>
  <c r="E314" i="7" s="1"/>
  <c r="P16" i="9"/>
  <c r="D326" i="7"/>
  <c r="E326" i="7" s="1"/>
  <c r="D340" i="7"/>
  <c r="E340" i="7" s="1"/>
  <c r="F17" i="9"/>
  <c r="D358" i="7"/>
  <c r="E358" i="7" s="1"/>
  <c r="D344" i="7"/>
  <c r="E344" i="7" s="1"/>
  <c r="H18" i="9"/>
  <c r="D374" i="7"/>
  <c r="E374" i="7" s="1"/>
  <c r="D388" i="7"/>
  <c r="E388" i="7" s="1"/>
  <c r="J19" i="9"/>
  <c r="D404" i="7"/>
  <c r="E404" i="7" s="1"/>
  <c r="D418" i="7"/>
  <c r="E418" i="7" s="1"/>
  <c r="W18" i="4"/>
  <c r="C9" i="9"/>
  <c r="D117" i="7"/>
  <c r="E117" i="7" s="1"/>
  <c r="D131" i="7"/>
  <c r="E131" i="7" s="1"/>
  <c r="O9" i="9"/>
  <c r="D129" i="7"/>
  <c r="E129" i="7" s="1"/>
  <c r="D143" i="7"/>
  <c r="E143" i="7" s="1"/>
  <c r="E10" i="9"/>
  <c r="D147" i="7"/>
  <c r="E147" i="7" s="1"/>
  <c r="D161" i="7"/>
  <c r="E161" i="7" s="1"/>
  <c r="G11" i="9"/>
  <c r="D191" i="7"/>
  <c r="E191" i="7" s="1"/>
  <c r="D177" i="7"/>
  <c r="E177" i="7" s="1"/>
  <c r="I12" i="9"/>
  <c r="D207" i="7"/>
  <c r="E207" i="7" s="1"/>
  <c r="D221" i="7"/>
  <c r="E221" i="7" s="1"/>
  <c r="AF12" i="9"/>
  <c r="K13" i="9"/>
  <c r="D251" i="7"/>
  <c r="E251" i="7" s="1"/>
  <c r="D237" i="7"/>
  <c r="E237" i="7" s="1"/>
  <c r="M14" i="9"/>
  <c r="D267" i="7"/>
  <c r="E267" i="7" s="1"/>
  <c r="D281" i="7"/>
  <c r="E281" i="7" s="1"/>
  <c r="C15" i="9"/>
  <c r="D299" i="7"/>
  <c r="E299" i="7" s="1"/>
  <c r="D285" i="7"/>
  <c r="E285" i="7" s="1"/>
  <c r="O15" i="9"/>
  <c r="D311" i="7"/>
  <c r="E311" i="7" s="1"/>
  <c r="D297" i="7"/>
  <c r="E297" i="7" s="1"/>
  <c r="E16" i="9"/>
  <c r="D329" i="7"/>
  <c r="E329" i="7" s="1"/>
  <c r="D315" i="7"/>
  <c r="E315" i="7" s="1"/>
  <c r="G17" i="9"/>
  <c r="D345" i="7"/>
  <c r="E345" i="7" s="1"/>
  <c r="D359" i="7"/>
  <c r="E359" i="7" s="1"/>
  <c r="I18" i="9"/>
  <c r="D375" i="7"/>
  <c r="E375" i="7" s="1"/>
  <c r="D389" i="7"/>
  <c r="E389" i="7" s="1"/>
  <c r="AF18" i="9"/>
  <c r="K19" i="9"/>
  <c r="D405" i="7"/>
  <c r="E405" i="7" s="1"/>
  <c r="D419" i="7"/>
  <c r="E419" i="7" s="1"/>
  <c r="C15" i="10"/>
  <c r="L15" i="10" s="1"/>
  <c r="AC5" i="9"/>
  <c r="F35" i="9" s="1"/>
  <c r="H35" i="9" s="1"/>
  <c r="C35" i="9"/>
  <c r="L7" i="9"/>
  <c r="D70" i="7"/>
  <c r="E70" i="7" s="1"/>
  <c r="D84" i="7"/>
  <c r="E84" i="7" s="1"/>
  <c r="L13" i="9"/>
  <c r="D238" i="7"/>
  <c r="E238" i="7" s="1"/>
  <c r="D252" i="7"/>
  <c r="E252" i="7" s="1"/>
  <c r="L19" i="9"/>
  <c r="D420" i="7"/>
  <c r="E420" i="7" s="1"/>
  <c r="D406" i="7"/>
  <c r="E406" i="7" s="1"/>
  <c r="B4" i="5"/>
  <c r="B10" i="5"/>
  <c r="B29" i="9"/>
  <c r="B9" i="10"/>
  <c r="H5" i="9"/>
  <c r="E29" i="9" s="1"/>
  <c r="D24" i="7"/>
  <c r="E24" i="7" s="1"/>
  <c r="J6" i="9"/>
  <c r="D40" i="7"/>
  <c r="E40" i="7" s="1"/>
  <c r="D54" i="7"/>
  <c r="E54" i="7" s="1"/>
  <c r="N8" i="9"/>
  <c r="D114" i="7"/>
  <c r="E114" i="7" s="1"/>
  <c r="D100" i="7"/>
  <c r="E100" i="7" s="1"/>
  <c r="D9" i="9"/>
  <c r="D118" i="7"/>
  <c r="E118" i="7" s="1"/>
  <c r="D132" i="7"/>
  <c r="E132" i="7" s="1"/>
  <c r="P9" i="9"/>
  <c r="D130" i="7"/>
  <c r="E130" i="7" s="1"/>
  <c r="D144" i="7"/>
  <c r="E144" i="7" s="1"/>
  <c r="F10" i="9"/>
  <c r="D148" i="7"/>
  <c r="E148" i="7" s="1"/>
  <c r="D162" i="7"/>
  <c r="E162" i="7" s="1"/>
  <c r="H11" i="9"/>
  <c r="D192" i="7"/>
  <c r="E192" i="7" s="1"/>
  <c r="D178" i="7"/>
  <c r="E178" i="7" s="1"/>
  <c r="J12" i="9"/>
  <c r="D208" i="7"/>
  <c r="E208" i="7" s="1"/>
  <c r="D222" i="7"/>
  <c r="E222" i="7" s="1"/>
  <c r="N14" i="9"/>
  <c r="D268" i="7"/>
  <c r="E268" i="7" s="1"/>
  <c r="D282" i="7"/>
  <c r="E282" i="7" s="1"/>
  <c r="D15" i="9"/>
  <c r="D286" i="7"/>
  <c r="E286" i="7" s="1"/>
  <c r="D300" i="7"/>
  <c r="E300" i="7" s="1"/>
  <c r="P15" i="9"/>
  <c r="D312" i="7"/>
  <c r="E312" i="7" s="1"/>
  <c r="D298" i="7"/>
  <c r="E298" i="7" s="1"/>
  <c r="F16" i="9"/>
  <c r="D316" i="7"/>
  <c r="E316" i="7" s="1"/>
  <c r="D330" i="7"/>
  <c r="E330" i="7" s="1"/>
  <c r="H17" i="9"/>
  <c r="D346" i="7"/>
  <c r="E346" i="7" s="1"/>
  <c r="D360" i="7"/>
  <c r="E360" i="7" s="1"/>
  <c r="J18" i="9"/>
  <c r="D390" i="7"/>
  <c r="E390" i="7" s="1"/>
  <c r="D376" i="7"/>
  <c r="E376" i="7" s="1"/>
  <c r="D6" i="12"/>
  <c r="E6" i="12"/>
  <c r="E9" i="12"/>
  <c r="D9" i="12"/>
  <c r="E12" i="12"/>
  <c r="D12" i="12"/>
  <c r="E15" i="12"/>
  <c r="D15" i="12"/>
  <c r="D18" i="12"/>
  <c r="E18" i="12"/>
  <c r="E21" i="12"/>
  <c r="D21" i="12"/>
  <c r="D24" i="12"/>
  <c r="E24" i="12"/>
  <c r="E27" i="12"/>
  <c r="D27" i="12"/>
  <c r="D30" i="12"/>
  <c r="E30" i="12"/>
  <c r="E33" i="12"/>
  <c r="D33" i="12"/>
  <c r="E36" i="12"/>
  <c r="D36" i="12"/>
  <c r="B10" i="10"/>
  <c r="H10" i="10" s="1"/>
  <c r="I5" i="9"/>
  <c r="E30" i="9" s="1"/>
  <c r="B30" i="9"/>
  <c r="D25" i="7"/>
  <c r="E25" i="7" s="1"/>
  <c r="C4" i="10"/>
  <c r="F4" i="10" s="1"/>
  <c r="C24" i="9"/>
  <c r="R5" i="9"/>
  <c r="C36" i="9"/>
  <c r="AD5" i="9"/>
  <c r="F36" i="9" s="1"/>
  <c r="H36" i="9" s="1"/>
  <c r="C16" i="10"/>
  <c r="I16" i="10" s="1"/>
  <c r="K6" i="9"/>
  <c r="D41" i="7"/>
  <c r="E41" i="7" s="1"/>
  <c r="D55" i="7"/>
  <c r="E55" i="7" s="1"/>
  <c r="X5" i="4"/>
  <c r="M7" i="9"/>
  <c r="D71" i="7"/>
  <c r="E71" i="7" s="1"/>
  <c r="D85" i="7"/>
  <c r="E85" i="7" s="1"/>
  <c r="Z6" i="4"/>
  <c r="C8" i="9"/>
  <c r="D103" i="7"/>
  <c r="E103" i="7" s="1"/>
  <c r="O8" i="9"/>
  <c r="D115" i="7"/>
  <c r="E115" i="7" s="1"/>
  <c r="D101" i="7"/>
  <c r="E101" i="7" s="1"/>
  <c r="AB7" i="4"/>
  <c r="E9" i="9"/>
  <c r="D119" i="7"/>
  <c r="E119" i="7" s="1"/>
  <c r="D133" i="7"/>
  <c r="E133" i="7" s="1"/>
  <c r="AD8" i="4"/>
  <c r="G10" i="9"/>
  <c r="D163" i="7"/>
  <c r="E163" i="7" s="1"/>
  <c r="D149" i="7"/>
  <c r="E149" i="7" s="1"/>
  <c r="T9" i="4"/>
  <c r="AF9" i="4"/>
  <c r="I11" i="9"/>
  <c r="D193" i="7"/>
  <c r="E193" i="7" s="1"/>
  <c r="D179" i="7"/>
  <c r="E179" i="7" s="1"/>
  <c r="V10" i="4"/>
  <c r="AF11" i="9"/>
  <c r="K12" i="9"/>
  <c r="D223" i="7"/>
  <c r="E223" i="7" s="1"/>
  <c r="D209" i="7"/>
  <c r="E209" i="7" s="1"/>
  <c r="X11" i="4"/>
  <c r="M13" i="9"/>
  <c r="D239" i="7"/>
  <c r="E239" i="7" s="1"/>
  <c r="D253" i="7"/>
  <c r="E253" i="7" s="1"/>
  <c r="Z12" i="4"/>
  <c r="C14" i="9"/>
  <c r="D271" i="7"/>
  <c r="E271" i="7" s="1"/>
  <c r="D257" i="7"/>
  <c r="E257" i="7" s="1"/>
  <c r="O14" i="9"/>
  <c r="D269" i="7"/>
  <c r="E269" i="7" s="1"/>
  <c r="D283" i="7"/>
  <c r="E283" i="7" s="1"/>
  <c r="AB13" i="4"/>
  <c r="E15" i="9"/>
  <c r="D287" i="7"/>
  <c r="E287" i="7" s="1"/>
  <c r="D301" i="7"/>
  <c r="E301" i="7" s="1"/>
  <c r="AD14" i="4"/>
  <c r="G16" i="9"/>
  <c r="D331" i="7"/>
  <c r="E331" i="7" s="1"/>
  <c r="D317" i="7"/>
  <c r="E317" i="7" s="1"/>
  <c r="T15" i="4"/>
  <c r="AF15" i="4"/>
  <c r="I17" i="9"/>
  <c r="D361" i="7"/>
  <c r="E361" i="7" s="1"/>
  <c r="D347" i="7"/>
  <c r="E347" i="7" s="1"/>
  <c r="V16" i="4"/>
  <c r="AF17" i="9"/>
  <c r="K18" i="9"/>
  <c r="D377" i="7"/>
  <c r="E377" i="7" s="1"/>
  <c r="D391" i="7"/>
  <c r="E391" i="7" s="1"/>
  <c r="X17" i="4"/>
  <c r="M19" i="9"/>
  <c r="D407" i="7"/>
  <c r="E407" i="7" s="1"/>
  <c r="D421" i="7"/>
  <c r="E421" i="7" s="1"/>
  <c r="Z18" i="4"/>
  <c r="C4" i="5"/>
  <c r="C5" i="5"/>
  <c r="C10" i="5"/>
  <c r="C11" i="5"/>
  <c r="J5" i="9"/>
  <c r="E31" i="9" s="1"/>
  <c r="B31" i="9"/>
  <c r="B11" i="10"/>
  <c r="H11" i="10" s="1"/>
  <c r="D26" i="7"/>
  <c r="E26" i="7" s="1"/>
  <c r="C5" i="10"/>
  <c r="I5" i="10" s="1"/>
  <c r="S5" i="9"/>
  <c r="F25" i="9" s="1"/>
  <c r="H25" i="9" s="1"/>
  <c r="C25" i="9"/>
  <c r="AE5" i="9"/>
  <c r="F37" i="9" s="1"/>
  <c r="H37" i="9" s="1"/>
  <c r="C17" i="10"/>
  <c r="I17" i="10" s="1"/>
  <c r="C37" i="9"/>
  <c r="L6" i="9"/>
  <c r="D42" i="7"/>
  <c r="E42" i="7" s="1"/>
  <c r="N7" i="9"/>
  <c r="D72" i="7"/>
  <c r="E72" i="7" s="1"/>
  <c r="D86" i="7"/>
  <c r="E86" i="7" s="1"/>
  <c r="D8" i="9"/>
  <c r="D104" i="7"/>
  <c r="E104" i="7" s="1"/>
  <c r="D90" i="7"/>
  <c r="E90" i="7" s="1"/>
  <c r="P8" i="9"/>
  <c r="D116" i="7"/>
  <c r="E116" i="7" s="1"/>
  <c r="D102" i="7"/>
  <c r="E102" i="7" s="1"/>
  <c r="F9" i="9"/>
  <c r="D134" i="7"/>
  <c r="E134" i="7" s="1"/>
  <c r="D120" i="7"/>
  <c r="E120" i="7" s="1"/>
  <c r="S8" i="4"/>
  <c r="AE8" i="4"/>
  <c r="H10" i="9"/>
  <c r="D164" i="7"/>
  <c r="E164" i="7" s="1"/>
  <c r="D150" i="7"/>
  <c r="E150" i="7" s="1"/>
  <c r="U9" i="4"/>
  <c r="J11" i="9"/>
  <c r="D194" i="7"/>
  <c r="E194" i="7" s="1"/>
  <c r="D180" i="7"/>
  <c r="E180" i="7" s="1"/>
  <c r="W10" i="4"/>
  <c r="L12" i="9"/>
  <c r="D224" i="7"/>
  <c r="E224" i="7" s="1"/>
  <c r="D210" i="7"/>
  <c r="E210" i="7" s="1"/>
  <c r="Y11" i="4"/>
  <c r="N13" i="9"/>
  <c r="D254" i="7"/>
  <c r="E254" i="7" s="1"/>
  <c r="D240" i="7"/>
  <c r="E240" i="7" s="1"/>
  <c r="AA12" i="4"/>
  <c r="D14" i="9"/>
  <c r="D258" i="7"/>
  <c r="E258" i="7" s="1"/>
  <c r="D272" i="7"/>
  <c r="E272" i="7" s="1"/>
  <c r="P14" i="9"/>
  <c r="D270" i="7"/>
  <c r="E270" i="7" s="1"/>
  <c r="D284" i="7"/>
  <c r="E284" i="7" s="1"/>
  <c r="AC13" i="4"/>
  <c r="F15" i="9"/>
  <c r="D288" i="7"/>
  <c r="E288" i="7" s="1"/>
  <c r="D302" i="7"/>
  <c r="E302" i="7" s="1"/>
  <c r="S14" i="4"/>
  <c r="AE14" i="4"/>
  <c r="H16" i="9"/>
  <c r="D332" i="7"/>
  <c r="E332" i="7" s="1"/>
  <c r="D318" i="7"/>
  <c r="E318" i="7" s="1"/>
  <c r="U15" i="4"/>
  <c r="J17" i="9"/>
  <c r="D362" i="7"/>
  <c r="E362" i="7" s="1"/>
  <c r="D348" i="7"/>
  <c r="E348" i="7" s="1"/>
  <c r="W16" i="4"/>
  <c r="L18" i="9"/>
  <c r="D378" i="7"/>
  <c r="E378" i="7" s="1"/>
  <c r="D392" i="7"/>
  <c r="E392" i="7" s="1"/>
  <c r="Y17" i="4"/>
  <c r="N19" i="9"/>
  <c r="D422" i="7"/>
  <c r="E422" i="7" s="1"/>
  <c r="D408" i="7"/>
  <c r="E408" i="7" s="1"/>
  <c r="AA18" i="4"/>
  <c r="D5" i="5"/>
  <c r="G5" i="5" s="1"/>
  <c r="D6" i="5"/>
  <c r="G6" i="5" s="1"/>
  <c r="D11" i="5"/>
  <c r="D12" i="5"/>
  <c r="G12" i="5" s="1"/>
  <c r="D12" i="7"/>
  <c r="E12" i="7" s="1"/>
  <c r="G15" i="9"/>
  <c r="D289" i="7"/>
  <c r="E289" i="7" s="1"/>
  <c r="D303" i="7"/>
  <c r="E303" i="7" s="1"/>
  <c r="I16" i="9"/>
  <c r="D333" i="7"/>
  <c r="E333" i="7" s="1"/>
  <c r="D319" i="7"/>
  <c r="E319" i="7" s="1"/>
  <c r="AF16" i="9"/>
  <c r="K17" i="9"/>
  <c r="D363" i="7"/>
  <c r="E363" i="7" s="1"/>
  <c r="D349" i="7"/>
  <c r="E349" i="7" s="1"/>
  <c r="M18" i="9"/>
  <c r="D393" i="7"/>
  <c r="E393" i="7" s="1"/>
  <c r="D379" i="7"/>
  <c r="E379" i="7" s="1"/>
  <c r="Z17" i="4"/>
  <c r="C19" i="9"/>
  <c r="D411" i="7"/>
  <c r="E411" i="7" s="1"/>
  <c r="D397" i="7"/>
  <c r="E397" i="7" s="1"/>
  <c r="O19" i="9"/>
  <c r="D423" i="7"/>
  <c r="E423" i="7" s="1"/>
  <c r="D409" i="7"/>
  <c r="E409" i="7" s="1"/>
  <c r="AB18" i="4"/>
  <c r="J16" i="9"/>
  <c r="D320" i="7"/>
  <c r="E320" i="7" s="1"/>
  <c r="D334" i="7"/>
  <c r="E334" i="7" s="1"/>
  <c r="L17" i="9"/>
  <c r="D350" i="7"/>
  <c r="E350" i="7" s="1"/>
  <c r="D364" i="7"/>
  <c r="E364" i="7" s="1"/>
  <c r="N18" i="9"/>
  <c r="D380" i="7"/>
  <c r="E380" i="7" s="1"/>
  <c r="D394" i="7"/>
  <c r="E394" i="7" s="1"/>
  <c r="AA17" i="4"/>
  <c r="D19" i="9"/>
  <c r="D412" i="7"/>
  <c r="E412" i="7" s="1"/>
  <c r="D398" i="7"/>
  <c r="E398" i="7" s="1"/>
  <c r="P19" i="9"/>
  <c r="D424" i="7"/>
  <c r="E424" i="7" s="1"/>
  <c r="D410" i="7"/>
  <c r="E410" i="7" s="1"/>
  <c r="D68" i="7"/>
  <c r="E68" i="7" s="1"/>
  <c r="I15" i="9"/>
  <c r="D291" i="7"/>
  <c r="E291" i="7" s="1"/>
  <c r="D305" i="7"/>
  <c r="E305" i="7" s="1"/>
  <c r="AF15" i="9"/>
  <c r="K16" i="9"/>
  <c r="D335" i="7"/>
  <c r="E335" i="7" s="1"/>
  <c r="D321" i="7"/>
  <c r="E321" i="7" s="1"/>
  <c r="M17" i="9"/>
  <c r="D365" i="7"/>
  <c r="E365" i="7" s="1"/>
  <c r="D351" i="7"/>
  <c r="E351" i="7" s="1"/>
  <c r="C18" i="9"/>
  <c r="D369" i="7"/>
  <c r="E369" i="7" s="1"/>
  <c r="D383" i="7"/>
  <c r="E383" i="7" s="1"/>
  <c r="O18" i="9"/>
  <c r="D381" i="7"/>
  <c r="E381" i="7" s="1"/>
  <c r="D395" i="7"/>
  <c r="E395" i="7" s="1"/>
  <c r="E19" i="9"/>
  <c r="D399" i="7"/>
  <c r="E399" i="7" s="1"/>
  <c r="D413" i="7"/>
  <c r="E413" i="7" s="1"/>
  <c r="D56" i="7"/>
  <c r="E56" i="7" s="1"/>
  <c r="J9" i="9"/>
  <c r="D138" i="7"/>
  <c r="E138" i="7" s="1"/>
  <c r="D124" i="7"/>
  <c r="E124" i="7" s="1"/>
  <c r="L10" i="9"/>
  <c r="D154" i="7"/>
  <c r="E154" i="7" s="1"/>
  <c r="N11" i="9"/>
  <c r="D184" i="7"/>
  <c r="E184" i="7" s="1"/>
  <c r="D198" i="7"/>
  <c r="E198" i="7" s="1"/>
  <c r="D12" i="9"/>
  <c r="D202" i="7"/>
  <c r="E202" i="7" s="1"/>
  <c r="D216" i="7"/>
  <c r="E216" i="7" s="1"/>
  <c r="P12" i="9"/>
  <c r="D214" i="7"/>
  <c r="E214" i="7" s="1"/>
  <c r="D228" i="7"/>
  <c r="E228" i="7" s="1"/>
  <c r="F13" i="9"/>
  <c r="D246" i="7"/>
  <c r="E246" i="7" s="1"/>
  <c r="D232" i="7"/>
  <c r="E232" i="7" s="1"/>
  <c r="H14" i="9"/>
  <c r="D262" i="7"/>
  <c r="E262" i="7" s="1"/>
  <c r="D276" i="7"/>
  <c r="E276" i="7" s="1"/>
  <c r="J15" i="9"/>
  <c r="D292" i="7"/>
  <c r="E292" i="7" s="1"/>
  <c r="D306" i="7"/>
  <c r="E306" i="7" s="1"/>
  <c r="W14" i="4"/>
  <c r="L16" i="9"/>
  <c r="D336" i="7"/>
  <c r="E336" i="7" s="1"/>
  <c r="D322" i="7"/>
  <c r="E322" i="7" s="1"/>
  <c r="Y15" i="4"/>
  <c r="N17" i="9"/>
  <c r="D366" i="7"/>
  <c r="E366" i="7" s="1"/>
  <c r="D352" i="7"/>
  <c r="E352" i="7" s="1"/>
  <c r="AA16" i="4"/>
  <c r="D18" i="9"/>
  <c r="D370" i="7"/>
  <c r="E370" i="7" s="1"/>
  <c r="D384" i="7"/>
  <c r="E384" i="7" s="1"/>
  <c r="P18" i="9"/>
  <c r="D396" i="7"/>
  <c r="E396" i="7" s="1"/>
  <c r="D382" i="7"/>
  <c r="E382" i="7" s="1"/>
  <c r="AC17" i="4"/>
  <c r="F19" i="9"/>
  <c r="D414" i="7"/>
  <c r="E414" i="7" s="1"/>
  <c r="D400" i="7"/>
  <c r="E400" i="7" s="1"/>
  <c r="S18" i="4"/>
  <c r="AE18" i="4"/>
  <c r="H6" i="5"/>
  <c r="H7" i="5"/>
  <c r="H10" i="5"/>
  <c r="H11" i="5"/>
  <c r="H12" i="5"/>
  <c r="H13" i="5"/>
  <c r="G19" i="9"/>
  <c r="D401" i="7"/>
  <c r="E401" i="7" s="1"/>
  <c r="D415" i="7"/>
  <c r="E415" i="7" s="1"/>
  <c r="D11" i="7"/>
  <c r="E11" i="7" s="1"/>
  <c r="H19" i="9"/>
  <c r="D402" i="7"/>
  <c r="E402" i="7" s="1"/>
  <c r="D416" i="7"/>
  <c r="E416" i="7" s="1"/>
  <c r="D8" i="7"/>
  <c r="E8" i="7" s="1"/>
  <c r="K7" i="5"/>
  <c r="K8" i="5"/>
  <c r="K11" i="5"/>
  <c r="K12" i="5"/>
  <c r="K13" i="5"/>
  <c r="K14" i="5"/>
  <c r="C107" i="13"/>
  <c r="N9" i="10"/>
  <c r="O11" i="10"/>
  <c r="N11" i="10"/>
  <c r="E4" i="10"/>
  <c r="I10" i="10"/>
  <c r="H4" i="10"/>
  <c r="I8" i="10"/>
  <c r="F108" i="13"/>
  <c r="H14" i="10"/>
  <c r="L14" i="10"/>
  <c r="K14" i="10"/>
  <c r="N14" i="10"/>
  <c r="E5" i="10"/>
  <c r="D107" i="13"/>
  <c r="N12" i="10"/>
  <c r="N13" i="10"/>
  <c r="K15" i="10"/>
  <c r="K16" i="10"/>
  <c r="F107" i="13"/>
  <c r="F7" i="10"/>
  <c r="B43" i="12"/>
  <c r="E7" i="10"/>
  <c r="N15" i="10"/>
  <c r="O16" i="10"/>
  <c r="D108" i="13"/>
  <c r="C108" i="13"/>
  <c r="B108" i="13"/>
  <c r="F109" i="13"/>
  <c r="D109" i="13"/>
  <c r="C109" i="13"/>
  <c r="H6" i="10"/>
  <c r="H7" i="10"/>
  <c r="B109" i="13"/>
  <c r="H8" i="10"/>
  <c r="E12" i="10"/>
  <c r="B42" i="12"/>
  <c r="K7" i="10"/>
  <c r="H12" i="10"/>
  <c r="H13" i="10"/>
  <c r="E16" i="10"/>
  <c r="E17" i="10"/>
  <c r="I12" i="10"/>
  <c r="K9" i="10"/>
  <c r="K10" i="10"/>
  <c r="B41" i="12"/>
  <c r="B107" i="13"/>
  <c r="G11" i="5" l="1"/>
  <c r="E10" i="5"/>
  <c r="L10" i="5" s="1"/>
  <c r="B117" i="13"/>
  <c r="F8" i="5"/>
  <c r="H5" i="10"/>
  <c r="I7" i="10"/>
  <c r="E4" i="5"/>
  <c r="L4" i="5" s="1"/>
  <c r="B119" i="13"/>
  <c r="F5" i="10"/>
  <c r="O5" i="10"/>
  <c r="F16" i="10"/>
  <c r="G4" i="5"/>
  <c r="G8" i="5"/>
  <c r="F17" i="10"/>
  <c r="E11" i="5"/>
  <c r="L11" i="5" s="1"/>
  <c r="G9" i="5"/>
  <c r="G10" i="5"/>
  <c r="L17" i="10"/>
  <c r="L16" i="10"/>
  <c r="I9" i="10"/>
  <c r="E6" i="5"/>
  <c r="L6" i="5" s="1"/>
  <c r="E13" i="5"/>
  <c r="L13" i="5" s="1"/>
  <c r="O12" i="10"/>
  <c r="O9" i="10"/>
  <c r="C42" i="12"/>
  <c r="D42" i="12" s="1"/>
  <c r="G7" i="5"/>
  <c r="E14" i="5"/>
  <c r="L14" i="5" s="1"/>
  <c r="C110" i="13"/>
  <c r="C135" i="13"/>
  <c r="C134" i="13"/>
  <c r="AG18" i="9"/>
  <c r="Q18" i="9"/>
  <c r="G360" i="7"/>
  <c r="F360" i="7"/>
  <c r="G84" i="7"/>
  <c r="F84" i="7"/>
  <c r="G191" i="7"/>
  <c r="F191" i="7"/>
  <c r="G314" i="7"/>
  <c r="F314" i="7"/>
  <c r="G220" i="7"/>
  <c r="F220" i="7"/>
  <c r="G128" i="7"/>
  <c r="F128" i="7"/>
  <c r="G51" i="7"/>
  <c r="F51" i="7"/>
  <c r="G111" i="7"/>
  <c r="F111" i="7"/>
  <c r="F201" i="7"/>
  <c r="G201" i="7"/>
  <c r="G96" i="7"/>
  <c r="F96" i="7"/>
  <c r="N6" i="10"/>
  <c r="E6" i="10"/>
  <c r="G20" i="7"/>
  <c r="F20" i="7"/>
  <c r="F325" i="7"/>
  <c r="G325" i="7"/>
  <c r="G49" i="7"/>
  <c r="F49" i="7"/>
  <c r="G196" i="7"/>
  <c r="F196" i="7"/>
  <c r="F337" i="7"/>
  <c r="G337" i="7"/>
  <c r="G141" i="7"/>
  <c r="F141" i="7"/>
  <c r="J13" i="5"/>
  <c r="M13" i="5" s="1"/>
  <c r="I13" i="5"/>
  <c r="F382" i="7"/>
  <c r="G382" i="7"/>
  <c r="F336" i="7"/>
  <c r="G336" i="7"/>
  <c r="G228" i="7"/>
  <c r="F228" i="7"/>
  <c r="G138" i="7"/>
  <c r="F138" i="7"/>
  <c r="G351" i="7"/>
  <c r="F351" i="7"/>
  <c r="G424" i="7"/>
  <c r="F424" i="7"/>
  <c r="F334" i="7"/>
  <c r="G334" i="7"/>
  <c r="G393" i="7"/>
  <c r="F393" i="7"/>
  <c r="G12" i="7"/>
  <c r="F12" i="7"/>
  <c r="F288" i="7"/>
  <c r="G288" i="7"/>
  <c r="G86" i="7"/>
  <c r="F86" i="7"/>
  <c r="F391" i="7"/>
  <c r="G391" i="7"/>
  <c r="G115" i="7"/>
  <c r="F115" i="7"/>
  <c r="G346" i="7"/>
  <c r="F346" i="7"/>
  <c r="G268" i="7"/>
  <c r="F268" i="7"/>
  <c r="G130" i="7"/>
  <c r="F130" i="7"/>
  <c r="G29" i="9"/>
  <c r="G70" i="7"/>
  <c r="F70" i="7"/>
  <c r="G359" i="7"/>
  <c r="F359" i="7"/>
  <c r="G281" i="7"/>
  <c r="F281" i="7"/>
  <c r="G404" i="7"/>
  <c r="F404" i="7"/>
  <c r="F328" i="7"/>
  <c r="G328" i="7"/>
  <c r="G206" i="7"/>
  <c r="F206" i="7"/>
  <c r="G142" i="7"/>
  <c r="F142" i="7"/>
  <c r="F6" i="10"/>
  <c r="O6" i="10"/>
  <c r="G53" i="7"/>
  <c r="F53" i="7"/>
  <c r="G241" i="7"/>
  <c r="F241" i="7"/>
  <c r="G203" i="7"/>
  <c r="F203" i="7"/>
  <c r="G23" i="7"/>
  <c r="F23" i="7"/>
  <c r="G175" i="7"/>
  <c r="F175" i="7"/>
  <c r="AG12" i="9"/>
  <c r="Q12" i="9"/>
  <c r="G110" i="7"/>
  <c r="F110" i="7"/>
  <c r="G26" i="9"/>
  <c r="G166" i="7"/>
  <c r="F166" i="7"/>
  <c r="AG11" i="9"/>
  <c r="Q11" i="9"/>
  <c r="G109" i="7"/>
  <c r="F109" i="7"/>
  <c r="G156" i="7"/>
  <c r="F156" i="7"/>
  <c r="G371" i="7"/>
  <c r="F371" i="7"/>
  <c r="G181" i="7"/>
  <c r="F181" i="7"/>
  <c r="G33" i="7"/>
  <c r="F33" i="7"/>
  <c r="G320" i="7"/>
  <c r="F320" i="7"/>
  <c r="G72" i="7"/>
  <c r="F72" i="7"/>
  <c r="F377" i="7"/>
  <c r="G377" i="7"/>
  <c r="G253" i="7"/>
  <c r="F253" i="7"/>
  <c r="H9" i="10"/>
  <c r="E9" i="10"/>
  <c r="G345" i="7"/>
  <c r="F345" i="7"/>
  <c r="G267" i="7"/>
  <c r="F267" i="7"/>
  <c r="G161" i="7"/>
  <c r="F161" i="7"/>
  <c r="G22" i="7"/>
  <c r="F22" i="7"/>
  <c r="K89" i="7"/>
  <c r="M89" i="7" s="1"/>
  <c r="H89" i="7"/>
  <c r="G307" i="7"/>
  <c r="F307" i="7"/>
  <c r="G218" i="7"/>
  <c r="F218" i="7"/>
  <c r="G255" i="7"/>
  <c r="F255" i="7"/>
  <c r="G189" i="7"/>
  <c r="F189" i="7"/>
  <c r="G25" i="9"/>
  <c r="G152" i="7"/>
  <c r="F152" i="7"/>
  <c r="G226" i="7"/>
  <c r="F226" i="7"/>
  <c r="G170" i="7"/>
  <c r="F170" i="7"/>
  <c r="G354" i="7"/>
  <c r="F354" i="7"/>
  <c r="F11" i="5"/>
  <c r="G155" i="7"/>
  <c r="F155" i="7"/>
  <c r="G16" i="7"/>
  <c r="F16" i="7"/>
  <c r="K168" i="7"/>
  <c r="M168" i="7" s="1"/>
  <c r="H168" i="7"/>
  <c r="G385" i="7"/>
  <c r="F385" i="7"/>
  <c r="G195" i="7"/>
  <c r="F195" i="7"/>
  <c r="G91" i="7"/>
  <c r="F91" i="7"/>
  <c r="G47" i="7"/>
  <c r="F47" i="7"/>
  <c r="F322" i="7"/>
  <c r="G322" i="7"/>
  <c r="G410" i="7"/>
  <c r="F410" i="7"/>
  <c r="G378" i="7"/>
  <c r="F378" i="7"/>
  <c r="G193" i="7"/>
  <c r="F193" i="7"/>
  <c r="G24" i="7"/>
  <c r="F24" i="7"/>
  <c r="G113" i="7"/>
  <c r="F113" i="7"/>
  <c r="G39" i="7"/>
  <c r="F39" i="7"/>
  <c r="G217" i="7"/>
  <c r="F217" i="7"/>
  <c r="J12" i="5"/>
  <c r="M12" i="5" s="1"/>
  <c r="I12" i="5"/>
  <c r="G396" i="7"/>
  <c r="F396" i="7"/>
  <c r="G214" i="7"/>
  <c r="F214" i="7"/>
  <c r="F365" i="7"/>
  <c r="G365" i="7"/>
  <c r="J11" i="5"/>
  <c r="M11" i="5" s="1"/>
  <c r="I11" i="5"/>
  <c r="G56" i="7"/>
  <c r="F56" i="7"/>
  <c r="G398" i="7"/>
  <c r="F398" i="7"/>
  <c r="G349" i="7"/>
  <c r="F349" i="7"/>
  <c r="G348" i="7"/>
  <c r="F348" i="7"/>
  <c r="G210" i="7"/>
  <c r="F210" i="7"/>
  <c r="G31" i="9"/>
  <c r="G301" i="7"/>
  <c r="F301" i="7"/>
  <c r="G239" i="7"/>
  <c r="F239" i="7"/>
  <c r="G103" i="7"/>
  <c r="F103" i="7"/>
  <c r="F330" i="7"/>
  <c r="G330" i="7"/>
  <c r="G222" i="7"/>
  <c r="F222" i="7"/>
  <c r="G132" i="7"/>
  <c r="F132" i="7"/>
  <c r="G147" i="7"/>
  <c r="F147" i="7"/>
  <c r="G388" i="7"/>
  <c r="F388" i="7"/>
  <c r="G296" i="7"/>
  <c r="F296" i="7"/>
  <c r="G176" i="7"/>
  <c r="F176" i="7"/>
  <c r="G98" i="7"/>
  <c r="F98" i="7"/>
  <c r="F12" i="5"/>
  <c r="L89" i="7"/>
  <c r="N89" i="7" s="1"/>
  <c r="I89" i="7"/>
  <c r="G293" i="7"/>
  <c r="F293" i="7"/>
  <c r="G204" i="7"/>
  <c r="F204" i="7"/>
  <c r="G75" i="7"/>
  <c r="F75" i="7"/>
  <c r="E8" i="10"/>
  <c r="N8" i="10"/>
  <c r="E26" i="12"/>
  <c r="D26" i="12"/>
  <c r="D8" i="12"/>
  <c r="E8" i="12"/>
  <c r="E5" i="12"/>
  <c r="D5" i="12"/>
  <c r="G77" i="7"/>
  <c r="F77" i="7"/>
  <c r="G186" i="7"/>
  <c r="F186" i="7"/>
  <c r="G88" i="7"/>
  <c r="F88" i="7"/>
  <c r="G212" i="7"/>
  <c r="F212" i="7"/>
  <c r="G171" i="7"/>
  <c r="F171" i="7"/>
  <c r="J9" i="5"/>
  <c r="M9" i="5" s="1"/>
  <c r="I9" i="5"/>
  <c r="G17" i="7"/>
  <c r="F17" i="7"/>
  <c r="F368" i="7"/>
  <c r="G368" i="7"/>
  <c r="G169" i="7"/>
  <c r="F169" i="7"/>
  <c r="G30" i="7"/>
  <c r="F30" i="7"/>
  <c r="I168" i="7"/>
  <c r="L168" i="7"/>
  <c r="N168" i="7" s="1"/>
  <c r="G260" i="7"/>
  <c r="F260" i="7"/>
  <c r="G105" i="7"/>
  <c r="F105" i="7"/>
  <c r="AG6" i="9"/>
  <c r="Q6" i="9"/>
  <c r="Q15" i="9"/>
  <c r="AG15" i="9"/>
  <c r="G290" i="7"/>
  <c r="F290" i="7"/>
  <c r="E108" i="13"/>
  <c r="G108" i="13"/>
  <c r="J10" i="5"/>
  <c r="M10" i="5" s="1"/>
  <c r="I10" i="5"/>
  <c r="G384" i="7"/>
  <c r="F384" i="7"/>
  <c r="G306" i="7"/>
  <c r="F306" i="7"/>
  <c r="G216" i="7"/>
  <c r="F216" i="7"/>
  <c r="F413" i="7"/>
  <c r="G413" i="7"/>
  <c r="G321" i="7"/>
  <c r="F321" i="7"/>
  <c r="G412" i="7"/>
  <c r="F412" i="7"/>
  <c r="G363" i="7"/>
  <c r="F363" i="7"/>
  <c r="G362" i="7"/>
  <c r="F362" i="7"/>
  <c r="G284" i="7"/>
  <c r="F284" i="7"/>
  <c r="G224" i="7"/>
  <c r="F224" i="7"/>
  <c r="G120" i="7"/>
  <c r="F120" i="7"/>
  <c r="G42" i="7"/>
  <c r="F42" i="7"/>
  <c r="G287" i="7"/>
  <c r="F287" i="7"/>
  <c r="G149" i="7"/>
  <c r="F149" i="7"/>
  <c r="AG8" i="9"/>
  <c r="Q8" i="9"/>
  <c r="F24" i="9"/>
  <c r="H24" i="9" s="1"/>
  <c r="AF5" i="9"/>
  <c r="G316" i="7"/>
  <c r="F316" i="7"/>
  <c r="G208" i="7"/>
  <c r="F208" i="7"/>
  <c r="G118" i="7"/>
  <c r="F118" i="7"/>
  <c r="F10" i="5"/>
  <c r="G315" i="7"/>
  <c r="F315" i="7"/>
  <c r="G237" i="7"/>
  <c r="F237" i="7"/>
  <c r="F374" i="7"/>
  <c r="G374" i="7"/>
  <c r="G310" i="7"/>
  <c r="F310" i="7"/>
  <c r="G190" i="7"/>
  <c r="F190" i="7"/>
  <c r="G112" i="7"/>
  <c r="F112" i="7"/>
  <c r="F341" i="7"/>
  <c r="G341" i="7"/>
  <c r="J5" i="5"/>
  <c r="I5" i="5"/>
  <c r="M5" i="5"/>
  <c r="G294" i="7"/>
  <c r="F294" i="7"/>
  <c r="G219" i="7"/>
  <c r="F219" i="7"/>
  <c r="G61" i="7"/>
  <c r="F61" i="7"/>
  <c r="G28" i="9"/>
  <c r="G63" i="7"/>
  <c r="F63" i="7"/>
  <c r="G279" i="7"/>
  <c r="F279" i="7"/>
  <c r="G200" i="7"/>
  <c r="F200" i="7"/>
  <c r="G74" i="7"/>
  <c r="F74" i="7"/>
  <c r="G13" i="7"/>
  <c r="F13" i="7"/>
  <c r="G157" i="7"/>
  <c r="F157" i="7"/>
  <c r="J8" i="5"/>
  <c r="M8" i="5" s="1"/>
  <c r="I8" i="5"/>
  <c r="G277" i="7"/>
  <c r="F277" i="7"/>
  <c r="G31" i="7"/>
  <c r="F31" i="7"/>
  <c r="G313" i="7"/>
  <c r="F313" i="7"/>
  <c r="G35" i="9"/>
  <c r="G274" i="7"/>
  <c r="F274" i="7"/>
  <c r="G254" i="7"/>
  <c r="F254" i="7"/>
  <c r="G26" i="7"/>
  <c r="F26" i="7"/>
  <c r="F331" i="7"/>
  <c r="G331" i="7"/>
  <c r="G101" i="7"/>
  <c r="F101" i="7"/>
  <c r="G282" i="7"/>
  <c r="F282" i="7"/>
  <c r="F418" i="7"/>
  <c r="G418" i="7"/>
  <c r="G353" i="7"/>
  <c r="F353" i="7"/>
  <c r="B110" i="13"/>
  <c r="G107" i="13"/>
  <c r="E107" i="13"/>
  <c r="D110" i="13"/>
  <c r="G8" i="7"/>
  <c r="F8" i="7"/>
  <c r="J7" i="5"/>
  <c r="M7" i="5" s="1"/>
  <c r="I7" i="5"/>
  <c r="F370" i="7"/>
  <c r="G370" i="7"/>
  <c r="G292" i="7"/>
  <c r="F292" i="7"/>
  <c r="G202" i="7"/>
  <c r="F202" i="7"/>
  <c r="G399" i="7"/>
  <c r="F399" i="7"/>
  <c r="F335" i="7"/>
  <c r="G335" i="7"/>
  <c r="G409" i="7"/>
  <c r="F409" i="7"/>
  <c r="G270" i="7"/>
  <c r="F270" i="7"/>
  <c r="G134" i="7"/>
  <c r="F134" i="7"/>
  <c r="G163" i="7"/>
  <c r="F163" i="7"/>
  <c r="F4" i="5"/>
  <c r="F15" i="10"/>
  <c r="O15" i="10"/>
  <c r="I15" i="10"/>
  <c r="F329" i="7"/>
  <c r="G329" i="7"/>
  <c r="G251" i="7"/>
  <c r="F251" i="7"/>
  <c r="G143" i="7"/>
  <c r="F143" i="7"/>
  <c r="G27" i="9"/>
  <c r="G355" i="7"/>
  <c r="F355" i="7"/>
  <c r="G151" i="7"/>
  <c r="F151" i="7"/>
  <c r="G67" i="7"/>
  <c r="F67" i="7"/>
  <c r="G308" i="7"/>
  <c r="F308" i="7"/>
  <c r="G205" i="7"/>
  <c r="F205" i="7"/>
  <c r="G87" i="7"/>
  <c r="F87" i="7"/>
  <c r="G79" i="7"/>
  <c r="F79" i="7"/>
  <c r="Q7" i="9"/>
  <c r="AG7" i="9"/>
  <c r="G122" i="7"/>
  <c r="F122" i="7"/>
  <c r="I18" i="3"/>
  <c r="J18" i="3"/>
  <c r="H18" i="3"/>
  <c r="E23" i="12"/>
  <c r="D23" i="12"/>
  <c r="G265" i="7"/>
  <c r="F265" i="7"/>
  <c r="F338" i="7"/>
  <c r="G338" i="7"/>
  <c r="G27" i="7"/>
  <c r="F27" i="7"/>
  <c r="G249" i="7"/>
  <c r="F249" i="7"/>
  <c r="G263" i="7"/>
  <c r="F263" i="7"/>
  <c r="G94" i="7"/>
  <c r="F94" i="7"/>
  <c r="G36" i="9"/>
  <c r="F327" i="7"/>
  <c r="G327" i="7"/>
  <c r="H15" i="10"/>
  <c r="E15" i="10"/>
  <c r="F8" i="10"/>
  <c r="O8" i="10"/>
  <c r="G124" i="7"/>
  <c r="F124" i="7"/>
  <c r="F379" i="7"/>
  <c r="G379" i="7"/>
  <c r="G302" i="7"/>
  <c r="F302" i="7"/>
  <c r="G164" i="7"/>
  <c r="F164" i="7"/>
  <c r="AG14" i="9"/>
  <c r="Q14" i="9"/>
  <c r="G144" i="7"/>
  <c r="F144" i="7"/>
  <c r="G9" i="7"/>
  <c r="F9" i="7"/>
  <c r="G95" i="7"/>
  <c r="F95" i="7"/>
  <c r="B46" i="12"/>
  <c r="G416" i="7"/>
  <c r="F416" i="7"/>
  <c r="J6" i="5"/>
  <c r="M6" i="5" s="1"/>
  <c r="I6" i="5"/>
  <c r="F423" i="7"/>
  <c r="G423" i="7"/>
  <c r="E5" i="5"/>
  <c r="L5" i="5" s="1"/>
  <c r="G347" i="7"/>
  <c r="F347" i="7"/>
  <c r="G209" i="7"/>
  <c r="F209" i="7"/>
  <c r="G85" i="7"/>
  <c r="F85" i="7"/>
  <c r="O4" i="10"/>
  <c r="I4" i="10"/>
  <c r="G298" i="7"/>
  <c r="F298" i="7"/>
  <c r="G178" i="7"/>
  <c r="F178" i="7"/>
  <c r="G100" i="7"/>
  <c r="F100" i="7"/>
  <c r="F406" i="7"/>
  <c r="G406" i="7"/>
  <c r="G419" i="7"/>
  <c r="F419" i="7"/>
  <c r="G129" i="7"/>
  <c r="F129" i="7"/>
  <c r="G344" i="7"/>
  <c r="F344" i="7"/>
  <c r="G280" i="7"/>
  <c r="F280" i="7"/>
  <c r="G172" i="7"/>
  <c r="F172" i="7"/>
  <c r="G82" i="7"/>
  <c r="F82" i="7"/>
  <c r="AG17" i="9"/>
  <c r="Q17" i="9"/>
  <c r="G165" i="7"/>
  <c r="F165" i="7"/>
  <c r="G81" i="7"/>
  <c r="F81" i="7"/>
  <c r="G73" i="7"/>
  <c r="F73" i="7"/>
  <c r="G256" i="7"/>
  <c r="F256" i="7"/>
  <c r="J4" i="5"/>
  <c r="M4" i="5" s="1"/>
  <c r="I4" i="5"/>
  <c r="G65" i="7"/>
  <c r="F65" i="7"/>
  <c r="G243" i="7"/>
  <c r="F243" i="7"/>
  <c r="F136" i="7"/>
  <c r="G136" i="7"/>
  <c r="I14" i="10"/>
  <c r="O14" i="10"/>
  <c r="G356" i="7"/>
  <c r="F356" i="7"/>
  <c r="G34" i="7"/>
  <c r="F34" i="7"/>
  <c r="G76" i="7"/>
  <c r="F76" i="7"/>
  <c r="G18" i="7"/>
  <c r="F18" i="7"/>
  <c r="F324" i="7"/>
  <c r="G324" i="7"/>
  <c r="G32" i="9"/>
  <c r="G185" i="7"/>
  <c r="F185" i="7"/>
  <c r="F5" i="5"/>
  <c r="G235" i="7"/>
  <c r="F235" i="7"/>
  <c r="G108" i="7"/>
  <c r="F108" i="7"/>
  <c r="AG16" i="9"/>
  <c r="Q16" i="9"/>
  <c r="G93" i="7"/>
  <c r="F93" i="7"/>
  <c r="G233" i="7"/>
  <c r="F233" i="7"/>
  <c r="E12" i="5"/>
  <c r="L12" i="5" s="1"/>
  <c r="G167" i="7"/>
  <c r="F167" i="7"/>
  <c r="F83" i="7"/>
  <c r="G83" i="7"/>
  <c r="F264" i="7"/>
  <c r="G264" i="7"/>
  <c r="G402" i="7"/>
  <c r="F402" i="7"/>
  <c r="F276" i="7"/>
  <c r="G276" i="7"/>
  <c r="G198" i="7"/>
  <c r="F198" i="7"/>
  <c r="G395" i="7"/>
  <c r="F395" i="7"/>
  <c r="F394" i="7"/>
  <c r="G394" i="7"/>
  <c r="G319" i="7"/>
  <c r="F319" i="7"/>
  <c r="G408" i="7"/>
  <c r="F408" i="7"/>
  <c r="G318" i="7"/>
  <c r="F318" i="7"/>
  <c r="G272" i="7"/>
  <c r="F272" i="7"/>
  <c r="G180" i="7"/>
  <c r="F180" i="7"/>
  <c r="G102" i="7"/>
  <c r="F102" i="7"/>
  <c r="G361" i="7"/>
  <c r="F361" i="7"/>
  <c r="G283" i="7"/>
  <c r="F283" i="7"/>
  <c r="G223" i="7"/>
  <c r="F223" i="7"/>
  <c r="F71" i="7"/>
  <c r="G71" i="7"/>
  <c r="G25" i="7"/>
  <c r="F25" i="7"/>
  <c r="G312" i="7"/>
  <c r="F312" i="7"/>
  <c r="G192" i="7"/>
  <c r="F192" i="7"/>
  <c r="G114" i="7"/>
  <c r="F114" i="7"/>
  <c r="G420" i="7"/>
  <c r="F420" i="7"/>
  <c r="G405" i="7"/>
  <c r="F405" i="7"/>
  <c r="G297" i="7"/>
  <c r="F297" i="7"/>
  <c r="G358" i="7"/>
  <c r="F358" i="7"/>
  <c r="G266" i="7"/>
  <c r="F266" i="7"/>
  <c r="G158" i="7"/>
  <c r="F158" i="7"/>
  <c r="B118" i="13"/>
  <c r="F9" i="5"/>
  <c r="G242" i="7"/>
  <c r="F242" i="7"/>
  <c r="G123" i="7"/>
  <c r="F123" i="7"/>
  <c r="G229" i="7"/>
  <c r="F229" i="7"/>
  <c r="G342" i="7"/>
  <c r="F342" i="7"/>
  <c r="G121" i="7"/>
  <c r="F121" i="7"/>
  <c r="G48" i="7"/>
  <c r="F48" i="7"/>
  <c r="G227" i="7"/>
  <c r="F227" i="7"/>
  <c r="G188" i="7"/>
  <c r="F188" i="7"/>
  <c r="G62" i="7"/>
  <c r="F62" i="7"/>
  <c r="G32" i="7"/>
  <c r="F32" i="7"/>
  <c r="G199" i="7"/>
  <c r="F199" i="7"/>
  <c r="G373" i="7"/>
  <c r="F373" i="7"/>
  <c r="G107" i="7"/>
  <c r="F107" i="7"/>
  <c r="G247" i="7"/>
  <c r="F247" i="7"/>
  <c r="F343" i="7"/>
  <c r="G343" i="7"/>
  <c r="G248" i="7"/>
  <c r="F248" i="7"/>
  <c r="G153" i="7"/>
  <c r="F153" i="7"/>
  <c r="G69" i="7"/>
  <c r="F69" i="7"/>
  <c r="G14" i="7"/>
  <c r="F14" i="7"/>
  <c r="G60" i="7"/>
  <c r="F60" i="7"/>
  <c r="G173" i="7"/>
  <c r="F173" i="7"/>
  <c r="G352" i="7"/>
  <c r="F352" i="7"/>
  <c r="G262" i="7"/>
  <c r="F262" i="7"/>
  <c r="G184" i="7"/>
  <c r="F184" i="7"/>
  <c r="G381" i="7"/>
  <c r="F381" i="7"/>
  <c r="G305" i="7"/>
  <c r="F305" i="7"/>
  <c r="G380" i="7"/>
  <c r="F380" i="7"/>
  <c r="G397" i="7"/>
  <c r="F397" i="7"/>
  <c r="F333" i="7"/>
  <c r="G333" i="7"/>
  <c r="G422" i="7"/>
  <c r="F422" i="7"/>
  <c r="F332" i="7"/>
  <c r="G332" i="7"/>
  <c r="G258" i="7"/>
  <c r="F258" i="7"/>
  <c r="G194" i="7"/>
  <c r="F194" i="7"/>
  <c r="G116" i="7"/>
  <c r="F116" i="7"/>
  <c r="G269" i="7"/>
  <c r="F269" i="7"/>
  <c r="G133" i="7"/>
  <c r="F133" i="7"/>
  <c r="G311" i="7"/>
  <c r="F311" i="7"/>
  <c r="G221" i="7"/>
  <c r="F221" i="7"/>
  <c r="G131" i="7"/>
  <c r="F131" i="7"/>
  <c r="G38" i="7"/>
  <c r="F38" i="7"/>
  <c r="G295" i="7"/>
  <c r="F295" i="7"/>
  <c r="G92" i="7"/>
  <c r="F92" i="7"/>
  <c r="G273" i="7"/>
  <c r="F273" i="7"/>
  <c r="G137" i="7"/>
  <c r="F137" i="7"/>
  <c r="K10" i="7"/>
  <c r="M10" i="7" s="1"/>
  <c r="H10" i="7"/>
  <c r="AG13" i="9"/>
  <c r="Q13" i="9"/>
  <c r="G78" i="7"/>
  <c r="F78" i="7"/>
  <c r="G135" i="7"/>
  <c r="F135" i="7"/>
  <c r="F213" i="7"/>
  <c r="G213" i="7"/>
  <c r="G174" i="7"/>
  <c r="F174" i="7"/>
  <c r="G15" i="7"/>
  <c r="F15" i="7"/>
  <c r="G145" i="7"/>
  <c r="F145" i="7"/>
  <c r="G19" i="7"/>
  <c r="F19" i="7"/>
  <c r="G387" i="7"/>
  <c r="F387" i="7"/>
  <c r="G261" i="7"/>
  <c r="F261" i="7"/>
  <c r="G357" i="7"/>
  <c r="F357" i="7"/>
  <c r="F234" i="7"/>
  <c r="G234" i="7"/>
  <c r="G28" i="7"/>
  <c r="F28" i="7"/>
  <c r="F300" i="7"/>
  <c r="G300" i="7"/>
  <c r="G162" i="7"/>
  <c r="F162" i="7"/>
  <c r="G54" i="7"/>
  <c r="F54" i="7"/>
  <c r="F252" i="7"/>
  <c r="G252" i="7"/>
  <c r="G207" i="7"/>
  <c r="F207" i="7"/>
  <c r="G117" i="7"/>
  <c r="F117" i="7"/>
  <c r="F340" i="7"/>
  <c r="G340" i="7"/>
  <c r="G236" i="7"/>
  <c r="F236" i="7"/>
  <c r="G160" i="7"/>
  <c r="F160" i="7"/>
  <c r="G52" i="7"/>
  <c r="F52" i="7"/>
  <c r="F13" i="5"/>
  <c r="G309" i="7"/>
  <c r="F309" i="7"/>
  <c r="G43" i="7"/>
  <c r="F43" i="7"/>
  <c r="G106" i="7"/>
  <c r="F106" i="7"/>
  <c r="G259" i="7"/>
  <c r="F259" i="7"/>
  <c r="E8" i="5"/>
  <c r="L8" i="5" s="1"/>
  <c r="G80" i="7"/>
  <c r="F80" i="7"/>
  <c r="G126" i="7"/>
  <c r="F126" i="7"/>
  <c r="G244" i="7"/>
  <c r="F244" i="7"/>
  <c r="L10" i="7"/>
  <c r="N10" i="7" s="1"/>
  <c r="I10" i="7"/>
  <c r="G44" i="7"/>
  <c r="F44" i="7"/>
  <c r="G64" i="7"/>
  <c r="F64" i="7"/>
  <c r="E35" i="12"/>
  <c r="D35" i="12"/>
  <c r="G37" i="9"/>
  <c r="G29" i="7"/>
  <c r="F29" i="7"/>
  <c r="G159" i="7"/>
  <c r="F159" i="7"/>
  <c r="J14" i="5"/>
  <c r="M14" i="5" s="1"/>
  <c r="I14" i="5"/>
  <c r="G225" i="7"/>
  <c r="F225" i="7"/>
  <c r="G36" i="7"/>
  <c r="F36" i="7"/>
  <c r="G5" i="7"/>
  <c r="F5" i="7"/>
  <c r="G183" i="7"/>
  <c r="F183" i="7"/>
  <c r="G275" i="7"/>
  <c r="F275" i="7"/>
  <c r="G11" i="7"/>
  <c r="F11" i="7"/>
  <c r="G366" i="7"/>
  <c r="F366" i="7"/>
  <c r="G291" i="7"/>
  <c r="F291" i="7"/>
  <c r="G421" i="7"/>
  <c r="F421" i="7"/>
  <c r="G119" i="7"/>
  <c r="F119" i="7"/>
  <c r="G30" i="9"/>
  <c r="F376" i="7"/>
  <c r="G376" i="7"/>
  <c r="G232" i="7"/>
  <c r="F232" i="7"/>
  <c r="G55" i="7"/>
  <c r="F55" i="7"/>
  <c r="G390" i="7"/>
  <c r="F390" i="7"/>
  <c r="G286" i="7"/>
  <c r="F286" i="7"/>
  <c r="F148" i="7"/>
  <c r="G148" i="7"/>
  <c r="G40" i="7"/>
  <c r="F40" i="7"/>
  <c r="F238" i="7"/>
  <c r="G238" i="7"/>
  <c r="F389" i="7"/>
  <c r="G389" i="7"/>
  <c r="G285" i="7"/>
  <c r="F285" i="7"/>
  <c r="Q9" i="9"/>
  <c r="AG9" i="9"/>
  <c r="F326" i="7"/>
  <c r="G326" i="7"/>
  <c r="G250" i="7"/>
  <c r="F250" i="7"/>
  <c r="G146" i="7"/>
  <c r="F146" i="7"/>
  <c r="G125" i="7"/>
  <c r="F125" i="7"/>
  <c r="G57" i="7"/>
  <c r="F57" i="7"/>
  <c r="G245" i="7"/>
  <c r="F245" i="7"/>
  <c r="G66" i="7"/>
  <c r="F66" i="7"/>
  <c r="G140" i="7"/>
  <c r="F140" i="7"/>
  <c r="G230" i="7"/>
  <c r="F230" i="7"/>
  <c r="G58" i="7"/>
  <c r="F58" i="7"/>
  <c r="F7" i="5"/>
  <c r="G7" i="7"/>
  <c r="F7" i="7"/>
  <c r="H17" i="10"/>
  <c r="K17" i="10"/>
  <c r="G34" i="9"/>
  <c r="F6" i="5"/>
  <c r="Q10" i="9"/>
  <c r="AG10" i="9"/>
  <c r="F403" i="7"/>
  <c r="G403" i="7"/>
  <c r="G211" i="7"/>
  <c r="F211" i="7"/>
  <c r="G50" i="7"/>
  <c r="F50" i="7"/>
  <c r="AG5" i="9"/>
  <c r="Q5" i="9"/>
  <c r="I27" i="9" s="1"/>
  <c r="E24" i="9"/>
  <c r="G386" i="7"/>
  <c r="F386" i="7"/>
  <c r="G197" i="7"/>
  <c r="F197" i="7"/>
  <c r="G45" i="7"/>
  <c r="F45" i="7"/>
  <c r="I33" i="9"/>
  <c r="G33" i="9"/>
  <c r="G400" i="7"/>
  <c r="F400" i="7"/>
  <c r="G411" i="7"/>
  <c r="F411" i="7"/>
  <c r="G109" i="13"/>
  <c r="E109" i="13"/>
  <c r="F415" i="7"/>
  <c r="G415" i="7"/>
  <c r="G414" i="7"/>
  <c r="F414" i="7"/>
  <c r="G154" i="7"/>
  <c r="F154" i="7"/>
  <c r="G383" i="7"/>
  <c r="F383" i="7"/>
  <c r="G364" i="7"/>
  <c r="F364" i="7"/>
  <c r="AG19" i="9"/>
  <c r="Q19" i="9"/>
  <c r="G303" i="7"/>
  <c r="F303" i="7"/>
  <c r="G90" i="7"/>
  <c r="F90" i="7"/>
  <c r="G407" i="7"/>
  <c r="F407" i="7"/>
  <c r="G257" i="7"/>
  <c r="F257" i="7"/>
  <c r="F401" i="7"/>
  <c r="G401" i="7"/>
  <c r="G246" i="7"/>
  <c r="F246" i="7"/>
  <c r="G369" i="7"/>
  <c r="F369" i="7"/>
  <c r="G68" i="7"/>
  <c r="F68" i="7"/>
  <c r="G350" i="7"/>
  <c r="F350" i="7"/>
  <c r="G289" i="7"/>
  <c r="F289" i="7"/>
  <c r="G392" i="7"/>
  <c r="F392" i="7"/>
  <c r="F240" i="7"/>
  <c r="G240" i="7"/>
  <c r="G150" i="7"/>
  <c r="F150" i="7"/>
  <c r="G104" i="7"/>
  <c r="F104" i="7"/>
  <c r="G317" i="7"/>
  <c r="F317" i="7"/>
  <c r="G271" i="7"/>
  <c r="F271" i="7"/>
  <c r="G179" i="7"/>
  <c r="F179" i="7"/>
  <c r="G41" i="7"/>
  <c r="F41" i="7"/>
  <c r="G375" i="7"/>
  <c r="F375" i="7"/>
  <c r="G299" i="7"/>
  <c r="F299" i="7"/>
  <c r="G177" i="7"/>
  <c r="F177" i="7"/>
  <c r="F367" i="7"/>
  <c r="G367" i="7"/>
  <c r="G139" i="7"/>
  <c r="F139" i="7"/>
  <c r="G46" i="7"/>
  <c r="F46" i="7"/>
  <c r="G231" i="7"/>
  <c r="F231" i="7"/>
  <c r="G99" i="7"/>
  <c r="F99" i="7"/>
  <c r="E7" i="5"/>
  <c r="L7" i="5" s="1"/>
  <c r="G37" i="7"/>
  <c r="F37" i="7"/>
  <c r="G97" i="7"/>
  <c r="F97" i="7"/>
  <c r="G304" i="7"/>
  <c r="F304" i="7"/>
  <c r="G215" i="7"/>
  <c r="F215" i="7"/>
  <c r="G21" i="7"/>
  <c r="F21" i="7"/>
  <c r="G6" i="7"/>
  <c r="F6" i="7"/>
  <c r="G278" i="7"/>
  <c r="F278" i="7"/>
  <c r="G187" i="7"/>
  <c r="F187" i="7"/>
  <c r="G417" i="7"/>
  <c r="F417" i="7"/>
  <c r="G372" i="7"/>
  <c r="F372" i="7"/>
  <c r="F339" i="7"/>
  <c r="G339" i="7"/>
  <c r="G35" i="7"/>
  <c r="F35" i="7"/>
  <c r="G182" i="7"/>
  <c r="F182" i="7"/>
  <c r="F323" i="7"/>
  <c r="G323" i="7"/>
  <c r="G127" i="7"/>
  <c r="F127" i="7"/>
  <c r="F59" i="7"/>
  <c r="G59" i="7"/>
  <c r="I35" i="9" l="1"/>
  <c r="I25" i="9"/>
  <c r="J10" i="7"/>
  <c r="I28" i="9"/>
  <c r="H211" i="7"/>
  <c r="K211" i="7"/>
  <c r="M211" i="7" s="1"/>
  <c r="L21" i="7"/>
  <c r="N21" i="7" s="1"/>
  <c r="I21" i="7"/>
  <c r="L415" i="7"/>
  <c r="N415" i="7" s="1"/>
  <c r="I415" i="7"/>
  <c r="L58" i="7"/>
  <c r="N58" i="7" s="1"/>
  <c r="I58" i="7"/>
  <c r="K389" i="7"/>
  <c r="M389" i="7" s="1"/>
  <c r="H389" i="7"/>
  <c r="K372" i="7"/>
  <c r="M372" i="7" s="1"/>
  <c r="H372" i="7"/>
  <c r="K305" i="7"/>
  <c r="M305" i="7" s="1"/>
  <c r="H305" i="7"/>
  <c r="L74" i="7"/>
  <c r="N74" i="7" s="1"/>
  <c r="I74" i="7"/>
  <c r="L246" i="7"/>
  <c r="N246" i="7" s="1"/>
  <c r="I246" i="7"/>
  <c r="L127" i="7"/>
  <c r="N127" i="7" s="1"/>
  <c r="I127" i="7"/>
  <c r="L417" i="7"/>
  <c r="N417" i="7" s="1"/>
  <c r="I417" i="7"/>
  <c r="I304" i="7"/>
  <c r="L304" i="7"/>
  <c r="N304" i="7" s="1"/>
  <c r="H139" i="7"/>
  <c r="K139" i="7"/>
  <c r="M139" i="7" s="1"/>
  <c r="K179" i="7"/>
  <c r="M179" i="7" s="1"/>
  <c r="H179" i="7"/>
  <c r="K392" i="7"/>
  <c r="M392" i="7" s="1"/>
  <c r="H392" i="7"/>
  <c r="L401" i="7"/>
  <c r="N401" i="7" s="1"/>
  <c r="I401" i="7"/>
  <c r="K364" i="7"/>
  <c r="M364" i="7" s="1"/>
  <c r="H364" i="7"/>
  <c r="K411" i="7"/>
  <c r="M411" i="7" s="1"/>
  <c r="H411" i="7"/>
  <c r="I24" i="9"/>
  <c r="G24" i="9"/>
  <c r="I140" i="7"/>
  <c r="L140" i="7"/>
  <c r="N140" i="7" s="1"/>
  <c r="L250" i="7"/>
  <c r="N250" i="7" s="1"/>
  <c r="I250" i="7"/>
  <c r="L40" i="7"/>
  <c r="N40" i="7" s="1"/>
  <c r="I40" i="7"/>
  <c r="K376" i="7"/>
  <c r="M376" i="7" s="1"/>
  <c r="H376" i="7"/>
  <c r="L11" i="7"/>
  <c r="N11" i="7" s="1"/>
  <c r="I11" i="7"/>
  <c r="K44" i="7"/>
  <c r="M44" i="7" s="1"/>
  <c r="H44" i="7"/>
  <c r="L259" i="7"/>
  <c r="N259" i="7" s="1"/>
  <c r="I259" i="7"/>
  <c r="K236" i="7"/>
  <c r="M236" i="7" s="1"/>
  <c r="H236" i="7"/>
  <c r="K162" i="7"/>
  <c r="M162" i="7" s="1"/>
  <c r="H162" i="7"/>
  <c r="K387" i="7"/>
  <c r="M387" i="7" s="1"/>
  <c r="H387" i="7"/>
  <c r="K135" i="7"/>
  <c r="M135" i="7" s="1"/>
  <c r="H135" i="7"/>
  <c r="K92" i="7"/>
  <c r="M92" i="7" s="1"/>
  <c r="H92" i="7"/>
  <c r="I311" i="7"/>
  <c r="L311" i="7"/>
  <c r="N311" i="7" s="1"/>
  <c r="H332" i="7"/>
  <c r="K332" i="7"/>
  <c r="M332" i="7" s="1"/>
  <c r="L381" i="7"/>
  <c r="N381" i="7" s="1"/>
  <c r="I381" i="7"/>
  <c r="L14" i="7"/>
  <c r="N14" i="7" s="1"/>
  <c r="I14" i="7"/>
  <c r="L107" i="7"/>
  <c r="N107" i="7" s="1"/>
  <c r="I107" i="7"/>
  <c r="L227" i="7"/>
  <c r="N227" i="7" s="1"/>
  <c r="I227" i="7"/>
  <c r="L242" i="7"/>
  <c r="N242" i="7" s="1"/>
  <c r="I242" i="7"/>
  <c r="L405" i="7"/>
  <c r="N405" i="7" s="1"/>
  <c r="I405" i="7"/>
  <c r="K71" i="7"/>
  <c r="M71" i="7" s="1"/>
  <c r="H71" i="7"/>
  <c r="L272" i="7"/>
  <c r="N272" i="7" s="1"/>
  <c r="I272" i="7"/>
  <c r="L198" i="7"/>
  <c r="N198" i="7" s="1"/>
  <c r="I198" i="7"/>
  <c r="K233" i="7"/>
  <c r="M233" i="7" s="1"/>
  <c r="H233" i="7"/>
  <c r="L185" i="7"/>
  <c r="N185" i="7" s="1"/>
  <c r="I185" i="7"/>
  <c r="I356" i="7"/>
  <c r="L356" i="7"/>
  <c r="N356" i="7" s="1"/>
  <c r="K256" i="7"/>
  <c r="M256" i="7" s="1"/>
  <c r="H256" i="7"/>
  <c r="K172" i="7"/>
  <c r="M172" i="7" s="1"/>
  <c r="H172" i="7"/>
  <c r="K100" i="7"/>
  <c r="M100" i="7" s="1"/>
  <c r="H100" i="7"/>
  <c r="H347" i="7"/>
  <c r="K347" i="7"/>
  <c r="M347" i="7" s="1"/>
  <c r="L95" i="7"/>
  <c r="N95" i="7" s="1"/>
  <c r="I95" i="7"/>
  <c r="K379" i="7"/>
  <c r="M379" i="7" s="1"/>
  <c r="H379" i="7"/>
  <c r="L94" i="7"/>
  <c r="N94" i="7" s="1"/>
  <c r="I94" i="7"/>
  <c r="H205" i="7"/>
  <c r="K205" i="7"/>
  <c r="M205" i="7" s="1"/>
  <c r="K143" i="7"/>
  <c r="M143" i="7" s="1"/>
  <c r="H143" i="7"/>
  <c r="K134" i="7"/>
  <c r="M134" i="7" s="1"/>
  <c r="H134" i="7"/>
  <c r="K292" i="7"/>
  <c r="M292" i="7" s="1"/>
  <c r="H292" i="7"/>
  <c r="E110" i="13"/>
  <c r="L26" i="7"/>
  <c r="N26" i="7" s="1"/>
  <c r="I26" i="7"/>
  <c r="L277" i="7"/>
  <c r="N277" i="7" s="1"/>
  <c r="I277" i="7"/>
  <c r="H279" i="7"/>
  <c r="K279" i="7"/>
  <c r="M279" i="7" s="1"/>
  <c r="K374" i="7"/>
  <c r="M374" i="7" s="1"/>
  <c r="H374" i="7"/>
  <c r="H224" i="7"/>
  <c r="K224" i="7"/>
  <c r="M224" i="7" s="1"/>
  <c r="L413" i="7"/>
  <c r="N413" i="7" s="1"/>
  <c r="I413" i="7"/>
  <c r="K171" i="7"/>
  <c r="M171" i="7" s="1"/>
  <c r="H171" i="7"/>
  <c r="L147" i="7"/>
  <c r="N147" i="7" s="1"/>
  <c r="I147" i="7"/>
  <c r="L301" i="7"/>
  <c r="N301" i="7" s="1"/>
  <c r="I301" i="7"/>
  <c r="L56" i="7"/>
  <c r="N56" i="7" s="1"/>
  <c r="I56" i="7"/>
  <c r="L378" i="7"/>
  <c r="N378" i="7" s="1"/>
  <c r="I378" i="7"/>
  <c r="L385" i="7"/>
  <c r="N385" i="7" s="1"/>
  <c r="I385" i="7"/>
  <c r="H226" i="7"/>
  <c r="K226" i="7"/>
  <c r="M226" i="7" s="1"/>
  <c r="K307" i="7"/>
  <c r="M307" i="7" s="1"/>
  <c r="H307" i="7"/>
  <c r="K181" i="7"/>
  <c r="M181" i="7" s="1"/>
  <c r="H181" i="7"/>
  <c r="K241" i="7"/>
  <c r="M241" i="7" s="1"/>
  <c r="H241" i="7"/>
  <c r="K404" i="7"/>
  <c r="M404" i="7" s="1"/>
  <c r="H404" i="7"/>
  <c r="K268" i="7"/>
  <c r="M268" i="7" s="1"/>
  <c r="H268" i="7"/>
  <c r="K12" i="7"/>
  <c r="M12" i="7" s="1"/>
  <c r="H12" i="7"/>
  <c r="H228" i="7"/>
  <c r="K228" i="7"/>
  <c r="M228" i="7" s="1"/>
  <c r="H337" i="7"/>
  <c r="K337" i="7"/>
  <c r="M337" i="7" s="1"/>
  <c r="L96" i="7"/>
  <c r="N96" i="7" s="1"/>
  <c r="I96" i="7"/>
  <c r="I314" i="7"/>
  <c r="L314" i="7"/>
  <c r="N314" i="7" s="1"/>
  <c r="L117" i="7"/>
  <c r="N117" i="7" s="1"/>
  <c r="I117" i="7"/>
  <c r="H150" i="7"/>
  <c r="K150" i="7"/>
  <c r="M150" i="7" s="1"/>
  <c r="H197" i="7"/>
  <c r="K197" i="7"/>
  <c r="M197" i="7" s="1"/>
  <c r="L36" i="7"/>
  <c r="N36" i="7" s="1"/>
  <c r="I36" i="7"/>
  <c r="K232" i="7"/>
  <c r="M232" i="7" s="1"/>
  <c r="H232" i="7"/>
  <c r="I357" i="7"/>
  <c r="L357" i="7"/>
  <c r="N357" i="7" s="1"/>
  <c r="H302" i="7"/>
  <c r="K302" i="7"/>
  <c r="M302" i="7" s="1"/>
  <c r="K127" i="7"/>
  <c r="M127" i="7" s="1"/>
  <c r="H127" i="7"/>
  <c r="I323" i="7"/>
  <c r="L323" i="7"/>
  <c r="N323" i="7" s="1"/>
  <c r="K187" i="7"/>
  <c r="M187" i="7" s="1"/>
  <c r="H187" i="7"/>
  <c r="K97" i="7"/>
  <c r="M97" i="7" s="1"/>
  <c r="H97" i="7"/>
  <c r="I139" i="7"/>
  <c r="L139" i="7"/>
  <c r="N139" i="7" s="1"/>
  <c r="L179" i="7"/>
  <c r="N179" i="7" s="1"/>
  <c r="I179" i="7"/>
  <c r="I392" i="7"/>
  <c r="L392" i="7"/>
  <c r="N392" i="7" s="1"/>
  <c r="K401" i="7"/>
  <c r="M401" i="7" s="1"/>
  <c r="O401" i="7" s="1"/>
  <c r="H401" i="7"/>
  <c r="L364" i="7"/>
  <c r="N364" i="7" s="1"/>
  <c r="I364" i="7"/>
  <c r="L411" i="7"/>
  <c r="N411" i="7" s="1"/>
  <c r="I411" i="7"/>
  <c r="I34" i="9"/>
  <c r="K66" i="7"/>
  <c r="M66" i="7" s="1"/>
  <c r="H66" i="7"/>
  <c r="I326" i="7"/>
  <c r="L326" i="7"/>
  <c r="N326" i="7" s="1"/>
  <c r="L148" i="7"/>
  <c r="N148" i="7" s="1"/>
  <c r="I148" i="7"/>
  <c r="K275" i="7"/>
  <c r="M275" i="7" s="1"/>
  <c r="H275" i="7"/>
  <c r="L44" i="7"/>
  <c r="N44" i="7" s="1"/>
  <c r="I44" i="7"/>
  <c r="K106" i="7"/>
  <c r="M106" i="7" s="1"/>
  <c r="H106" i="7"/>
  <c r="L236" i="7"/>
  <c r="N236" i="7" s="1"/>
  <c r="I236" i="7"/>
  <c r="I162" i="7"/>
  <c r="L162" i="7"/>
  <c r="N162" i="7" s="1"/>
  <c r="L387" i="7"/>
  <c r="N387" i="7" s="1"/>
  <c r="I387" i="7"/>
  <c r="L135" i="7"/>
  <c r="N135" i="7" s="1"/>
  <c r="I135" i="7"/>
  <c r="L92" i="7"/>
  <c r="N92" i="7" s="1"/>
  <c r="I92" i="7"/>
  <c r="K133" i="7"/>
  <c r="M133" i="7" s="1"/>
  <c r="H133" i="7"/>
  <c r="K422" i="7"/>
  <c r="M422" i="7" s="1"/>
  <c r="H422" i="7"/>
  <c r="K184" i="7"/>
  <c r="M184" i="7" s="1"/>
  <c r="H184" i="7"/>
  <c r="K69" i="7"/>
  <c r="M69" i="7" s="1"/>
  <c r="O69" i="7" s="1"/>
  <c r="H69" i="7"/>
  <c r="K373" i="7"/>
  <c r="M373" i="7" s="1"/>
  <c r="H373" i="7"/>
  <c r="K48" i="7"/>
  <c r="M48" i="7" s="1"/>
  <c r="H48" i="7"/>
  <c r="K420" i="7"/>
  <c r="M420" i="7" s="1"/>
  <c r="H420" i="7"/>
  <c r="H223" i="7"/>
  <c r="K223" i="7"/>
  <c r="M223" i="7" s="1"/>
  <c r="K318" i="7"/>
  <c r="M318" i="7" s="1"/>
  <c r="H318" i="7"/>
  <c r="L276" i="7"/>
  <c r="N276" i="7" s="1"/>
  <c r="I276" i="7"/>
  <c r="L233" i="7"/>
  <c r="N233" i="7" s="1"/>
  <c r="I233" i="7"/>
  <c r="I256" i="7"/>
  <c r="L256" i="7"/>
  <c r="N256" i="7" s="1"/>
  <c r="L172" i="7"/>
  <c r="N172" i="7" s="1"/>
  <c r="I172" i="7"/>
  <c r="L100" i="7"/>
  <c r="N100" i="7" s="1"/>
  <c r="I100" i="7"/>
  <c r="I347" i="7"/>
  <c r="L347" i="7"/>
  <c r="N347" i="7" s="1"/>
  <c r="K9" i="7"/>
  <c r="M9" i="7" s="1"/>
  <c r="O9" i="7" s="1"/>
  <c r="H9" i="7"/>
  <c r="K124" i="7"/>
  <c r="M124" i="7" s="1"/>
  <c r="H124" i="7"/>
  <c r="K263" i="7"/>
  <c r="M263" i="7" s="1"/>
  <c r="H263" i="7"/>
  <c r="I205" i="7"/>
  <c r="L205" i="7"/>
  <c r="N205" i="7" s="1"/>
  <c r="L143" i="7"/>
  <c r="N143" i="7" s="1"/>
  <c r="I143" i="7"/>
  <c r="L134" i="7"/>
  <c r="N134" i="7" s="1"/>
  <c r="I134" i="7"/>
  <c r="I292" i="7"/>
  <c r="L292" i="7"/>
  <c r="N292" i="7" s="1"/>
  <c r="H353" i="7"/>
  <c r="K353" i="7"/>
  <c r="M353" i="7" s="1"/>
  <c r="H254" i="7"/>
  <c r="K254" i="7"/>
  <c r="M254" i="7" s="1"/>
  <c r="I279" i="7"/>
  <c r="L279" i="7"/>
  <c r="N279" i="7" s="1"/>
  <c r="K237" i="7"/>
  <c r="M237" i="7" s="1"/>
  <c r="H237" i="7"/>
  <c r="L224" i="7"/>
  <c r="N224" i="7" s="1"/>
  <c r="I224" i="7"/>
  <c r="K413" i="7"/>
  <c r="M413" i="7" s="1"/>
  <c r="O413" i="7" s="1"/>
  <c r="H413" i="7"/>
  <c r="J413" i="7" s="1"/>
  <c r="H290" i="7"/>
  <c r="K290" i="7"/>
  <c r="M290" i="7" s="1"/>
  <c r="K30" i="7"/>
  <c r="M30" i="7" s="1"/>
  <c r="H30" i="7"/>
  <c r="I171" i="7"/>
  <c r="L171" i="7"/>
  <c r="N171" i="7" s="1"/>
  <c r="K132" i="7"/>
  <c r="M132" i="7" s="1"/>
  <c r="H132" i="7"/>
  <c r="H217" i="7"/>
  <c r="K217" i="7"/>
  <c r="M217" i="7" s="1"/>
  <c r="K410" i="7"/>
  <c r="M410" i="7" s="1"/>
  <c r="H410" i="7"/>
  <c r="J168" i="7"/>
  <c r="L226" i="7"/>
  <c r="N226" i="7" s="1"/>
  <c r="I226" i="7"/>
  <c r="I307" i="7"/>
  <c r="L307" i="7"/>
  <c r="N307" i="7" s="1"/>
  <c r="L181" i="7"/>
  <c r="N181" i="7" s="1"/>
  <c r="I181" i="7"/>
  <c r="I26" i="9"/>
  <c r="L241" i="7"/>
  <c r="N241" i="7" s="1"/>
  <c r="I241" i="7"/>
  <c r="I404" i="7"/>
  <c r="L404" i="7"/>
  <c r="N404" i="7" s="1"/>
  <c r="I268" i="7"/>
  <c r="L268" i="7"/>
  <c r="N268" i="7" s="1"/>
  <c r="L12" i="7"/>
  <c r="N12" i="7" s="1"/>
  <c r="I12" i="7"/>
  <c r="L228" i="7"/>
  <c r="N228" i="7" s="1"/>
  <c r="I228" i="7"/>
  <c r="K196" i="7"/>
  <c r="M196" i="7" s="1"/>
  <c r="H196" i="7"/>
  <c r="L201" i="7"/>
  <c r="N201" i="7" s="1"/>
  <c r="I201" i="7"/>
  <c r="K191" i="7"/>
  <c r="M191" i="7" s="1"/>
  <c r="H191" i="7"/>
  <c r="L66" i="7"/>
  <c r="N66" i="7" s="1"/>
  <c r="I66" i="7"/>
  <c r="H326" i="7"/>
  <c r="K326" i="7"/>
  <c r="M326" i="7" s="1"/>
  <c r="K148" i="7"/>
  <c r="M148" i="7" s="1"/>
  <c r="H148" i="7"/>
  <c r="I30" i="9"/>
  <c r="L275" i="7"/>
  <c r="N275" i="7" s="1"/>
  <c r="I275" i="7"/>
  <c r="H159" i="7"/>
  <c r="K159" i="7"/>
  <c r="M159" i="7" s="1"/>
  <c r="L106" i="7"/>
  <c r="N106" i="7" s="1"/>
  <c r="I106" i="7"/>
  <c r="I340" i="7"/>
  <c r="L340" i="7"/>
  <c r="N340" i="7" s="1"/>
  <c r="L300" i="7"/>
  <c r="N300" i="7" s="1"/>
  <c r="I300" i="7"/>
  <c r="K19" i="7"/>
  <c r="M19" i="7" s="1"/>
  <c r="H19" i="7"/>
  <c r="K78" i="7"/>
  <c r="M78" i="7" s="1"/>
  <c r="H78" i="7"/>
  <c r="J78" i="7" s="1"/>
  <c r="K295" i="7"/>
  <c r="M295" i="7" s="1"/>
  <c r="H295" i="7"/>
  <c r="L133" i="7"/>
  <c r="N133" i="7" s="1"/>
  <c r="I133" i="7"/>
  <c r="I422" i="7"/>
  <c r="L422" i="7"/>
  <c r="N422" i="7" s="1"/>
  <c r="L184" i="7"/>
  <c r="N184" i="7" s="1"/>
  <c r="I184" i="7"/>
  <c r="L69" i="7"/>
  <c r="N69" i="7" s="1"/>
  <c r="I69" i="7"/>
  <c r="L373" i="7"/>
  <c r="N373" i="7" s="1"/>
  <c r="I373" i="7"/>
  <c r="L48" i="7"/>
  <c r="N48" i="7" s="1"/>
  <c r="I48" i="7"/>
  <c r="B125" i="13"/>
  <c r="L420" i="7"/>
  <c r="N420" i="7" s="1"/>
  <c r="I420" i="7"/>
  <c r="L223" i="7"/>
  <c r="N223" i="7" s="1"/>
  <c r="I223" i="7"/>
  <c r="I318" i="7"/>
  <c r="L318" i="7"/>
  <c r="N318" i="7" s="1"/>
  <c r="K276" i="7"/>
  <c r="M276" i="7" s="1"/>
  <c r="H276" i="7"/>
  <c r="K93" i="7"/>
  <c r="M93" i="7" s="1"/>
  <c r="H93" i="7"/>
  <c r="I32" i="9"/>
  <c r="H73" i="7"/>
  <c r="K73" i="7"/>
  <c r="M73" i="7" s="1"/>
  <c r="K280" i="7"/>
  <c r="M280" i="7" s="1"/>
  <c r="H280" i="7"/>
  <c r="K178" i="7"/>
  <c r="M178" i="7" s="1"/>
  <c r="H178" i="7"/>
  <c r="L9" i="7"/>
  <c r="N9" i="7" s="1"/>
  <c r="I9" i="7"/>
  <c r="L124" i="7"/>
  <c r="N124" i="7" s="1"/>
  <c r="I124" i="7"/>
  <c r="L263" i="7"/>
  <c r="N263" i="7" s="1"/>
  <c r="I263" i="7"/>
  <c r="K308" i="7"/>
  <c r="M308" i="7" s="1"/>
  <c r="H308" i="7"/>
  <c r="K251" i="7"/>
  <c r="M251" i="7" s="1"/>
  <c r="H251" i="7"/>
  <c r="K270" i="7"/>
  <c r="M270" i="7" s="1"/>
  <c r="H270" i="7"/>
  <c r="L370" i="7"/>
  <c r="N370" i="7" s="1"/>
  <c r="I370" i="7"/>
  <c r="I353" i="7"/>
  <c r="L353" i="7"/>
  <c r="N353" i="7" s="1"/>
  <c r="I254" i="7"/>
  <c r="L254" i="7"/>
  <c r="N254" i="7" s="1"/>
  <c r="H63" i="7"/>
  <c r="K63" i="7"/>
  <c r="M63" i="7" s="1"/>
  <c r="L237" i="7"/>
  <c r="N237" i="7" s="1"/>
  <c r="I237" i="7"/>
  <c r="K284" i="7"/>
  <c r="M284" i="7" s="1"/>
  <c r="H284" i="7"/>
  <c r="H216" i="7"/>
  <c r="K216" i="7"/>
  <c r="M216" i="7" s="1"/>
  <c r="L290" i="7"/>
  <c r="N290" i="7" s="1"/>
  <c r="I290" i="7"/>
  <c r="L30" i="7"/>
  <c r="N30" i="7" s="1"/>
  <c r="I30" i="7"/>
  <c r="H212" i="7"/>
  <c r="K212" i="7"/>
  <c r="M212" i="7" s="1"/>
  <c r="L132" i="7"/>
  <c r="N132" i="7" s="1"/>
  <c r="I132" i="7"/>
  <c r="I31" i="9"/>
  <c r="I217" i="7"/>
  <c r="L217" i="7"/>
  <c r="N217" i="7" s="1"/>
  <c r="I410" i="7"/>
  <c r="L410" i="7"/>
  <c r="N410" i="7" s="1"/>
  <c r="O168" i="7"/>
  <c r="H152" i="7"/>
  <c r="K152" i="7"/>
  <c r="M152" i="7" s="1"/>
  <c r="J89" i="7"/>
  <c r="K253" i="7"/>
  <c r="M253" i="7" s="1"/>
  <c r="H253" i="7"/>
  <c r="K371" i="7"/>
  <c r="M371" i="7" s="1"/>
  <c r="H371" i="7"/>
  <c r="K110" i="7"/>
  <c r="M110" i="7" s="1"/>
  <c r="H110" i="7"/>
  <c r="K53" i="7"/>
  <c r="M53" i="7" s="1"/>
  <c r="H53" i="7"/>
  <c r="K281" i="7"/>
  <c r="M281" i="7" s="1"/>
  <c r="H281" i="7"/>
  <c r="H346" i="7"/>
  <c r="K346" i="7"/>
  <c r="M346" i="7" s="1"/>
  <c r="K393" i="7"/>
  <c r="M393" i="7" s="1"/>
  <c r="H393" i="7"/>
  <c r="I336" i="7"/>
  <c r="L336" i="7"/>
  <c r="N336" i="7" s="1"/>
  <c r="L196" i="7"/>
  <c r="N196" i="7" s="1"/>
  <c r="I196" i="7"/>
  <c r="H201" i="7"/>
  <c r="K201" i="7"/>
  <c r="M201" i="7" s="1"/>
  <c r="L191" i="7"/>
  <c r="N191" i="7" s="1"/>
  <c r="I191" i="7"/>
  <c r="K57" i="7"/>
  <c r="M57" i="7" s="1"/>
  <c r="H57" i="7"/>
  <c r="L187" i="7"/>
  <c r="N187" i="7" s="1"/>
  <c r="I187" i="7"/>
  <c r="K383" i="7"/>
  <c r="M383" i="7" s="1"/>
  <c r="H383" i="7"/>
  <c r="K182" i="7"/>
  <c r="M182" i="7" s="1"/>
  <c r="H182" i="7"/>
  <c r="K37" i="7"/>
  <c r="M37" i="7" s="1"/>
  <c r="H37" i="7"/>
  <c r="L271" i="7"/>
  <c r="N271" i="7" s="1"/>
  <c r="I271" i="7"/>
  <c r="L257" i="7"/>
  <c r="N257" i="7" s="1"/>
  <c r="I257" i="7"/>
  <c r="L400" i="7"/>
  <c r="N400" i="7" s="1"/>
  <c r="I400" i="7"/>
  <c r="K50" i="7"/>
  <c r="M50" i="7" s="1"/>
  <c r="H50" i="7"/>
  <c r="K245" i="7"/>
  <c r="M245" i="7" s="1"/>
  <c r="H245" i="7"/>
  <c r="K286" i="7"/>
  <c r="M286" i="7" s="1"/>
  <c r="H286" i="7"/>
  <c r="I159" i="7"/>
  <c r="L159" i="7"/>
  <c r="N159" i="7" s="1"/>
  <c r="K43" i="7"/>
  <c r="M43" i="7" s="1"/>
  <c r="H43" i="7"/>
  <c r="K300" i="7"/>
  <c r="M300" i="7" s="1"/>
  <c r="H300" i="7"/>
  <c r="J300" i="7" s="1"/>
  <c r="L78" i="7"/>
  <c r="N78" i="7" s="1"/>
  <c r="I78" i="7"/>
  <c r="I333" i="7"/>
  <c r="L333" i="7"/>
  <c r="N333" i="7" s="1"/>
  <c r="K153" i="7"/>
  <c r="M153" i="7" s="1"/>
  <c r="H153" i="7"/>
  <c r="K121" i="7"/>
  <c r="M121" i="7" s="1"/>
  <c r="H121" i="7"/>
  <c r="K114" i="7"/>
  <c r="M114" i="7" s="1"/>
  <c r="O114" i="7" s="1"/>
  <c r="H114" i="7"/>
  <c r="K283" i="7"/>
  <c r="M283" i="7" s="1"/>
  <c r="H283" i="7"/>
  <c r="K408" i="7"/>
  <c r="M408" i="7" s="1"/>
  <c r="H408" i="7"/>
  <c r="L93" i="7"/>
  <c r="N93" i="7" s="1"/>
  <c r="I93" i="7"/>
  <c r="I324" i="7"/>
  <c r="L324" i="7"/>
  <c r="N324" i="7" s="1"/>
  <c r="L136" i="7"/>
  <c r="N136" i="7" s="1"/>
  <c r="I136" i="7"/>
  <c r="L73" i="7"/>
  <c r="N73" i="7" s="1"/>
  <c r="I73" i="7"/>
  <c r="I280" i="7"/>
  <c r="L280" i="7"/>
  <c r="N280" i="7" s="1"/>
  <c r="L178" i="7"/>
  <c r="N178" i="7" s="1"/>
  <c r="I178" i="7"/>
  <c r="L423" i="7"/>
  <c r="N423" i="7" s="1"/>
  <c r="I423" i="7"/>
  <c r="K144" i="7"/>
  <c r="M144" i="7" s="1"/>
  <c r="H144" i="7"/>
  <c r="K249" i="7"/>
  <c r="M249" i="7" s="1"/>
  <c r="H249" i="7"/>
  <c r="I308" i="7"/>
  <c r="L308" i="7"/>
  <c r="N308" i="7" s="1"/>
  <c r="L270" i="7"/>
  <c r="N270" i="7" s="1"/>
  <c r="I270" i="7"/>
  <c r="L418" i="7"/>
  <c r="N418" i="7" s="1"/>
  <c r="I418" i="7"/>
  <c r="K274" i="7"/>
  <c r="M274" i="7" s="1"/>
  <c r="H274" i="7"/>
  <c r="L63" i="7"/>
  <c r="N63" i="7" s="1"/>
  <c r="I63" i="7"/>
  <c r="I341" i="7"/>
  <c r="L341" i="7"/>
  <c r="N341" i="7" s="1"/>
  <c r="K315" i="7"/>
  <c r="M315" i="7" s="1"/>
  <c r="H315" i="7"/>
  <c r="L284" i="7"/>
  <c r="N284" i="7" s="1"/>
  <c r="I284" i="7"/>
  <c r="K169" i="7"/>
  <c r="M169" i="7" s="1"/>
  <c r="H169" i="7"/>
  <c r="L212" i="7"/>
  <c r="N212" i="7" s="1"/>
  <c r="I212" i="7"/>
  <c r="K98" i="7"/>
  <c r="M98" i="7" s="1"/>
  <c r="H98" i="7"/>
  <c r="H222" i="7"/>
  <c r="K222" i="7"/>
  <c r="M222" i="7" s="1"/>
  <c r="H210" i="7"/>
  <c r="K210" i="7"/>
  <c r="M210" i="7" s="1"/>
  <c r="K39" i="7"/>
  <c r="M39" i="7" s="1"/>
  <c r="H39" i="7"/>
  <c r="I322" i="7"/>
  <c r="L322" i="7"/>
  <c r="N322" i="7" s="1"/>
  <c r="K16" i="7"/>
  <c r="M16" i="7" s="1"/>
  <c r="H16" i="7"/>
  <c r="I152" i="7"/>
  <c r="L152" i="7"/>
  <c r="N152" i="7" s="1"/>
  <c r="O89" i="7"/>
  <c r="L253" i="7"/>
  <c r="N253" i="7" s="1"/>
  <c r="I253" i="7"/>
  <c r="I371" i="7"/>
  <c r="L371" i="7"/>
  <c r="N371" i="7" s="1"/>
  <c r="L110" i="7"/>
  <c r="N110" i="7" s="1"/>
  <c r="I110" i="7"/>
  <c r="L53" i="7"/>
  <c r="N53" i="7" s="1"/>
  <c r="I53" i="7"/>
  <c r="L281" i="7"/>
  <c r="N281" i="7" s="1"/>
  <c r="I281" i="7"/>
  <c r="I346" i="7"/>
  <c r="L346" i="7"/>
  <c r="N346" i="7" s="1"/>
  <c r="L393" i="7"/>
  <c r="N393" i="7" s="1"/>
  <c r="I393" i="7"/>
  <c r="H336" i="7"/>
  <c r="K336" i="7"/>
  <c r="M336" i="7" s="1"/>
  <c r="K49" i="7"/>
  <c r="M49" i="7" s="1"/>
  <c r="H49" i="7"/>
  <c r="K111" i="7"/>
  <c r="M111" i="7" s="1"/>
  <c r="H111" i="7"/>
  <c r="K84" i="7"/>
  <c r="M84" i="7" s="1"/>
  <c r="H84" i="7"/>
  <c r="K421" i="7"/>
  <c r="M421" i="7" s="1"/>
  <c r="H421" i="7"/>
  <c r="H323" i="7"/>
  <c r="K323" i="7"/>
  <c r="M323" i="7" s="1"/>
  <c r="L97" i="7"/>
  <c r="N97" i="7" s="1"/>
  <c r="I97" i="7"/>
  <c r="L367" i="7"/>
  <c r="N367" i="7" s="1"/>
  <c r="I367" i="7"/>
  <c r="K271" i="7"/>
  <c r="M271" i="7" s="1"/>
  <c r="H271" i="7"/>
  <c r="K289" i="7"/>
  <c r="M289" i="7" s="1"/>
  <c r="O289" i="7" s="1"/>
  <c r="H289" i="7"/>
  <c r="J289" i="7" s="1"/>
  <c r="K257" i="7"/>
  <c r="M257" i="7" s="1"/>
  <c r="H257" i="7"/>
  <c r="K400" i="7"/>
  <c r="M400" i="7" s="1"/>
  <c r="H400" i="7"/>
  <c r="H278" i="7"/>
  <c r="K278" i="7"/>
  <c r="M278" i="7" s="1"/>
  <c r="K367" i="7"/>
  <c r="M367" i="7" s="1"/>
  <c r="O367" i="7" s="1"/>
  <c r="H367" i="7"/>
  <c r="J367" i="7" s="1"/>
  <c r="L289" i="7"/>
  <c r="N289" i="7" s="1"/>
  <c r="I289" i="7"/>
  <c r="I383" i="7"/>
  <c r="L383" i="7"/>
  <c r="N383" i="7" s="1"/>
  <c r="K119" i="7"/>
  <c r="M119" i="7" s="1"/>
  <c r="H119" i="7"/>
  <c r="K183" i="7"/>
  <c r="M183" i="7" s="1"/>
  <c r="H183" i="7"/>
  <c r="H340" i="7"/>
  <c r="J340" i="7" s="1"/>
  <c r="K340" i="7"/>
  <c r="M340" i="7" s="1"/>
  <c r="L19" i="7"/>
  <c r="N19" i="7" s="1"/>
  <c r="I19" i="7"/>
  <c r="L295" i="7"/>
  <c r="N295" i="7" s="1"/>
  <c r="I295" i="7"/>
  <c r="K269" i="7"/>
  <c r="M269" i="7" s="1"/>
  <c r="H269" i="7"/>
  <c r="J269" i="7" s="1"/>
  <c r="K262" i="7"/>
  <c r="M262" i="7" s="1"/>
  <c r="H262" i="7"/>
  <c r="H199" i="7"/>
  <c r="K199" i="7"/>
  <c r="M199" i="7" s="1"/>
  <c r="K158" i="7"/>
  <c r="M158" i="7" s="1"/>
  <c r="O158" i="7" s="1"/>
  <c r="H158" i="7"/>
  <c r="K402" i="7"/>
  <c r="M402" i="7" s="1"/>
  <c r="H402" i="7"/>
  <c r="L251" i="7"/>
  <c r="N251" i="7" s="1"/>
  <c r="I251" i="7"/>
  <c r="K370" i="7"/>
  <c r="M370" i="7" s="1"/>
  <c r="O370" i="7" s="1"/>
  <c r="H370" i="7"/>
  <c r="J370" i="7" s="1"/>
  <c r="I216" i="7"/>
  <c r="L216" i="7"/>
  <c r="N216" i="7" s="1"/>
  <c r="L182" i="7"/>
  <c r="N182" i="7" s="1"/>
  <c r="I182" i="7"/>
  <c r="L278" i="7"/>
  <c r="N278" i="7" s="1"/>
  <c r="I278" i="7"/>
  <c r="L37" i="7"/>
  <c r="N37" i="7" s="1"/>
  <c r="I37" i="7"/>
  <c r="K177" i="7"/>
  <c r="M177" i="7" s="1"/>
  <c r="H177" i="7"/>
  <c r="H317" i="7"/>
  <c r="K317" i="7"/>
  <c r="M317" i="7" s="1"/>
  <c r="H350" i="7"/>
  <c r="K350" i="7"/>
  <c r="M350" i="7" s="1"/>
  <c r="K407" i="7"/>
  <c r="M407" i="7" s="1"/>
  <c r="H407" i="7"/>
  <c r="K154" i="7"/>
  <c r="M154" i="7" s="1"/>
  <c r="H154" i="7"/>
  <c r="L50" i="7"/>
  <c r="N50" i="7" s="1"/>
  <c r="I50" i="7"/>
  <c r="K7" i="7"/>
  <c r="M7" i="7" s="1"/>
  <c r="H7" i="7"/>
  <c r="L245" i="7"/>
  <c r="N245" i="7" s="1"/>
  <c r="I245" i="7"/>
  <c r="L286" i="7"/>
  <c r="N286" i="7" s="1"/>
  <c r="I286" i="7"/>
  <c r="L119" i="7"/>
  <c r="N119" i="7" s="1"/>
  <c r="I119" i="7"/>
  <c r="L183" i="7"/>
  <c r="N183" i="7" s="1"/>
  <c r="I183" i="7"/>
  <c r="K29" i="7"/>
  <c r="M29" i="7" s="1"/>
  <c r="H29" i="7"/>
  <c r="K244" i="7"/>
  <c r="M244" i="7" s="1"/>
  <c r="H244" i="7"/>
  <c r="L43" i="7"/>
  <c r="N43" i="7" s="1"/>
  <c r="I43" i="7"/>
  <c r="K117" i="7"/>
  <c r="M117" i="7" s="1"/>
  <c r="H117" i="7"/>
  <c r="K28" i="7"/>
  <c r="M28" i="7" s="1"/>
  <c r="H28" i="7"/>
  <c r="J28" i="7" s="1"/>
  <c r="K145" i="7"/>
  <c r="M145" i="7" s="1"/>
  <c r="H145" i="7"/>
  <c r="B122" i="13"/>
  <c r="L269" i="7"/>
  <c r="N269" i="7" s="1"/>
  <c r="I269" i="7"/>
  <c r="H333" i="7"/>
  <c r="J333" i="7" s="1"/>
  <c r="K333" i="7"/>
  <c r="M333" i="7" s="1"/>
  <c r="O333" i="7" s="1"/>
  <c r="L262" i="7"/>
  <c r="N262" i="7" s="1"/>
  <c r="I262" i="7"/>
  <c r="I153" i="7"/>
  <c r="L153" i="7"/>
  <c r="N153" i="7" s="1"/>
  <c r="L199" i="7"/>
  <c r="N199" i="7" s="1"/>
  <c r="I199" i="7"/>
  <c r="L121" i="7"/>
  <c r="N121" i="7" s="1"/>
  <c r="I121" i="7"/>
  <c r="I158" i="7"/>
  <c r="L158" i="7"/>
  <c r="N158" i="7" s="1"/>
  <c r="L114" i="7"/>
  <c r="N114" i="7" s="1"/>
  <c r="I114" i="7"/>
  <c r="L283" i="7"/>
  <c r="N283" i="7" s="1"/>
  <c r="I283" i="7"/>
  <c r="L408" i="7"/>
  <c r="N408" i="7" s="1"/>
  <c r="I408" i="7"/>
  <c r="L402" i="7"/>
  <c r="N402" i="7" s="1"/>
  <c r="I402" i="7"/>
  <c r="H324" i="7"/>
  <c r="K324" i="7"/>
  <c r="M324" i="7" s="1"/>
  <c r="K136" i="7"/>
  <c r="M136" i="7" s="1"/>
  <c r="H136" i="7"/>
  <c r="K81" i="7"/>
  <c r="M81" i="7" s="1"/>
  <c r="H81" i="7"/>
  <c r="K344" i="7"/>
  <c r="M344" i="7" s="1"/>
  <c r="H344" i="7"/>
  <c r="K298" i="7"/>
  <c r="M298" i="7" s="1"/>
  <c r="H298" i="7"/>
  <c r="K423" i="7"/>
  <c r="M423" i="7" s="1"/>
  <c r="O423" i="7" s="1"/>
  <c r="H423" i="7"/>
  <c r="J423" i="7" s="1"/>
  <c r="L144" i="7"/>
  <c r="N144" i="7" s="1"/>
  <c r="I144" i="7"/>
  <c r="L249" i="7"/>
  <c r="N249" i="7" s="1"/>
  <c r="I249" i="7"/>
  <c r="K122" i="7"/>
  <c r="M122" i="7" s="1"/>
  <c r="H122" i="7"/>
  <c r="K67" i="7"/>
  <c r="M67" i="7" s="1"/>
  <c r="H67" i="7"/>
  <c r="I329" i="7"/>
  <c r="L329" i="7"/>
  <c r="N329" i="7" s="1"/>
  <c r="K409" i="7"/>
  <c r="M409" i="7" s="1"/>
  <c r="H409" i="7"/>
  <c r="K418" i="7"/>
  <c r="M418" i="7" s="1"/>
  <c r="H418" i="7"/>
  <c r="J418" i="7" s="1"/>
  <c r="L274" i="7"/>
  <c r="N274" i="7" s="1"/>
  <c r="I274" i="7"/>
  <c r="K157" i="7"/>
  <c r="M157" i="7" s="1"/>
  <c r="H157" i="7"/>
  <c r="H341" i="7"/>
  <c r="K341" i="7"/>
  <c r="M341" i="7" s="1"/>
  <c r="I315" i="7"/>
  <c r="L315" i="7"/>
  <c r="N315" i="7" s="1"/>
  <c r="K149" i="7"/>
  <c r="M149" i="7" s="1"/>
  <c r="H149" i="7"/>
  <c r="K362" i="7"/>
  <c r="M362" i="7" s="1"/>
  <c r="H362" i="7"/>
  <c r="K306" i="7"/>
  <c r="M306" i="7" s="1"/>
  <c r="H306" i="7"/>
  <c r="I169" i="7"/>
  <c r="L169" i="7"/>
  <c r="N169" i="7" s="1"/>
  <c r="K88" i="7"/>
  <c r="M88" i="7" s="1"/>
  <c r="H88" i="7"/>
  <c r="L98" i="7"/>
  <c r="N98" i="7" s="1"/>
  <c r="I98" i="7"/>
  <c r="L222" i="7"/>
  <c r="N222" i="7" s="1"/>
  <c r="I222" i="7"/>
  <c r="L210" i="7"/>
  <c r="N210" i="7" s="1"/>
  <c r="I210" i="7"/>
  <c r="I365" i="7"/>
  <c r="L365" i="7"/>
  <c r="N365" i="7" s="1"/>
  <c r="L39" i="7"/>
  <c r="N39" i="7" s="1"/>
  <c r="I39" i="7"/>
  <c r="K322" i="7"/>
  <c r="M322" i="7" s="1"/>
  <c r="O322" i="7" s="1"/>
  <c r="H322" i="7"/>
  <c r="L16" i="7"/>
  <c r="N16" i="7" s="1"/>
  <c r="I16" i="7"/>
  <c r="K22" i="7"/>
  <c r="M22" i="7" s="1"/>
  <c r="H22" i="7"/>
  <c r="L377" i="7"/>
  <c r="N377" i="7" s="1"/>
  <c r="I377" i="7"/>
  <c r="K156" i="7"/>
  <c r="M156" i="7" s="1"/>
  <c r="H156" i="7"/>
  <c r="H359" i="7"/>
  <c r="K359" i="7"/>
  <c r="M359" i="7" s="1"/>
  <c r="K115" i="7"/>
  <c r="M115" i="7" s="1"/>
  <c r="H115" i="7"/>
  <c r="I334" i="7"/>
  <c r="L334" i="7"/>
  <c r="N334" i="7" s="1"/>
  <c r="L382" i="7"/>
  <c r="N382" i="7" s="1"/>
  <c r="I382" i="7"/>
  <c r="L49" i="7"/>
  <c r="N49" i="7" s="1"/>
  <c r="I49" i="7"/>
  <c r="L111" i="7"/>
  <c r="N111" i="7" s="1"/>
  <c r="I111" i="7"/>
  <c r="L84" i="7"/>
  <c r="N84" i="7" s="1"/>
  <c r="I84" i="7"/>
  <c r="I317" i="7"/>
  <c r="L317" i="7"/>
  <c r="N317" i="7" s="1"/>
  <c r="L154" i="7"/>
  <c r="N154" i="7" s="1"/>
  <c r="I154" i="7"/>
  <c r="L7" i="7"/>
  <c r="N7" i="7" s="1"/>
  <c r="I7" i="7"/>
  <c r="K5" i="7"/>
  <c r="M5" i="7" s="1"/>
  <c r="H5" i="7"/>
  <c r="L28" i="7"/>
  <c r="N28" i="7" s="1"/>
  <c r="I28" i="7"/>
  <c r="L145" i="7"/>
  <c r="N145" i="7" s="1"/>
  <c r="I145" i="7"/>
  <c r="K38" i="7"/>
  <c r="M38" i="7" s="1"/>
  <c r="H38" i="7"/>
  <c r="K397" i="7"/>
  <c r="M397" i="7" s="1"/>
  <c r="H397" i="7"/>
  <c r="K248" i="7"/>
  <c r="M248" i="7" s="1"/>
  <c r="H248" i="7"/>
  <c r="K342" i="7"/>
  <c r="M342" i="7" s="1"/>
  <c r="H342" i="7"/>
  <c r="K192" i="7"/>
  <c r="M192" i="7" s="1"/>
  <c r="H192" i="7"/>
  <c r="K319" i="7"/>
  <c r="M319" i="7" s="1"/>
  <c r="H319" i="7"/>
  <c r="K18" i="7"/>
  <c r="M18" i="7" s="1"/>
  <c r="H18" i="7"/>
  <c r="H243" i="7"/>
  <c r="K243" i="7"/>
  <c r="M243" i="7" s="1"/>
  <c r="L81" i="7"/>
  <c r="N81" i="7" s="1"/>
  <c r="I81" i="7"/>
  <c r="I344" i="7"/>
  <c r="L344" i="7"/>
  <c r="N344" i="7" s="1"/>
  <c r="K27" i="7"/>
  <c r="M27" i="7" s="1"/>
  <c r="H27" i="7"/>
  <c r="L122" i="7"/>
  <c r="N122" i="7" s="1"/>
  <c r="I122" i="7"/>
  <c r="L67" i="7"/>
  <c r="N67" i="7" s="1"/>
  <c r="I67" i="7"/>
  <c r="H329" i="7"/>
  <c r="J329" i="7" s="1"/>
  <c r="K329" i="7"/>
  <c r="M329" i="7" s="1"/>
  <c r="O329" i="7" s="1"/>
  <c r="K282" i="7"/>
  <c r="M282" i="7" s="1"/>
  <c r="H282" i="7"/>
  <c r="I157" i="7"/>
  <c r="L157" i="7"/>
  <c r="N157" i="7" s="1"/>
  <c r="K112" i="7"/>
  <c r="M112" i="7" s="1"/>
  <c r="H112" i="7"/>
  <c r="L149" i="7"/>
  <c r="N149" i="7" s="1"/>
  <c r="I149" i="7"/>
  <c r="I362" i="7"/>
  <c r="L362" i="7"/>
  <c r="N362" i="7" s="1"/>
  <c r="L306" i="7"/>
  <c r="N306" i="7" s="1"/>
  <c r="I306" i="7"/>
  <c r="I368" i="7"/>
  <c r="L368" i="7"/>
  <c r="N368" i="7" s="1"/>
  <c r="L88" i="7"/>
  <c r="N88" i="7" s="1"/>
  <c r="I88" i="7"/>
  <c r="K176" i="7"/>
  <c r="M176" i="7" s="1"/>
  <c r="H176" i="7"/>
  <c r="I330" i="7"/>
  <c r="L330" i="7"/>
  <c r="N330" i="7" s="1"/>
  <c r="H348" i="7"/>
  <c r="K348" i="7"/>
  <c r="M348" i="7" s="1"/>
  <c r="K365" i="7"/>
  <c r="M365" i="7" s="1"/>
  <c r="O365" i="7" s="1"/>
  <c r="H365" i="7"/>
  <c r="K113" i="7"/>
  <c r="M113" i="7" s="1"/>
  <c r="H113" i="7"/>
  <c r="K47" i="7"/>
  <c r="M47" i="7" s="1"/>
  <c r="H47" i="7"/>
  <c r="K155" i="7"/>
  <c r="M155" i="7" s="1"/>
  <c r="H155" i="7"/>
  <c r="L22" i="7"/>
  <c r="N22" i="7" s="1"/>
  <c r="I22" i="7"/>
  <c r="K377" i="7"/>
  <c r="M377" i="7" s="1"/>
  <c r="H377" i="7"/>
  <c r="I156" i="7"/>
  <c r="L156" i="7"/>
  <c r="N156" i="7" s="1"/>
  <c r="I359" i="7"/>
  <c r="L359" i="7"/>
  <c r="N359" i="7" s="1"/>
  <c r="L115" i="7"/>
  <c r="N115" i="7" s="1"/>
  <c r="I115" i="7"/>
  <c r="H334" i="7"/>
  <c r="K334" i="7"/>
  <c r="M334" i="7" s="1"/>
  <c r="K382" i="7"/>
  <c r="M382" i="7" s="1"/>
  <c r="H382" i="7"/>
  <c r="I325" i="7"/>
  <c r="L325" i="7"/>
  <c r="N325" i="7" s="1"/>
  <c r="K51" i="7"/>
  <c r="M51" i="7" s="1"/>
  <c r="H51" i="7"/>
  <c r="H360" i="7"/>
  <c r="K360" i="7"/>
  <c r="M360" i="7" s="1"/>
  <c r="K35" i="7"/>
  <c r="M35" i="7" s="1"/>
  <c r="H35" i="7"/>
  <c r="L177" i="7"/>
  <c r="N177" i="7" s="1"/>
  <c r="I177" i="7"/>
  <c r="I407" i="7"/>
  <c r="L407" i="7"/>
  <c r="N407" i="7" s="1"/>
  <c r="K285" i="7"/>
  <c r="M285" i="7" s="1"/>
  <c r="H285" i="7"/>
  <c r="L298" i="7"/>
  <c r="N298" i="7" s="1"/>
  <c r="I298" i="7"/>
  <c r="L35" i="7"/>
  <c r="N35" i="7" s="1"/>
  <c r="I35" i="7"/>
  <c r="K99" i="7"/>
  <c r="M99" i="7" s="1"/>
  <c r="H99" i="7"/>
  <c r="K104" i="7"/>
  <c r="M104" i="7" s="1"/>
  <c r="H104" i="7"/>
  <c r="K90" i="7"/>
  <c r="M90" i="7" s="1"/>
  <c r="H90" i="7"/>
  <c r="L211" i="7"/>
  <c r="N211" i="7" s="1"/>
  <c r="I211" i="7"/>
  <c r="L57" i="7"/>
  <c r="N57" i="7" s="1"/>
  <c r="I57" i="7"/>
  <c r="L390" i="7"/>
  <c r="N390" i="7" s="1"/>
  <c r="I390" i="7"/>
  <c r="L5" i="7"/>
  <c r="N5" i="7" s="1"/>
  <c r="I5" i="7"/>
  <c r="K126" i="7"/>
  <c r="M126" i="7" s="1"/>
  <c r="H126" i="7"/>
  <c r="L234" i="7"/>
  <c r="N234" i="7" s="1"/>
  <c r="I234" i="7"/>
  <c r="L38" i="7"/>
  <c r="N38" i="7" s="1"/>
  <c r="I38" i="7"/>
  <c r="L397" i="7"/>
  <c r="N397" i="7" s="1"/>
  <c r="I397" i="7"/>
  <c r="L248" i="7"/>
  <c r="N248" i="7" s="1"/>
  <c r="I248" i="7"/>
  <c r="I342" i="7"/>
  <c r="L342" i="7"/>
  <c r="N342" i="7" s="1"/>
  <c r="L192" i="7"/>
  <c r="N192" i="7" s="1"/>
  <c r="I192" i="7"/>
  <c r="I319" i="7"/>
  <c r="L319" i="7"/>
  <c r="N319" i="7" s="1"/>
  <c r="K264" i="7"/>
  <c r="M264" i="7" s="1"/>
  <c r="H264" i="7"/>
  <c r="L18" i="7"/>
  <c r="N18" i="7" s="1"/>
  <c r="I18" i="7"/>
  <c r="I243" i="7"/>
  <c r="L243" i="7"/>
  <c r="N243" i="7" s="1"/>
  <c r="H165" i="7"/>
  <c r="K165" i="7"/>
  <c r="M165" i="7" s="1"/>
  <c r="K129" i="7"/>
  <c r="M129" i="7" s="1"/>
  <c r="H129" i="7"/>
  <c r="L282" i="7"/>
  <c r="N282" i="7" s="1"/>
  <c r="I282" i="7"/>
  <c r="K13" i="7"/>
  <c r="M13" i="7" s="1"/>
  <c r="H13" i="7"/>
  <c r="H61" i="7"/>
  <c r="K61" i="7"/>
  <c r="M61" i="7" s="1"/>
  <c r="L112" i="7"/>
  <c r="N112" i="7" s="1"/>
  <c r="I112" i="7"/>
  <c r="K118" i="7"/>
  <c r="M118" i="7" s="1"/>
  <c r="H118" i="7"/>
  <c r="K287" i="7"/>
  <c r="M287" i="7" s="1"/>
  <c r="H287" i="7"/>
  <c r="K363" i="7"/>
  <c r="M363" i="7" s="1"/>
  <c r="H363" i="7"/>
  <c r="K368" i="7"/>
  <c r="M368" i="7" s="1"/>
  <c r="H368" i="7"/>
  <c r="K186" i="7"/>
  <c r="M186" i="7" s="1"/>
  <c r="H186" i="7"/>
  <c r="H75" i="7"/>
  <c r="K75" i="7"/>
  <c r="M75" i="7" s="1"/>
  <c r="L176" i="7"/>
  <c r="N176" i="7" s="1"/>
  <c r="I176" i="7"/>
  <c r="H330" i="7"/>
  <c r="K330" i="7"/>
  <c r="M330" i="7" s="1"/>
  <c r="I348" i="7"/>
  <c r="L348" i="7"/>
  <c r="N348" i="7" s="1"/>
  <c r="H214" i="7"/>
  <c r="K214" i="7"/>
  <c r="M214" i="7" s="1"/>
  <c r="L113" i="7"/>
  <c r="N113" i="7" s="1"/>
  <c r="I113" i="7"/>
  <c r="L47" i="7"/>
  <c r="N47" i="7" s="1"/>
  <c r="I47" i="7"/>
  <c r="I155" i="7"/>
  <c r="L155" i="7"/>
  <c r="N155" i="7" s="1"/>
  <c r="K189" i="7"/>
  <c r="M189" i="7" s="1"/>
  <c r="H189" i="7"/>
  <c r="K161" i="7"/>
  <c r="M161" i="7" s="1"/>
  <c r="H161" i="7"/>
  <c r="K72" i="7"/>
  <c r="M72" i="7" s="1"/>
  <c r="H72" i="7"/>
  <c r="K109" i="7"/>
  <c r="M109" i="7" s="1"/>
  <c r="H109" i="7"/>
  <c r="K175" i="7"/>
  <c r="M175" i="7" s="1"/>
  <c r="O175" i="7" s="1"/>
  <c r="H175" i="7"/>
  <c r="J175" i="7" s="1"/>
  <c r="K142" i="7"/>
  <c r="M142" i="7" s="1"/>
  <c r="H142" i="7"/>
  <c r="K70" i="7"/>
  <c r="M70" i="7" s="1"/>
  <c r="H70" i="7"/>
  <c r="L391" i="7"/>
  <c r="N391" i="7" s="1"/>
  <c r="I391" i="7"/>
  <c r="K424" i="7"/>
  <c r="M424" i="7" s="1"/>
  <c r="H424" i="7"/>
  <c r="H325" i="7"/>
  <c r="J325" i="7" s="1"/>
  <c r="K325" i="7"/>
  <c r="M325" i="7" s="1"/>
  <c r="L51" i="7"/>
  <c r="N51" i="7" s="1"/>
  <c r="I51" i="7"/>
  <c r="I360" i="7"/>
  <c r="L360" i="7"/>
  <c r="N360" i="7" s="1"/>
  <c r="K6" i="7"/>
  <c r="M6" i="7" s="1"/>
  <c r="H6" i="7"/>
  <c r="I350" i="7"/>
  <c r="L350" i="7"/>
  <c r="N350" i="7" s="1"/>
  <c r="L29" i="7"/>
  <c r="N29" i="7" s="1"/>
  <c r="I29" i="7"/>
  <c r="K116" i="7"/>
  <c r="M116" i="7" s="1"/>
  <c r="H116" i="7"/>
  <c r="H352" i="7"/>
  <c r="K352" i="7"/>
  <c r="M352" i="7" s="1"/>
  <c r="O352" i="7" s="1"/>
  <c r="K32" i="7"/>
  <c r="M32" i="7" s="1"/>
  <c r="H32" i="7"/>
  <c r="H266" i="7"/>
  <c r="K266" i="7"/>
  <c r="M266" i="7" s="1"/>
  <c r="K361" i="7"/>
  <c r="M361" i="7" s="1"/>
  <c r="H361" i="7"/>
  <c r="L264" i="7"/>
  <c r="N264" i="7" s="1"/>
  <c r="I264" i="7"/>
  <c r="L409" i="7"/>
  <c r="N409" i="7" s="1"/>
  <c r="I409" i="7"/>
  <c r="L6" i="7"/>
  <c r="N6" i="7" s="1"/>
  <c r="I6" i="7"/>
  <c r="K299" i="7"/>
  <c r="M299" i="7" s="1"/>
  <c r="H299" i="7"/>
  <c r="K68" i="7"/>
  <c r="M68" i="7" s="1"/>
  <c r="H68" i="7"/>
  <c r="K414" i="7"/>
  <c r="M414" i="7" s="1"/>
  <c r="H414" i="7"/>
  <c r="K45" i="7"/>
  <c r="M45" i="7" s="1"/>
  <c r="H45" i="7"/>
  <c r="L285" i="7"/>
  <c r="N285" i="7" s="1"/>
  <c r="I285" i="7"/>
  <c r="L421" i="7"/>
  <c r="N421" i="7" s="1"/>
  <c r="I421" i="7"/>
  <c r="I309" i="7"/>
  <c r="L309" i="7"/>
  <c r="N309" i="7" s="1"/>
  <c r="H207" i="7"/>
  <c r="K207" i="7"/>
  <c r="M207" i="7" s="1"/>
  <c r="K15" i="7"/>
  <c r="M15" i="7" s="1"/>
  <c r="H15" i="7"/>
  <c r="L116" i="7"/>
  <c r="N116" i="7" s="1"/>
  <c r="I116" i="7"/>
  <c r="I352" i="7"/>
  <c r="L352" i="7"/>
  <c r="N352" i="7" s="1"/>
  <c r="L32" i="7"/>
  <c r="N32" i="7" s="1"/>
  <c r="I32" i="7"/>
  <c r="L266" i="7"/>
  <c r="N266" i="7" s="1"/>
  <c r="I266" i="7"/>
  <c r="I361" i="7"/>
  <c r="L361" i="7"/>
  <c r="N361" i="7" s="1"/>
  <c r="K108" i="7"/>
  <c r="M108" i="7" s="1"/>
  <c r="H108" i="7"/>
  <c r="L27" i="7"/>
  <c r="N27" i="7" s="1"/>
  <c r="I27" i="7"/>
  <c r="H151" i="7"/>
  <c r="K151" i="7"/>
  <c r="M151" i="7" s="1"/>
  <c r="I335" i="7"/>
  <c r="L335" i="7"/>
  <c r="N335" i="7" s="1"/>
  <c r="K384" i="7"/>
  <c r="M384" i="7" s="1"/>
  <c r="H384" i="7"/>
  <c r="I339" i="7"/>
  <c r="L339" i="7"/>
  <c r="N339" i="7" s="1"/>
  <c r="K21" i="7"/>
  <c r="M21" i="7" s="1"/>
  <c r="O21" i="7" s="1"/>
  <c r="H21" i="7"/>
  <c r="J21" i="7" s="1"/>
  <c r="L99" i="7"/>
  <c r="N99" i="7" s="1"/>
  <c r="I99" i="7"/>
  <c r="L299" i="7"/>
  <c r="N299" i="7" s="1"/>
  <c r="I299" i="7"/>
  <c r="L104" i="7"/>
  <c r="N104" i="7" s="1"/>
  <c r="I104" i="7"/>
  <c r="L68" i="7"/>
  <c r="N68" i="7" s="1"/>
  <c r="I68" i="7"/>
  <c r="L90" i="7"/>
  <c r="N90" i="7" s="1"/>
  <c r="I90" i="7"/>
  <c r="L414" i="7"/>
  <c r="N414" i="7" s="1"/>
  <c r="I414" i="7"/>
  <c r="L45" i="7"/>
  <c r="N45" i="7" s="1"/>
  <c r="I45" i="7"/>
  <c r="L403" i="7"/>
  <c r="N403" i="7" s="1"/>
  <c r="I403" i="7"/>
  <c r="K58" i="7"/>
  <c r="M58" i="7" s="1"/>
  <c r="O58" i="7" s="1"/>
  <c r="H58" i="7"/>
  <c r="J58" i="7" s="1"/>
  <c r="K125" i="7"/>
  <c r="M125" i="7" s="1"/>
  <c r="H125" i="7"/>
  <c r="L389" i="7"/>
  <c r="N389" i="7" s="1"/>
  <c r="I389" i="7"/>
  <c r="K55" i="7"/>
  <c r="M55" i="7" s="1"/>
  <c r="H55" i="7"/>
  <c r="H291" i="7"/>
  <c r="K291" i="7"/>
  <c r="M291" i="7" s="1"/>
  <c r="K36" i="7"/>
  <c r="M36" i="7" s="1"/>
  <c r="O36" i="7" s="1"/>
  <c r="H36" i="7"/>
  <c r="I37" i="9"/>
  <c r="L126" i="7"/>
  <c r="N126" i="7" s="1"/>
  <c r="I126" i="7"/>
  <c r="L207" i="7"/>
  <c r="N207" i="7" s="1"/>
  <c r="I207" i="7"/>
  <c r="K234" i="7"/>
  <c r="M234" i="7" s="1"/>
  <c r="O234" i="7" s="1"/>
  <c r="H234" i="7"/>
  <c r="L15" i="7"/>
  <c r="N15" i="7" s="1"/>
  <c r="I15" i="7"/>
  <c r="O10" i="7"/>
  <c r="K131" i="7"/>
  <c r="M131" i="7" s="1"/>
  <c r="H131" i="7"/>
  <c r="K194" i="7"/>
  <c r="M194" i="7" s="1"/>
  <c r="H194" i="7"/>
  <c r="K380" i="7"/>
  <c r="M380" i="7" s="1"/>
  <c r="H380" i="7"/>
  <c r="K173" i="7"/>
  <c r="M173" i="7" s="1"/>
  <c r="H173" i="7"/>
  <c r="I343" i="7"/>
  <c r="L343" i="7"/>
  <c r="N343" i="7" s="1"/>
  <c r="H62" i="7"/>
  <c r="K62" i="7"/>
  <c r="M62" i="7" s="1"/>
  <c r="H229" i="7"/>
  <c r="K229" i="7"/>
  <c r="M229" i="7" s="1"/>
  <c r="H358" i="7"/>
  <c r="K358" i="7"/>
  <c r="M358" i="7" s="1"/>
  <c r="K312" i="7"/>
  <c r="M312" i="7" s="1"/>
  <c r="H312" i="7"/>
  <c r="K102" i="7"/>
  <c r="M102" i="7" s="1"/>
  <c r="H102" i="7"/>
  <c r="L394" i="7"/>
  <c r="N394" i="7" s="1"/>
  <c r="I394" i="7"/>
  <c r="L83" i="7"/>
  <c r="N83" i="7" s="1"/>
  <c r="I83" i="7"/>
  <c r="L108" i="7"/>
  <c r="N108" i="7" s="1"/>
  <c r="I108" i="7"/>
  <c r="K76" i="7"/>
  <c r="M76" i="7" s="1"/>
  <c r="H76" i="7"/>
  <c r="K65" i="7"/>
  <c r="M65" i="7" s="1"/>
  <c r="H65" i="7"/>
  <c r="I165" i="7"/>
  <c r="L165" i="7"/>
  <c r="N165" i="7" s="1"/>
  <c r="L129" i="7"/>
  <c r="N129" i="7" s="1"/>
  <c r="I129" i="7"/>
  <c r="K164" i="7"/>
  <c r="M164" i="7" s="1"/>
  <c r="H164" i="7"/>
  <c r="I327" i="7"/>
  <c r="L327" i="7"/>
  <c r="N327" i="7" s="1"/>
  <c r="I338" i="7"/>
  <c r="L338" i="7"/>
  <c r="N338" i="7" s="1"/>
  <c r="I151" i="7"/>
  <c r="L151" i="7"/>
  <c r="N151" i="7" s="1"/>
  <c r="H335" i="7"/>
  <c r="K335" i="7"/>
  <c r="M335" i="7" s="1"/>
  <c r="K8" i="7"/>
  <c r="M8" i="7" s="1"/>
  <c r="H8" i="7"/>
  <c r="K101" i="7"/>
  <c r="M101" i="7" s="1"/>
  <c r="H101" i="7"/>
  <c r="H313" i="7"/>
  <c r="K313" i="7"/>
  <c r="M313" i="7" s="1"/>
  <c r="L13" i="7"/>
  <c r="N13" i="7" s="1"/>
  <c r="I13" i="7"/>
  <c r="L61" i="7"/>
  <c r="N61" i="7" s="1"/>
  <c r="I61" i="7"/>
  <c r="K190" i="7"/>
  <c r="M190" i="7" s="1"/>
  <c r="H190" i="7"/>
  <c r="L118" i="7"/>
  <c r="N118" i="7" s="1"/>
  <c r="I118" i="7"/>
  <c r="L287" i="7"/>
  <c r="N287" i="7" s="1"/>
  <c r="I287" i="7"/>
  <c r="L363" i="7"/>
  <c r="N363" i="7" s="1"/>
  <c r="I363" i="7"/>
  <c r="L384" i="7"/>
  <c r="N384" i="7" s="1"/>
  <c r="I384" i="7"/>
  <c r="K105" i="7"/>
  <c r="M105" i="7" s="1"/>
  <c r="H105" i="7"/>
  <c r="K17" i="7"/>
  <c r="M17" i="7" s="1"/>
  <c r="H17" i="7"/>
  <c r="L186" i="7"/>
  <c r="N186" i="7" s="1"/>
  <c r="I186" i="7"/>
  <c r="L75" i="7"/>
  <c r="N75" i="7" s="1"/>
  <c r="I75" i="7"/>
  <c r="K296" i="7"/>
  <c r="M296" i="7" s="1"/>
  <c r="H296" i="7"/>
  <c r="K103" i="7"/>
  <c r="M103" i="7" s="1"/>
  <c r="H103" i="7"/>
  <c r="H349" i="7"/>
  <c r="K349" i="7"/>
  <c r="M349" i="7" s="1"/>
  <c r="L214" i="7"/>
  <c r="N214" i="7" s="1"/>
  <c r="I214" i="7"/>
  <c r="K24" i="7"/>
  <c r="M24" i="7" s="1"/>
  <c r="H24" i="7"/>
  <c r="K91" i="7"/>
  <c r="M91" i="7" s="1"/>
  <c r="H91" i="7"/>
  <c r="L189" i="7"/>
  <c r="N189" i="7" s="1"/>
  <c r="I189" i="7"/>
  <c r="I161" i="7"/>
  <c r="L161" i="7"/>
  <c r="N161" i="7" s="1"/>
  <c r="L72" i="7"/>
  <c r="N72" i="7" s="1"/>
  <c r="I72" i="7"/>
  <c r="L109" i="7"/>
  <c r="N109" i="7" s="1"/>
  <c r="I109" i="7"/>
  <c r="L175" i="7"/>
  <c r="N175" i="7" s="1"/>
  <c r="I175" i="7"/>
  <c r="L142" i="7"/>
  <c r="N142" i="7" s="1"/>
  <c r="I142" i="7"/>
  <c r="L70" i="7"/>
  <c r="N70" i="7" s="1"/>
  <c r="I70" i="7"/>
  <c r="K391" i="7"/>
  <c r="M391" i="7" s="1"/>
  <c r="O391" i="7" s="1"/>
  <c r="H391" i="7"/>
  <c r="J391" i="7" s="1"/>
  <c r="L424" i="7"/>
  <c r="N424" i="7" s="1"/>
  <c r="I424" i="7"/>
  <c r="K20" i="7"/>
  <c r="M20" i="7" s="1"/>
  <c r="H20" i="7"/>
  <c r="K128" i="7"/>
  <c r="M128" i="7" s="1"/>
  <c r="H128" i="7"/>
  <c r="K375" i="7"/>
  <c r="M375" i="7" s="1"/>
  <c r="H375" i="7"/>
  <c r="K80" i="7"/>
  <c r="M80" i="7" s="1"/>
  <c r="H80" i="7"/>
  <c r="K52" i="7"/>
  <c r="M52" i="7" s="1"/>
  <c r="H52" i="7"/>
  <c r="J52" i="7" s="1"/>
  <c r="L252" i="7"/>
  <c r="N252" i="7" s="1"/>
  <c r="I252" i="7"/>
  <c r="H357" i="7"/>
  <c r="J357" i="7" s="1"/>
  <c r="K357" i="7"/>
  <c r="M357" i="7" s="1"/>
  <c r="O357" i="7" s="1"/>
  <c r="K174" i="7"/>
  <c r="M174" i="7" s="1"/>
  <c r="H174" i="7"/>
  <c r="K137" i="7"/>
  <c r="M137" i="7" s="1"/>
  <c r="H137" i="7"/>
  <c r="L131" i="7"/>
  <c r="N131" i="7" s="1"/>
  <c r="I131" i="7"/>
  <c r="L194" i="7"/>
  <c r="N194" i="7" s="1"/>
  <c r="I194" i="7"/>
  <c r="I380" i="7"/>
  <c r="L380" i="7"/>
  <c r="N380" i="7" s="1"/>
  <c r="L173" i="7"/>
  <c r="N173" i="7" s="1"/>
  <c r="I173" i="7"/>
  <c r="H343" i="7"/>
  <c r="J343" i="7" s="1"/>
  <c r="K343" i="7"/>
  <c r="M343" i="7" s="1"/>
  <c r="O343" i="7" s="1"/>
  <c r="L62" i="7"/>
  <c r="N62" i="7" s="1"/>
  <c r="I62" i="7"/>
  <c r="L229" i="7"/>
  <c r="N229" i="7" s="1"/>
  <c r="I229" i="7"/>
  <c r="I358" i="7"/>
  <c r="L358" i="7"/>
  <c r="N358" i="7" s="1"/>
  <c r="I312" i="7"/>
  <c r="L312" i="7"/>
  <c r="N312" i="7" s="1"/>
  <c r="L102" i="7"/>
  <c r="N102" i="7" s="1"/>
  <c r="I102" i="7"/>
  <c r="K394" i="7"/>
  <c r="M394" i="7" s="1"/>
  <c r="O394" i="7" s="1"/>
  <c r="H394" i="7"/>
  <c r="J394" i="7" s="1"/>
  <c r="K83" i="7"/>
  <c r="M83" i="7" s="1"/>
  <c r="O83" i="7" s="1"/>
  <c r="H83" i="7"/>
  <c r="J83" i="7" s="1"/>
  <c r="H235" i="7"/>
  <c r="K235" i="7"/>
  <c r="M235" i="7" s="1"/>
  <c r="L76" i="7"/>
  <c r="N76" i="7" s="1"/>
  <c r="I76" i="7"/>
  <c r="L65" i="7"/>
  <c r="N65" i="7" s="1"/>
  <c r="I65" i="7"/>
  <c r="K419" i="7"/>
  <c r="M419" i="7" s="1"/>
  <c r="H419" i="7"/>
  <c r="H85" i="7"/>
  <c r="K85" i="7"/>
  <c r="M85" i="7" s="1"/>
  <c r="K416" i="7"/>
  <c r="M416" i="7" s="1"/>
  <c r="H416" i="7"/>
  <c r="I164" i="7"/>
  <c r="L164" i="7"/>
  <c r="N164" i="7" s="1"/>
  <c r="H327" i="7"/>
  <c r="K327" i="7"/>
  <c r="M327" i="7" s="1"/>
  <c r="H338" i="7"/>
  <c r="K338" i="7"/>
  <c r="M338" i="7" s="1"/>
  <c r="K79" i="7"/>
  <c r="M79" i="7" s="1"/>
  <c r="H79" i="7"/>
  <c r="H355" i="7"/>
  <c r="K355" i="7"/>
  <c r="M355" i="7" s="1"/>
  <c r="K399" i="7"/>
  <c r="M399" i="7" s="1"/>
  <c r="H399" i="7"/>
  <c r="L8" i="7"/>
  <c r="N8" i="7" s="1"/>
  <c r="I8" i="7"/>
  <c r="L101" i="7"/>
  <c r="N101" i="7" s="1"/>
  <c r="I101" i="7"/>
  <c r="I313" i="7"/>
  <c r="L313" i="7"/>
  <c r="N313" i="7" s="1"/>
  <c r="H74" i="7"/>
  <c r="J74" i="7" s="1"/>
  <c r="K74" i="7"/>
  <c r="M74" i="7" s="1"/>
  <c r="O74" i="7" s="1"/>
  <c r="H219" i="7"/>
  <c r="K219" i="7"/>
  <c r="M219" i="7" s="1"/>
  <c r="L190" i="7"/>
  <c r="N190" i="7" s="1"/>
  <c r="I190" i="7"/>
  <c r="H208" i="7"/>
  <c r="K208" i="7"/>
  <c r="M208" i="7" s="1"/>
  <c r="K42" i="7"/>
  <c r="M42" i="7" s="1"/>
  <c r="O42" i="7" s="1"/>
  <c r="H42" i="7"/>
  <c r="J42" i="7" s="1"/>
  <c r="K412" i="7"/>
  <c r="M412" i="7" s="1"/>
  <c r="H412" i="7"/>
  <c r="L105" i="7"/>
  <c r="N105" i="7" s="1"/>
  <c r="I105" i="7"/>
  <c r="L17" i="7"/>
  <c r="N17" i="7" s="1"/>
  <c r="I17" i="7"/>
  <c r="K77" i="7"/>
  <c r="M77" i="7" s="1"/>
  <c r="H77" i="7"/>
  <c r="H204" i="7"/>
  <c r="K204" i="7"/>
  <c r="M204" i="7" s="1"/>
  <c r="L296" i="7"/>
  <c r="N296" i="7" s="1"/>
  <c r="I296" i="7"/>
  <c r="L103" i="7"/>
  <c r="N103" i="7" s="1"/>
  <c r="I103" i="7"/>
  <c r="I349" i="7"/>
  <c r="L349" i="7"/>
  <c r="N349" i="7" s="1"/>
  <c r="K396" i="7"/>
  <c r="M396" i="7" s="1"/>
  <c r="H396" i="7"/>
  <c r="L24" i="7"/>
  <c r="N24" i="7" s="1"/>
  <c r="I24" i="7"/>
  <c r="L91" i="7"/>
  <c r="N91" i="7" s="1"/>
  <c r="I91" i="7"/>
  <c r="H354" i="7"/>
  <c r="K354" i="7"/>
  <c r="M354" i="7" s="1"/>
  <c r="H255" i="7"/>
  <c r="K255" i="7"/>
  <c r="M255" i="7" s="1"/>
  <c r="H267" i="7"/>
  <c r="K267" i="7"/>
  <c r="M267" i="7" s="1"/>
  <c r="K320" i="7"/>
  <c r="M320" i="7" s="1"/>
  <c r="H320" i="7"/>
  <c r="K23" i="7"/>
  <c r="M23" i="7" s="1"/>
  <c r="H23" i="7"/>
  <c r="H206" i="7"/>
  <c r="J206" i="7" s="1"/>
  <c r="K206" i="7"/>
  <c r="M206" i="7" s="1"/>
  <c r="H86" i="7"/>
  <c r="K86" i="7"/>
  <c r="M86" i="7" s="1"/>
  <c r="O86" i="7" s="1"/>
  <c r="H351" i="7"/>
  <c r="K351" i="7"/>
  <c r="M351" i="7" s="1"/>
  <c r="L20" i="7"/>
  <c r="N20" i="7" s="1"/>
  <c r="I20" i="7"/>
  <c r="L128" i="7"/>
  <c r="N128" i="7" s="1"/>
  <c r="I128" i="7"/>
  <c r="K390" i="7"/>
  <c r="M390" i="7" s="1"/>
  <c r="H390" i="7"/>
  <c r="L125" i="7"/>
  <c r="N125" i="7" s="1"/>
  <c r="I125" i="7"/>
  <c r="H215" i="7"/>
  <c r="K215" i="7"/>
  <c r="M215" i="7" s="1"/>
  <c r="L369" i="7"/>
  <c r="N369" i="7" s="1"/>
  <c r="I369" i="7"/>
  <c r="L197" i="7"/>
  <c r="N197" i="7" s="1"/>
  <c r="I197" i="7"/>
  <c r="L238" i="7"/>
  <c r="N238" i="7" s="1"/>
  <c r="I238" i="7"/>
  <c r="L80" i="7"/>
  <c r="N80" i="7" s="1"/>
  <c r="I80" i="7"/>
  <c r="L174" i="7"/>
  <c r="N174" i="7" s="1"/>
  <c r="I174" i="7"/>
  <c r="K258" i="7"/>
  <c r="M258" i="7" s="1"/>
  <c r="H258" i="7"/>
  <c r="J258" i="7" s="1"/>
  <c r="K247" i="7"/>
  <c r="M247" i="7" s="1"/>
  <c r="H247" i="7"/>
  <c r="K188" i="7"/>
  <c r="M188" i="7" s="1"/>
  <c r="H188" i="7"/>
  <c r="K297" i="7"/>
  <c r="M297" i="7" s="1"/>
  <c r="H297" i="7"/>
  <c r="K25" i="7"/>
  <c r="M25" i="7" s="1"/>
  <c r="H25" i="7"/>
  <c r="K180" i="7"/>
  <c r="M180" i="7" s="1"/>
  <c r="O180" i="7" s="1"/>
  <c r="H180" i="7"/>
  <c r="K395" i="7"/>
  <c r="M395" i="7" s="1"/>
  <c r="H395" i="7"/>
  <c r="J395" i="7" s="1"/>
  <c r="K167" i="7"/>
  <c r="M167" i="7" s="1"/>
  <c r="H167" i="7"/>
  <c r="I235" i="7"/>
  <c r="L235" i="7"/>
  <c r="N235" i="7" s="1"/>
  <c r="K34" i="7"/>
  <c r="M34" i="7" s="1"/>
  <c r="H34" i="7"/>
  <c r="I419" i="7"/>
  <c r="L419" i="7"/>
  <c r="N419" i="7" s="1"/>
  <c r="I416" i="7"/>
  <c r="L416" i="7"/>
  <c r="N416" i="7" s="1"/>
  <c r="K265" i="7"/>
  <c r="M265" i="7" s="1"/>
  <c r="H265" i="7"/>
  <c r="J265" i="7" s="1"/>
  <c r="I355" i="7"/>
  <c r="L355" i="7"/>
  <c r="N355" i="7" s="1"/>
  <c r="L219" i="7"/>
  <c r="N219" i="7" s="1"/>
  <c r="I219" i="7"/>
  <c r="L42" i="7"/>
  <c r="N42" i="7" s="1"/>
  <c r="I42" i="7"/>
  <c r="L77" i="7"/>
  <c r="N77" i="7" s="1"/>
  <c r="I77" i="7"/>
  <c r="I204" i="7"/>
  <c r="L204" i="7"/>
  <c r="N204" i="7" s="1"/>
  <c r="K388" i="7"/>
  <c r="M388" i="7" s="1"/>
  <c r="O388" i="7" s="1"/>
  <c r="H388" i="7"/>
  <c r="J388" i="7" s="1"/>
  <c r="H239" i="7"/>
  <c r="K239" i="7"/>
  <c r="M239" i="7" s="1"/>
  <c r="K398" i="7"/>
  <c r="M398" i="7" s="1"/>
  <c r="H398" i="7"/>
  <c r="L396" i="7"/>
  <c r="N396" i="7" s="1"/>
  <c r="I396" i="7"/>
  <c r="K193" i="7"/>
  <c r="M193" i="7" s="1"/>
  <c r="H193" i="7"/>
  <c r="K195" i="7"/>
  <c r="M195" i="7" s="1"/>
  <c r="H195" i="7"/>
  <c r="I354" i="7"/>
  <c r="L354" i="7"/>
  <c r="N354" i="7" s="1"/>
  <c r="I255" i="7"/>
  <c r="L255" i="7"/>
  <c r="N255" i="7" s="1"/>
  <c r="I267" i="7"/>
  <c r="L267" i="7"/>
  <c r="N267" i="7" s="1"/>
  <c r="L23" i="7"/>
  <c r="N23" i="7" s="1"/>
  <c r="I23" i="7"/>
  <c r="L206" i="7"/>
  <c r="N206" i="7" s="1"/>
  <c r="I206" i="7"/>
  <c r="I29" i="9"/>
  <c r="L86" i="7"/>
  <c r="N86" i="7" s="1"/>
  <c r="I86" i="7"/>
  <c r="I351" i="7"/>
  <c r="L351" i="7"/>
  <c r="N351" i="7" s="1"/>
  <c r="K141" i="7"/>
  <c r="M141" i="7" s="1"/>
  <c r="H141" i="7"/>
  <c r="H220" i="7"/>
  <c r="K220" i="7"/>
  <c r="M220" i="7" s="1"/>
  <c r="B155" i="13"/>
  <c r="B144" i="13"/>
  <c r="B166" i="13"/>
  <c r="I244" i="7"/>
  <c r="L244" i="7"/>
  <c r="N244" i="7" s="1"/>
  <c r="H231" i="7"/>
  <c r="J231" i="7" s="1"/>
  <c r="K231" i="7"/>
  <c r="M231" i="7" s="1"/>
  <c r="O231" i="7" s="1"/>
  <c r="H303" i="7"/>
  <c r="K303" i="7"/>
  <c r="M303" i="7" s="1"/>
  <c r="L55" i="7"/>
  <c r="N55" i="7" s="1"/>
  <c r="I55" i="7"/>
  <c r="I231" i="7"/>
  <c r="L231" i="7"/>
  <c r="N231" i="7" s="1"/>
  <c r="L150" i="7"/>
  <c r="N150" i="7" s="1"/>
  <c r="I150" i="7"/>
  <c r="K415" i="7"/>
  <c r="M415" i="7" s="1"/>
  <c r="O415" i="7" s="1"/>
  <c r="H415" i="7"/>
  <c r="J415" i="7" s="1"/>
  <c r="K146" i="7"/>
  <c r="M146" i="7" s="1"/>
  <c r="H146" i="7"/>
  <c r="J146" i="7" s="1"/>
  <c r="K366" i="7"/>
  <c r="M366" i="7" s="1"/>
  <c r="H366" i="7"/>
  <c r="L52" i="7"/>
  <c r="N52" i="7" s="1"/>
  <c r="I52" i="7"/>
  <c r="K252" i="7"/>
  <c r="M252" i="7" s="1"/>
  <c r="H252" i="7"/>
  <c r="H221" i="7"/>
  <c r="K221" i="7"/>
  <c r="M221" i="7" s="1"/>
  <c r="K60" i="7"/>
  <c r="M60" i="7" s="1"/>
  <c r="O60" i="7" s="1"/>
  <c r="H60" i="7"/>
  <c r="K123" i="7"/>
  <c r="M123" i="7" s="1"/>
  <c r="H123" i="7"/>
  <c r="L85" i="7"/>
  <c r="N85" i="7" s="1"/>
  <c r="I85" i="7"/>
  <c r="L79" i="7"/>
  <c r="N79" i="7" s="1"/>
  <c r="I79" i="7"/>
  <c r="L399" i="7"/>
  <c r="N399" i="7" s="1"/>
  <c r="I399" i="7"/>
  <c r="K31" i="7"/>
  <c r="M31" i="7" s="1"/>
  <c r="H31" i="7"/>
  <c r="K310" i="7"/>
  <c r="M310" i="7" s="1"/>
  <c r="O310" i="7" s="1"/>
  <c r="H310" i="7"/>
  <c r="L208" i="7"/>
  <c r="N208" i="7" s="1"/>
  <c r="I208" i="7"/>
  <c r="L412" i="7"/>
  <c r="N412" i="7" s="1"/>
  <c r="I412" i="7"/>
  <c r="K260" i="7"/>
  <c r="M260" i="7" s="1"/>
  <c r="H260" i="7"/>
  <c r="I320" i="7"/>
  <c r="L320" i="7"/>
  <c r="N320" i="7" s="1"/>
  <c r="K59" i="7"/>
  <c r="M59" i="7" s="1"/>
  <c r="H59" i="7"/>
  <c r="L372" i="7"/>
  <c r="N372" i="7" s="1"/>
  <c r="I372" i="7"/>
  <c r="I215" i="7"/>
  <c r="L215" i="7"/>
  <c r="N215" i="7" s="1"/>
  <c r="K46" i="7"/>
  <c r="M46" i="7" s="1"/>
  <c r="H46" i="7"/>
  <c r="K41" i="7"/>
  <c r="M41" i="7" s="1"/>
  <c r="H41" i="7"/>
  <c r="L240" i="7"/>
  <c r="N240" i="7" s="1"/>
  <c r="I240" i="7"/>
  <c r="K246" i="7"/>
  <c r="M246" i="7" s="1"/>
  <c r="O246" i="7" s="1"/>
  <c r="H246" i="7"/>
  <c r="J246" i="7" s="1"/>
  <c r="K386" i="7"/>
  <c r="M386" i="7" s="1"/>
  <c r="O386" i="7" s="1"/>
  <c r="H386" i="7"/>
  <c r="L230" i="7"/>
  <c r="N230" i="7" s="1"/>
  <c r="I230" i="7"/>
  <c r="L146" i="7"/>
  <c r="N146" i="7" s="1"/>
  <c r="I146" i="7"/>
  <c r="K238" i="7"/>
  <c r="M238" i="7" s="1"/>
  <c r="H238" i="7"/>
  <c r="I232" i="7"/>
  <c r="L232" i="7"/>
  <c r="N232" i="7" s="1"/>
  <c r="L366" i="7"/>
  <c r="N366" i="7" s="1"/>
  <c r="I366" i="7"/>
  <c r="I225" i="7"/>
  <c r="L225" i="7"/>
  <c r="N225" i="7" s="1"/>
  <c r="K64" i="7"/>
  <c r="M64" i="7" s="1"/>
  <c r="H64" i="7"/>
  <c r="J64" i="7" s="1"/>
  <c r="K160" i="7"/>
  <c r="M160" i="7" s="1"/>
  <c r="H160" i="7"/>
  <c r="K54" i="7"/>
  <c r="M54" i="7" s="1"/>
  <c r="H54" i="7"/>
  <c r="K261" i="7"/>
  <c r="M261" i="7" s="1"/>
  <c r="H261" i="7"/>
  <c r="L213" i="7"/>
  <c r="N213" i="7" s="1"/>
  <c r="I213" i="7"/>
  <c r="K273" i="7"/>
  <c r="M273" i="7" s="1"/>
  <c r="H273" i="7"/>
  <c r="L221" i="7"/>
  <c r="N221" i="7" s="1"/>
  <c r="I221" i="7"/>
  <c r="L258" i="7"/>
  <c r="N258" i="7" s="1"/>
  <c r="I258" i="7"/>
  <c r="L305" i="7"/>
  <c r="N305" i="7" s="1"/>
  <c r="I305" i="7"/>
  <c r="L60" i="7"/>
  <c r="N60" i="7" s="1"/>
  <c r="I60" i="7"/>
  <c r="L247" i="7"/>
  <c r="N247" i="7" s="1"/>
  <c r="I247" i="7"/>
  <c r="L188" i="7"/>
  <c r="N188" i="7" s="1"/>
  <c r="I188" i="7"/>
  <c r="L123" i="7"/>
  <c r="N123" i="7" s="1"/>
  <c r="I123" i="7"/>
  <c r="L297" i="7"/>
  <c r="N297" i="7" s="1"/>
  <c r="I297" i="7"/>
  <c r="L25" i="7"/>
  <c r="N25" i="7" s="1"/>
  <c r="I25" i="7"/>
  <c r="L180" i="7"/>
  <c r="N180" i="7" s="1"/>
  <c r="I180" i="7"/>
  <c r="I395" i="7"/>
  <c r="L395" i="7"/>
  <c r="N395" i="7" s="1"/>
  <c r="I167" i="7"/>
  <c r="L167" i="7"/>
  <c r="N167" i="7" s="1"/>
  <c r="L34" i="7"/>
  <c r="N34" i="7" s="1"/>
  <c r="I34" i="7"/>
  <c r="K82" i="7"/>
  <c r="M82" i="7" s="1"/>
  <c r="H82" i="7"/>
  <c r="L406" i="7"/>
  <c r="N406" i="7" s="1"/>
  <c r="I406" i="7"/>
  <c r="H209" i="7"/>
  <c r="K209" i="7"/>
  <c r="M209" i="7" s="1"/>
  <c r="L302" i="7"/>
  <c r="N302" i="7" s="1"/>
  <c r="I302" i="7"/>
  <c r="I36" i="9"/>
  <c r="L265" i="7"/>
  <c r="N265" i="7" s="1"/>
  <c r="I265" i="7"/>
  <c r="K87" i="7"/>
  <c r="M87" i="7" s="1"/>
  <c r="O87" i="7" s="1"/>
  <c r="H87" i="7"/>
  <c r="K163" i="7"/>
  <c r="M163" i="7" s="1"/>
  <c r="H163" i="7"/>
  <c r="H202" i="7"/>
  <c r="K202" i="7"/>
  <c r="M202" i="7" s="1"/>
  <c r="B123" i="13"/>
  <c r="B131" i="13" s="1"/>
  <c r="D131" i="13" s="1"/>
  <c r="H331" i="7"/>
  <c r="K331" i="7"/>
  <c r="M331" i="7" s="1"/>
  <c r="L31" i="7"/>
  <c r="N31" i="7" s="1"/>
  <c r="I31" i="7"/>
  <c r="H200" i="7"/>
  <c r="J200" i="7" s="1"/>
  <c r="K200" i="7"/>
  <c r="M200" i="7" s="1"/>
  <c r="O200" i="7" s="1"/>
  <c r="K294" i="7"/>
  <c r="M294" i="7" s="1"/>
  <c r="H294" i="7"/>
  <c r="I310" i="7"/>
  <c r="L310" i="7"/>
  <c r="N310" i="7" s="1"/>
  <c r="K316" i="7"/>
  <c r="M316" i="7" s="1"/>
  <c r="H316" i="7"/>
  <c r="K120" i="7"/>
  <c r="M120" i="7" s="1"/>
  <c r="H120" i="7"/>
  <c r="H321" i="7"/>
  <c r="J321" i="7" s="1"/>
  <c r="K321" i="7"/>
  <c r="M321" i="7" s="1"/>
  <c r="L260" i="7"/>
  <c r="N260" i="7" s="1"/>
  <c r="I260" i="7"/>
  <c r="C41" i="12"/>
  <c r="D41" i="12" s="1"/>
  <c r="K293" i="7"/>
  <c r="M293" i="7" s="1"/>
  <c r="H293" i="7"/>
  <c r="L388" i="7"/>
  <c r="N388" i="7" s="1"/>
  <c r="I388" i="7"/>
  <c r="I239" i="7"/>
  <c r="L239" i="7"/>
  <c r="N239" i="7" s="1"/>
  <c r="I398" i="7"/>
  <c r="L398" i="7"/>
  <c r="N398" i="7" s="1"/>
  <c r="L193" i="7"/>
  <c r="N193" i="7" s="1"/>
  <c r="I193" i="7"/>
  <c r="L195" i="7"/>
  <c r="N195" i="7" s="1"/>
  <c r="I195" i="7"/>
  <c r="H170" i="7"/>
  <c r="K170" i="7"/>
  <c r="M170" i="7" s="1"/>
  <c r="H218" i="7"/>
  <c r="K218" i="7"/>
  <c r="M218" i="7" s="1"/>
  <c r="K345" i="7"/>
  <c r="M345" i="7" s="1"/>
  <c r="H345" i="7"/>
  <c r="K33" i="7"/>
  <c r="M33" i="7" s="1"/>
  <c r="H33" i="7"/>
  <c r="K166" i="7"/>
  <c r="M166" i="7" s="1"/>
  <c r="H166" i="7"/>
  <c r="H203" i="7"/>
  <c r="K203" i="7"/>
  <c r="M203" i="7" s="1"/>
  <c r="I328" i="7"/>
  <c r="L328" i="7"/>
  <c r="N328" i="7" s="1"/>
  <c r="K130" i="7"/>
  <c r="M130" i="7" s="1"/>
  <c r="H130" i="7"/>
  <c r="L288" i="7"/>
  <c r="N288" i="7" s="1"/>
  <c r="I288" i="7"/>
  <c r="H138" i="7"/>
  <c r="K138" i="7"/>
  <c r="M138" i="7" s="1"/>
  <c r="I141" i="7"/>
  <c r="L141" i="7"/>
  <c r="N141" i="7" s="1"/>
  <c r="L220" i="7"/>
  <c r="N220" i="7" s="1"/>
  <c r="I220" i="7"/>
  <c r="B124" i="13"/>
  <c r="B132" i="13" s="1"/>
  <c r="D132" i="13" s="1"/>
  <c r="H309" i="7"/>
  <c r="K309" i="7"/>
  <c r="M309" i="7" s="1"/>
  <c r="O309" i="7" s="1"/>
  <c r="H339" i="7"/>
  <c r="K339" i="7"/>
  <c r="M339" i="7" s="1"/>
  <c r="O339" i="7" s="1"/>
  <c r="K369" i="7"/>
  <c r="M369" i="7" s="1"/>
  <c r="H369" i="7"/>
  <c r="K403" i="7"/>
  <c r="M403" i="7" s="1"/>
  <c r="O403" i="7" s="1"/>
  <c r="H403" i="7"/>
  <c r="J403" i="7" s="1"/>
  <c r="I291" i="7"/>
  <c r="L291" i="7"/>
  <c r="N291" i="7" s="1"/>
  <c r="L59" i="7"/>
  <c r="N59" i="7" s="1"/>
  <c r="I59" i="7"/>
  <c r="L375" i="7"/>
  <c r="N375" i="7" s="1"/>
  <c r="I375" i="7"/>
  <c r="I303" i="7"/>
  <c r="L303" i="7"/>
  <c r="N303" i="7" s="1"/>
  <c r="H230" i="7"/>
  <c r="K230" i="7"/>
  <c r="M230" i="7" s="1"/>
  <c r="H225" i="7"/>
  <c r="J225" i="7" s="1"/>
  <c r="K225" i="7"/>
  <c r="M225" i="7" s="1"/>
  <c r="L137" i="7"/>
  <c r="N137" i="7" s="1"/>
  <c r="I137" i="7"/>
  <c r="I331" i="7"/>
  <c r="L331" i="7"/>
  <c r="N331" i="7" s="1"/>
  <c r="K417" i="7"/>
  <c r="M417" i="7" s="1"/>
  <c r="H417" i="7"/>
  <c r="J417" i="7" s="1"/>
  <c r="K304" i="7"/>
  <c r="M304" i="7" s="1"/>
  <c r="H304" i="7"/>
  <c r="L46" i="7"/>
  <c r="N46" i="7" s="1"/>
  <c r="I46" i="7"/>
  <c r="L41" i="7"/>
  <c r="N41" i="7" s="1"/>
  <c r="I41" i="7"/>
  <c r="K240" i="7"/>
  <c r="M240" i="7" s="1"/>
  <c r="O240" i="7" s="1"/>
  <c r="H240" i="7"/>
  <c r="J240" i="7" s="1"/>
  <c r="I386" i="7"/>
  <c r="L386" i="7"/>
  <c r="N386" i="7" s="1"/>
  <c r="H140" i="7"/>
  <c r="J140" i="7" s="1"/>
  <c r="K140" i="7"/>
  <c r="M140" i="7" s="1"/>
  <c r="O140" i="7" s="1"/>
  <c r="K250" i="7"/>
  <c r="M250" i="7" s="1"/>
  <c r="O250" i="7" s="1"/>
  <c r="H250" i="7"/>
  <c r="J250" i="7" s="1"/>
  <c r="K40" i="7"/>
  <c r="M40" i="7" s="1"/>
  <c r="O40" i="7" s="1"/>
  <c r="H40" i="7"/>
  <c r="L376" i="7"/>
  <c r="N376" i="7" s="1"/>
  <c r="I376" i="7"/>
  <c r="K11" i="7"/>
  <c r="M11" i="7" s="1"/>
  <c r="H11" i="7"/>
  <c r="J11" i="7" s="1"/>
  <c r="L64" i="7"/>
  <c r="N64" i="7" s="1"/>
  <c r="I64" i="7"/>
  <c r="K259" i="7"/>
  <c r="M259" i="7" s="1"/>
  <c r="O259" i="7" s="1"/>
  <c r="H259" i="7"/>
  <c r="J259" i="7" s="1"/>
  <c r="I160" i="7"/>
  <c r="L160" i="7"/>
  <c r="N160" i="7" s="1"/>
  <c r="L54" i="7"/>
  <c r="N54" i="7" s="1"/>
  <c r="I54" i="7"/>
  <c r="L261" i="7"/>
  <c r="N261" i="7" s="1"/>
  <c r="I261" i="7"/>
  <c r="H213" i="7"/>
  <c r="J213" i="7" s="1"/>
  <c r="K213" i="7"/>
  <c r="M213" i="7" s="1"/>
  <c r="O213" i="7" s="1"/>
  <c r="L273" i="7"/>
  <c r="N273" i="7" s="1"/>
  <c r="I273" i="7"/>
  <c r="K311" i="7"/>
  <c r="M311" i="7" s="1"/>
  <c r="O311" i="7" s="1"/>
  <c r="H311" i="7"/>
  <c r="J311" i="7" s="1"/>
  <c r="I332" i="7"/>
  <c r="L332" i="7"/>
  <c r="N332" i="7" s="1"/>
  <c r="K381" i="7"/>
  <c r="M381" i="7" s="1"/>
  <c r="O381" i="7" s="1"/>
  <c r="H381" i="7"/>
  <c r="K14" i="7"/>
  <c r="M14" i="7" s="1"/>
  <c r="H14" i="7"/>
  <c r="J14" i="7" s="1"/>
  <c r="K107" i="7"/>
  <c r="M107" i="7" s="1"/>
  <c r="H107" i="7"/>
  <c r="J107" i="7" s="1"/>
  <c r="H227" i="7"/>
  <c r="J227" i="7" s="1"/>
  <c r="K227" i="7"/>
  <c r="M227" i="7" s="1"/>
  <c r="O227" i="7" s="1"/>
  <c r="H242" i="7"/>
  <c r="J242" i="7" s="1"/>
  <c r="K242" i="7"/>
  <c r="M242" i="7" s="1"/>
  <c r="O242" i="7" s="1"/>
  <c r="K405" i="7"/>
  <c r="M405" i="7" s="1"/>
  <c r="O405" i="7" s="1"/>
  <c r="H405" i="7"/>
  <c r="J405" i="7" s="1"/>
  <c r="L71" i="7"/>
  <c r="N71" i="7" s="1"/>
  <c r="I71" i="7"/>
  <c r="K272" i="7"/>
  <c r="M272" i="7" s="1"/>
  <c r="H272" i="7"/>
  <c r="J272" i="7" s="1"/>
  <c r="H198" i="7"/>
  <c r="J198" i="7" s="1"/>
  <c r="K198" i="7"/>
  <c r="M198" i="7" s="1"/>
  <c r="K185" i="7"/>
  <c r="M185" i="7" s="1"/>
  <c r="O185" i="7" s="1"/>
  <c r="H185" i="7"/>
  <c r="J185" i="7" s="1"/>
  <c r="H356" i="7"/>
  <c r="J356" i="7" s="1"/>
  <c r="K356" i="7"/>
  <c r="M356" i="7" s="1"/>
  <c r="O356" i="7" s="1"/>
  <c r="L82" i="7"/>
  <c r="N82" i="7" s="1"/>
  <c r="I82" i="7"/>
  <c r="K406" i="7"/>
  <c r="M406" i="7" s="1"/>
  <c r="H406" i="7"/>
  <c r="J406" i="7" s="1"/>
  <c r="L209" i="7"/>
  <c r="N209" i="7" s="1"/>
  <c r="I209" i="7"/>
  <c r="K95" i="7"/>
  <c r="M95" i="7" s="1"/>
  <c r="O95" i="7" s="1"/>
  <c r="H95" i="7"/>
  <c r="J95" i="7" s="1"/>
  <c r="L379" i="7"/>
  <c r="N379" i="7" s="1"/>
  <c r="I379" i="7"/>
  <c r="K94" i="7"/>
  <c r="M94" i="7" s="1"/>
  <c r="O94" i="7" s="1"/>
  <c r="H94" i="7"/>
  <c r="C43" i="12"/>
  <c r="D43" i="12" s="1"/>
  <c r="L87" i="7"/>
  <c r="N87" i="7" s="1"/>
  <c r="I87" i="7"/>
  <c r="I163" i="7"/>
  <c r="L163" i="7"/>
  <c r="N163" i="7" s="1"/>
  <c r="L202" i="7"/>
  <c r="N202" i="7" s="1"/>
  <c r="I202" i="7"/>
  <c r="K26" i="7"/>
  <c r="M26" i="7" s="1"/>
  <c r="O26" i="7" s="1"/>
  <c r="H26" i="7"/>
  <c r="J26" i="7" s="1"/>
  <c r="K277" i="7"/>
  <c r="M277" i="7" s="1"/>
  <c r="H277" i="7"/>
  <c r="L200" i="7"/>
  <c r="N200" i="7" s="1"/>
  <c r="I200" i="7"/>
  <c r="L294" i="7"/>
  <c r="N294" i="7" s="1"/>
  <c r="I294" i="7"/>
  <c r="I374" i="7"/>
  <c r="L374" i="7"/>
  <c r="N374" i="7" s="1"/>
  <c r="I316" i="7"/>
  <c r="L316" i="7"/>
  <c r="N316" i="7" s="1"/>
  <c r="L120" i="7"/>
  <c r="N120" i="7" s="1"/>
  <c r="I120" i="7"/>
  <c r="I321" i="7"/>
  <c r="L321" i="7"/>
  <c r="N321" i="7" s="1"/>
  <c r="B47" i="12"/>
  <c r="B48" i="12" s="1"/>
  <c r="L293" i="7"/>
  <c r="N293" i="7" s="1"/>
  <c r="I293" i="7"/>
  <c r="K147" i="7"/>
  <c r="M147" i="7" s="1"/>
  <c r="H147" i="7"/>
  <c r="K301" i="7"/>
  <c r="M301" i="7" s="1"/>
  <c r="O301" i="7" s="1"/>
  <c r="H301" i="7"/>
  <c r="K56" i="7"/>
  <c r="M56" i="7" s="1"/>
  <c r="O56" i="7" s="1"/>
  <c r="H56" i="7"/>
  <c r="J56" i="7" s="1"/>
  <c r="K378" i="7"/>
  <c r="M378" i="7" s="1"/>
  <c r="O378" i="7" s="1"/>
  <c r="H378" i="7"/>
  <c r="J378" i="7" s="1"/>
  <c r="K385" i="7"/>
  <c r="M385" i="7" s="1"/>
  <c r="O385" i="7" s="1"/>
  <c r="H385" i="7"/>
  <c r="J385" i="7" s="1"/>
  <c r="I170" i="7"/>
  <c r="L170" i="7"/>
  <c r="N170" i="7" s="1"/>
  <c r="L218" i="7"/>
  <c r="N218" i="7" s="1"/>
  <c r="I218" i="7"/>
  <c r="I345" i="7"/>
  <c r="L345" i="7"/>
  <c r="N345" i="7" s="1"/>
  <c r="L33" i="7"/>
  <c r="N33" i="7" s="1"/>
  <c r="I33" i="7"/>
  <c r="I166" i="7"/>
  <c r="L166" i="7"/>
  <c r="N166" i="7" s="1"/>
  <c r="I203" i="7"/>
  <c r="L203" i="7"/>
  <c r="N203" i="7" s="1"/>
  <c r="H328" i="7"/>
  <c r="J328" i="7" s="1"/>
  <c r="K328" i="7"/>
  <c r="M328" i="7" s="1"/>
  <c r="L130" i="7"/>
  <c r="N130" i="7" s="1"/>
  <c r="I130" i="7"/>
  <c r="K288" i="7"/>
  <c r="M288" i="7" s="1"/>
  <c r="O288" i="7" s="1"/>
  <c r="H288" i="7"/>
  <c r="L138" i="7"/>
  <c r="N138" i="7" s="1"/>
  <c r="I138" i="7"/>
  <c r="I337" i="7"/>
  <c r="L337" i="7"/>
  <c r="N337" i="7" s="1"/>
  <c r="K96" i="7"/>
  <c r="M96" i="7" s="1"/>
  <c r="O96" i="7" s="1"/>
  <c r="H96" i="7"/>
  <c r="J96" i="7" s="1"/>
  <c r="K314" i="7"/>
  <c r="M314" i="7" s="1"/>
  <c r="O314" i="7" s="1"/>
  <c r="H314" i="7"/>
  <c r="J314" i="7" s="1"/>
  <c r="J249" i="7" l="1"/>
  <c r="O80" i="7"/>
  <c r="O361" i="7"/>
  <c r="H10" i="8"/>
  <c r="O324" i="7"/>
  <c r="O203" i="7"/>
  <c r="D52" i="12"/>
  <c r="E52" i="12" s="1"/>
  <c r="O294" i="7"/>
  <c r="J87" i="7"/>
  <c r="O82" i="7"/>
  <c r="O160" i="7"/>
  <c r="O46" i="7"/>
  <c r="O366" i="7"/>
  <c r="J303" i="7"/>
  <c r="J239" i="7"/>
  <c r="O247" i="7"/>
  <c r="J338" i="7"/>
  <c r="O312" i="7"/>
  <c r="O380" i="7"/>
  <c r="O118" i="7"/>
  <c r="O35" i="7"/>
  <c r="O342" i="7"/>
  <c r="J324" i="7"/>
  <c r="O336" i="7"/>
  <c r="O39" i="7"/>
  <c r="O283" i="7"/>
  <c r="O300" i="7"/>
  <c r="J401" i="7"/>
  <c r="O228" i="7"/>
  <c r="O323" i="7"/>
  <c r="J127" i="7"/>
  <c r="J323" i="7"/>
  <c r="O127" i="7"/>
  <c r="O296" i="7"/>
  <c r="J147" i="7"/>
  <c r="J381" i="7"/>
  <c r="J40" i="7"/>
  <c r="J276" i="7"/>
  <c r="O272" i="7"/>
  <c r="O390" i="7"/>
  <c r="O23" i="7"/>
  <c r="O399" i="7"/>
  <c r="O276" i="7"/>
  <c r="O147" i="7"/>
  <c r="J252" i="7"/>
  <c r="J90" i="7"/>
  <c r="O14" i="7"/>
  <c r="J94" i="7"/>
  <c r="J251" i="7"/>
  <c r="J326" i="7"/>
  <c r="O30" i="7"/>
  <c r="J254" i="7"/>
  <c r="O263" i="7"/>
  <c r="O48" i="7"/>
  <c r="O337" i="7"/>
  <c r="J181" i="7"/>
  <c r="O279" i="7"/>
  <c r="O143" i="7"/>
  <c r="O100" i="7"/>
  <c r="J277" i="7"/>
  <c r="O417" i="7"/>
  <c r="J309" i="7"/>
  <c r="O277" i="7"/>
  <c r="O251" i="7"/>
  <c r="O205" i="7"/>
  <c r="J172" i="7"/>
  <c r="J82" i="7"/>
  <c r="J160" i="7"/>
  <c r="J366" i="7"/>
  <c r="O303" i="7"/>
  <c r="O239" i="7"/>
  <c r="O349" i="7"/>
  <c r="J105" i="7"/>
  <c r="O165" i="7"/>
  <c r="O280" i="7"/>
  <c r="D29" i="8"/>
  <c r="J349" i="7"/>
  <c r="O105" i="7"/>
  <c r="J165" i="7"/>
  <c r="O418" i="7"/>
  <c r="J158" i="7"/>
  <c r="O340" i="7"/>
  <c r="H17" i="8"/>
  <c r="O393" i="7"/>
  <c r="O253" i="7"/>
  <c r="H19" i="8"/>
  <c r="D7" i="8"/>
  <c r="H21" i="8"/>
  <c r="O360" i="7"/>
  <c r="J113" i="7"/>
  <c r="J282" i="7"/>
  <c r="J22" i="7"/>
  <c r="J149" i="7"/>
  <c r="J409" i="7"/>
  <c r="O154" i="7"/>
  <c r="J278" i="7"/>
  <c r="J336" i="7"/>
  <c r="O307" i="7"/>
  <c r="O198" i="7"/>
  <c r="O107" i="7"/>
  <c r="O11" i="7"/>
  <c r="J166" i="7"/>
  <c r="O52" i="7"/>
  <c r="J210" i="7"/>
  <c r="H6" i="8"/>
  <c r="O166" i="7"/>
  <c r="O321" i="7"/>
  <c r="J273" i="7"/>
  <c r="J386" i="7"/>
  <c r="J310" i="7"/>
  <c r="J60" i="7"/>
  <c r="J195" i="7"/>
  <c r="J180" i="7"/>
  <c r="O206" i="7"/>
  <c r="O208" i="7"/>
  <c r="O235" i="7"/>
  <c r="J80" i="7"/>
  <c r="O151" i="7"/>
  <c r="J109" i="7"/>
  <c r="J186" i="7"/>
  <c r="J365" i="7"/>
  <c r="O28" i="7"/>
  <c r="O222" i="7"/>
  <c r="J121" i="7"/>
  <c r="J152" i="7"/>
  <c r="J93" i="7"/>
  <c r="O295" i="7"/>
  <c r="O217" i="7"/>
  <c r="J235" i="7"/>
  <c r="H25" i="8"/>
  <c r="J151" i="7"/>
  <c r="O116" i="7"/>
  <c r="O109" i="7"/>
  <c r="O186" i="7"/>
  <c r="O51" i="7"/>
  <c r="O350" i="7"/>
  <c r="J119" i="7"/>
  <c r="O249" i="7"/>
  <c r="O121" i="7"/>
  <c r="O281" i="7"/>
  <c r="O93" i="7"/>
  <c r="O230" i="7"/>
  <c r="O331" i="7"/>
  <c r="J59" i="7"/>
  <c r="J31" i="7"/>
  <c r="O221" i="7"/>
  <c r="J25" i="7"/>
  <c r="J23" i="7"/>
  <c r="J399" i="7"/>
  <c r="J375" i="7"/>
  <c r="O62" i="7"/>
  <c r="J424" i="7"/>
  <c r="J72" i="7"/>
  <c r="O214" i="7"/>
  <c r="J368" i="7"/>
  <c r="J377" i="7"/>
  <c r="O348" i="7"/>
  <c r="J18" i="7"/>
  <c r="J115" i="7"/>
  <c r="J322" i="7"/>
  <c r="J88" i="7"/>
  <c r="J344" i="7"/>
  <c r="J350" i="7"/>
  <c r="O262" i="7"/>
  <c r="O119" i="7"/>
  <c r="O421" i="7"/>
  <c r="J37" i="7"/>
  <c r="O25" i="7"/>
  <c r="O375" i="7"/>
  <c r="J214" i="7"/>
  <c r="O377" i="7"/>
  <c r="J348" i="7"/>
  <c r="O344" i="7"/>
  <c r="J203" i="7"/>
  <c r="O328" i="7"/>
  <c r="J304" i="7"/>
  <c r="J320" i="7"/>
  <c r="O219" i="7"/>
  <c r="J55" i="7"/>
  <c r="J361" i="7"/>
  <c r="J319" i="7"/>
  <c r="O269" i="7"/>
  <c r="J110" i="7"/>
  <c r="J148" i="7"/>
  <c r="O406" i="7"/>
  <c r="J339" i="7"/>
  <c r="O90" i="7"/>
  <c r="O382" i="7"/>
  <c r="O420" i="7"/>
  <c r="O133" i="7"/>
  <c r="O106" i="7"/>
  <c r="D10" i="8"/>
  <c r="O326" i="7"/>
  <c r="J30" i="7"/>
  <c r="O254" i="7"/>
  <c r="J263" i="7"/>
  <c r="J48" i="7"/>
  <c r="J143" i="7"/>
  <c r="J100" i="7"/>
  <c r="J135" i="7"/>
  <c r="F52" i="12"/>
  <c r="B64" i="12"/>
  <c r="C17" i="8"/>
  <c r="J187" i="7"/>
  <c r="O374" i="7"/>
  <c r="C33" i="8"/>
  <c r="J411" i="7"/>
  <c r="J372" i="7"/>
  <c r="J288" i="7"/>
  <c r="J301" i="7"/>
  <c r="O225" i="7"/>
  <c r="O64" i="7"/>
  <c r="D19" i="8"/>
  <c r="O123" i="7"/>
  <c r="O146" i="7"/>
  <c r="O265" i="7"/>
  <c r="O395" i="7"/>
  <c r="O258" i="7"/>
  <c r="C19" i="8"/>
  <c r="J215" i="7"/>
  <c r="J86" i="7"/>
  <c r="J354" i="7"/>
  <c r="C27" i="8"/>
  <c r="J327" i="7"/>
  <c r="G11" i="8"/>
  <c r="O103" i="7"/>
  <c r="O76" i="7"/>
  <c r="J358" i="7"/>
  <c r="O194" i="7"/>
  <c r="J352" i="7"/>
  <c r="H7" i="8"/>
  <c r="C9" i="8"/>
  <c r="J75" i="7"/>
  <c r="D21" i="8"/>
  <c r="J360" i="7"/>
  <c r="O113" i="7"/>
  <c r="O282" i="7"/>
  <c r="O248" i="7"/>
  <c r="O22" i="7"/>
  <c r="O149" i="7"/>
  <c r="O409" i="7"/>
  <c r="J407" i="7"/>
  <c r="O199" i="7"/>
  <c r="J183" i="7"/>
  <c r="J400" i="7"/>
  <c r="O210" i="7"/>
  <c r="J315" i="7"/>
  <c r="J114" i="7"/>
  <c r="J43" i="7"/>
  <c r="D22" i="8"/>
  <c r="J57" i="7"/>
  <c r="O346" i="7"/>
  <c r="O212" i="7"/>
  <c r="O63" i="7"/>
  <c r="J308" i="7"/>
  <c r="O73" i="7"/>
  <c r="O290" i="7"/>
  <c r="O353" i="7"/>
  <c r="J124" i="7"/>
  <c r="J373" i="7"/>
  <c r="J275" i="7"/>
  <c r="G17" i="8"/>
  <c r="O187" i="7"/>
  <c r="J337" i="7"/>
  <c r="O181" i="7"/>
  <c r="O135" i="7"/>
  <c r="G33" i="8"/>
  <c r="O411" i="7"/>
  <c r="O372" i="7"/>
  <c r="J76" i="7"/>
  <c r="O204" i="7"/>
  <c r="D20" i="8"/>
  <c r="D13" i="8"/>
  <c r="J296" i="7"/>
  <c r="G26" i="8"/>
  <c r="O313" i="7"/>
  <c r="H27" i="8"/>
  <c r="G20" i="8"/>
  <c r="O229" i="7"/>
  <c r="C13" i="8"/>
  <c r="J131" i="7"/>
  <c r="J36" i="7"/>
  <c r="D25" i="8"/>
  <c r="D24" i="8"/>
  <c r="J116" i="7"/>
  <c r="O325" i="7"/>
  <c r="G8" i="8"/>
  <c r="O61" i="7"/>
  <c r="D32" i="8"/>
  <c r="J51" i="7"/>
  <c r="G21" i="8"/>
  <c r="O243" i="7"/>
  <c r="C32" i="8"/>
  <c r="J397" i="7"/>
  <c r="J298" i="7"/>
  <c r="O407" i="7"/>
  <c r="J199" i="7"/>
  <c r="O183" i="7"/>
  <c r="O400" i="7"/>
  <c r="O315" i="7"/>
  <c r="O43" i="7"/>
  <c r="H22" i="8"/>
  <c r="O57" i="7"/>
  <c r="J346" i="7"/>
  <c r="C10" i="8"/>
  <c r="J212" i="7"/>
  <c r="J63" i="7"/>
  <c r="O308" i="7"/>
  <c r="J73" i="7"/>
  <c r="B126" i="13"/>
  <c r="B133" i="13" s="1"/>
  <c r="D133" i="13" s="1"/>
  <c r="J191" i="7"/>
  <c r="J410" i="7"/>
  <c r="J290" i="7"/>
  <c r="J353" i="7"/>
  <c r="O124" i="7"/>
  <c r="O373" i="7"/>
  <c r="O275" i="7"/>
  <c r="O197" i="7"/>
  <c r="J307" i="7"/>
  <c r="J279" i="7"/>
  <c r="J387" i="7"/>
  <c r="J376" i="7"/>
  <c r="J364" i="7"/>
  <c r="J389" i="7"/>
  <c r="J123" i="7"/>
  <c r="G14" i="8"/>
  <c r="O145" i="7"/>
  <c r="O138" i="7"/>
  <c r="D27" i="8"/>
  <c r="C20" i="8"/>
  <c r="J229" i="7"/>
  <c r="H24" i="8"/>
  <c r="C8" i="8"/>
  <c r="J61" i="7"/>
  <c r="H32" i="8"/>
  <c r="C21" i="8"/>
  <c r="J243" i="7"/>
  <c r="G32" i="8"/>
  <c r="O397" i="7"/>
  <c r="O298" i="7"/>
  <c r="C12" i="8"/>
  <c r="J117" i="7"/>
  <c r="J262" i="7"/>
  <c r="C22" i="8"/>
  <c r="J257" i="7"/>
  <c r="J421" i="7"/>
  <c r="H28" i="8"/>
  <c r="H15" i="8"/>
  <c r="D23" i="8"/>
  <c r="J281" i="7"/>
  <c r="O152" i="7"/>
  <c r="J295" i="7"/>
  <c r="G15" i="8"/>
  <c r="O159" i="7"/>
  <c r="O191" i="7"/>
  <c r="O410" i="7"/>
  <c r="J9" i="7"/>
  <c r="J69" i="7"/>
  <c r="J197" i="7"/>
  <c r="J228" i="7"/>
  <c r="J205" i="7"/>
  <c r="O172" i="7"/>
  <c r="O387" i="7"/>
  <c r="O376" i="7"/>
  <c r="O364" i="7"/>
  <c r="O389" i="7"/>
  <c r="C11" i="8"/>
  <c r="J103" i="7"/>
  <c r="J194" i="7"/>
  <c r="G9" i="8"/>
  <c r="O75" i="7"/>
  <c r="D9" i="8"/>
  <c r="J101" i="7"/>
  <c r="J164" i="7"/>
  <c r="O291" i="7"/>
  <c r="J45" i="7"/>
  <c r="J13" i="7"/>
  <c r="J264" i="7"/>
  <c r="C24" i="8"/>
  <c r="J285" i="7"/>
  <c r="J38" i="7"/>
  <c r="G28" i="8"/>
  <c r="O341" i="7"/>
  <c r="J67" i="7"/>
  <c r="G12" i="8"/>
  <c r="O117" i="7"/>
  <c r="G22" i="8"/>
  <c r="O257" i="7"/>
  <c r="G10" i="8"/>
  <c r="J222" i="7"/>
  <c r="D28" i="8"/>
  <c r="D15" i="8"/>
  <c r="H23" i="8"/>
  <c r="C15" i="8"/>
  <c r="J159" i="7"/>
  <c r="D18" i="8"/>
  <c r="O150" i="7"/>
  <c r="J12" i="7"/>
  <c r="O226" i="7"/>
  <c r="J256" i="7"/>
  <c r="J71" i="7"/>
  <c r="J162" i="7"/>
  <c r="O358" i="7"/>
  <c r="H13" i="8"/>
  <c r="G13" i="8"/>
  <c r="O131" i="7"/>
  <c r="J230" i="7"/>
  <c r="J137" i="7"/>
  <c r="O59" i="7"/>
  <c r="O31" i="7"/>
  <c r="J221" i="7"/>
  <c r="O193" i="7"/>
  <c r="O77" i="7"/>
  <c r="O416" i="7"/>
  <c r="O137" i="7"/>
  <c r="O91" i="7"/>
  <c r="H9" i="8"/>
  <c r="O101" i="7"/>
  <c r="O164" i="7"/>
  <c r="J62" i="7"/>
  <c r="J291" i="7"/>
  <c r="O45" i="7"/>
  <c r="O424" i="7"/>
  <c r="O72" i="7"/>
  <c r="O368" i="7"/>
  <c r="O13" i="7"/>
  <c r="O264" i="7"/>
  <c r="G24" i="8"/>
  <c r="O285" i="7"/>
  <c r="O18" i="7"/>
  <c r="O38" i="7"/>
  <c r="O115" i="7"/>
  <c r="O88" i="7"/>
  <c r="C28" i="8"/>
  <c r="J341" i="7"/>
  <c r="O67" i="7"/>
  <c r="O317" i="7"/>
  <c r="H31" i="8"/>
  <c r="J84" i="7"/>
  <c r="J98" i="7"/>
  <c r="J144" i="7"/>
  <c r="J153" i="7"/>
  <c r="J286" i="7"/>
  <c r="G18" i="8"/>
  <c r="O201" i="7"/>
  <c r="J53" i="7"/>
  <c r="H18" i="8"/>
  <c r="J217" i="7"/>
  <c r="J318" i="7"/>
  <c r="J184" i="7"/>
  <c r="J150" i="7"/>
  <c r="O12" i="7"/>
  <c r="J226" i="7"/>
  <c r="J171" i="7"/>
  <c r="O256" i="7"/>
  <c r="O71" i="7"/>
  <c r="O162" i="7"/>
  <c r="G27" i="8"/>
  <c r="O327" i="7"/>
  <c r="H20" i="8"/>
  <c r="J345" i="7"/>
  <c r="J390" i="7"/>
  <c r="J91" i="7"/>
  <c r="O304" i="7"/>
  <c r="J130" i="7"/>
  <c r="O218" i="7"/>
  <c r="O209" i="7"/>
  <c r="J261" i="7"/>
  <c r="J34" i="7"/>
  <c r="J297" i="7"/>
  <c r="J396" i="7"/>
  <c r="G29" i="8"/>
  <c r="O355" i="7"/>
  <c r="O85" i="7"/>
  <c r="J174" i="7"/>
  <c r="J128" i="7"/>
  <c r="J24" i="7"/>
  <c r="J8" i="7"/>
  <c r="J108" i="7"/>
  <c r="J15" i="7"/>
  <c r="J414" i="7"/>
  <c r="J161" i="7"/>
  <c r="J363" i="7"/>
  <c r="J382" i="7"/>
  <c r="D14" i="8"/>
  <c r="O359" i="7"/>
  <c r="J157" i="7"/>
  <c r="J122" i="7"/>
  <c r="J81" i="7"/>
  <c r="J317" i="7"/>
  <c r="D31" i="8"/>
  <c r="O84" i="7"/>
  <c r="O98" i="7"/>
  <c r="O144" i="7"/>
  <c r="O153" i="7"/>
  <c r="O286" i="7"/>
  <c r="O37" i="7"/>
  <c r="C18" i="8"/>
  <c r="J201" i="7"/>
  <c r="O53" i="7"/>
  <c r="O78" i="7"/>
  <c r="J196" i="7"/>
  <c r="J132" i="7"/>
  <c r="O318" i="7"/>
  <c r="O184" i="7"/>
  <c r="O302" i="7"/>
  <c r="D12" i="8"/>
  <c r="J268" i="7"/>
  <c r="O171" i="7"/>
  <c r="J379" i="7"/>
  <c r="O332" i="7"/>
  <c r="J236" i="7"/>
  <c r="J392" i="7"/>
  <c r="J248" i="7"/>
  <c r="G6" i="8"/>
  <c r="O33" i="7"/>
  <c r="J120" i="7"/>
  <c r="O195" i="7"/>
  <c r="C26" i="8"/>
  <c r="J313" i="7"/>
  <c r="O120" i="7"/>
  <c r="J193" i="7"/>
  <c r="O130" i="7"/>
  <c r="J218" i="7"/>
  <c r="J202" i="7"/>
  <c r="J209" i="7"/>
  <c r="O261" i="7"/>
  <c r="O252" i="7"/>
  <c r="O220" i="7"/>
  <c r="O34" i="7"/>
  <c r="O297" i="7"/>
  <c r="O320" i="7"/>
  <c r="O396" i="7"/>
  <c r="J219" i="7"/>
  <c r="C29" i="8"/>
  <c r="J355" i="7"/>
  <c r="J85" i="7"/>
  <c r="O174" i="7"/>
  <c r="O128" i="7"/>
  <c r="O24" i="7"/>
  <c r="O8" i="7"/>
  <c r="J234" i="7"/>
  <c r="O55" i="7"/>
  <c r="O108" i="7"/>
  <c r="O15" i="7"/>
  <c r="O414" i="7"/>
  <c r="O161" i="7"/>
  <c r="O363" i="7"/>
  <c r="O319" i="7"/>
  <c r="H14" i="8"/>
  <c r="J359" i="7"/>
  <c r="O157" i="7"/>
  <c r="O122" i="7"/>
  <c r="O81" i="7"/>
  <c r="J244" i="7"/>
  <c r="J7" i="7"/>
  <c r="J177" i="7"/>
  <c r="C23" i="8"/>
  <c r="J271" i="7"/>
  <c r="J111" i="7"/>
  <c r="J16" i="7"/>
  <c r="J274" i="7"/>
  <c r="J245" i="7"/>
  <c r="J182" i="7"/>
  <c r="O216" i="7"/>
  <c r="C5" i="8"/>
  <c r="J19" i="7"/>
  <c r="O196" i="7"/>
  <c r="O132" i="7"/>
  <c r="J237" i="7"/>
  <c r="O223" i="7"/>
  <c r="J422" i="7"/>
  <c r="J66" i="7"/>
  <c r="J302" i="7"/>
  <c r="H12" i="8"/>
  <c r="O268" i="7"/>
  <c r="O379" i="7"/>
  <c r="J332" i="7"/>
  <c r="O236" i="7"/>
  <c r="O392" i="7"/>
  <c r="G19" i="8"/>
  <c r="O215" i="7"/>
  <c r="C6" i="8"/>
  <c r="J33" i="7"/>
  <c r="C30" i="8"/>
  <c r="J369" i="7"/>
  <c r="O273" i="7"/>
  <c r="J208" i="7"/>
  <c r="G30" i="8"/>
  <c r="O369" i="7"/>
  <c r="J331" i="7"/>
  <c r="J416" i="7"/>
  <c r="O345" i="7"/>
  <c r="O202" i="7"/>
  <c r="O170" i="7"/>
  <c r="J293" i="7"/>
  <c r="J163" i="7"/>
  <c r="J54" i="7"/>
  <c r="J238" i="7"/>
  <c r="J41" i="7"/>
  <c r="J260" i="7"/>
  <c r="J220" i="7"/>
  <c r="J398" i="7"/>
  <c r="J188" i="7"/>
  <c r="O267" i="7"/>
  <c r="J79" i="7"/>
  <c r="J419" i="7"/>
  <c r="D16" i="8"/>
  <c r="J20" i="7"/>
  <c r="J17" i="7"/>
  <c r="J190" i="7"/>
  <c r="O335" i="7"/>
  <c r="J102" i="7"/>
  <c r="C16" i="8"/>
  <c r="J173" i="7"/>
  <c r="O207" i="7"/>
  <c r="J68" i="7"/>
  <c r="O266" i="7"/>
  <c r="J6" i="7"/>
  <c r="J70" i="7"/>
  <c r="J189" i="7"/>
  <c r="O330" i="7"/>
  <c r="J287" i="7"/>
  <c r="J129" i="7"/>
  <c r="J126" i="7"/>
  <c r="J104" i="7"/>
  <c r="O334" i="7"/>
  <c r="J155" i="7"/>
  <c r="J176" i="7"/>
  <c r="J112" i="7"/>
  <c r="J27" i="7"/>
  <c r="J192" i="7"/>
  <c r="J156" i="7"/>
  <c r="J306" i="7"/>
  <c r="J136" i="7"/>
  <c r="O244" i="7"/>
  <c r="O7" i="7"/>
  <c r="O177" i="7"/>
  <c r="G23" i="8"/>
  <c r="O271" i="7"/>
  <c r="O111" i="7"/>
  <c r="O16" i="7"/>
  <c r="O274" i="7"/>
  <c r="O245" i="7"/>
  <c r="O182" i="7"/>
  <c r="O110" i="7"/>
  <c r="J216" i="7"/>
  <c r="G5" i="8"/>
  <c r="O19" i="7"/>
  <c r="O237" i="7"/>
  <c r="J223" i="7"/>
  <c r="O422" i="7"/>
  <c r="O66" i="7"/>
  <c r="J404" i="7"/>
  <c r="J292" i="7"/>
  <c r="J179" i="7"/>
  <c r="O354" i="7"/>
  <c r="J138" i="7"/>
  <c r="J204" i="7"/>
  <c r="J77" i="7"/>
  <c r="J316" i="7"/>
  <c r="O316" i="7"/>
  <c r="J170" i="7"/>
  <c r="O293" i="7"/>
  <c r="J294" i="7"/>
  <c r="O163" i="7"/>
  <c r="O54" i="7"/>
  <c r="O238" i="7"/>
  <c r="O41" i="7"/>
  <c r="O260" i="7"/>
  <c r="J141" i="7"/>
  <c r="O398" i="7"/>
  <c r="O188" i="7"/>
  <c r="J267" i="7"/>
  <c r="O79" i="7"/>
  <c r="O419" i="7"/>
  <c r="H16" i="8"/>
  <c r="O20" i="7"/>
  <c r="O17" i="7"/>
  <c r="O190" i="7"/>
  <c r="J335" i="7"/>
  <c r="O102" i="7"/>
  <c r="G16" i="8"/>
  <c r="O173" i="7"/>
  <c r="J207" i="7"/>
  <c r="O68" i="7"/>
  <c r="J266" i="7"/>
  <c r="O6" i="7"/>
  <c r="O70" i="7"/>
  <c r="O189" i="7"/>
  <c r="J330" i="7"/>
  <c r="O287" i="7"/>
  <c r="O129" i="7"/>
  <c r="O126" i="7"/>
  <c r="O104" i="7"/>
  <c r="J334" i="7"/>
  <c r="O155" i="7"/>
  <c r="O176" i="7"/>
  <c r="O112" i="7"/>
  <c r="O27" i="7"/>
  <c r="O192" i="7"/>
  <c r="O156" i="7"/>
  <c r="O306" i="7"/>
  <c r="O136" i="7"/>
  <c r="J29" i="7"/>
  <c r="J402" i="7"/>
  <c r="D5" i="8"/>
  <c r="J49" i="7"/>
  <c r="J169" i="7"/>
  <c r="J408" i="7"/>
  <c r="J50" i="7"/>
  <c r="C31" i="8"/>
  <c r="J383" i="7"/>
  <c r="J371" i="7"/>
  <c r="J284" i="7"/>
  <c r="J270" i="7"/>
  <c r="J178" i="7"/>
  <c r="O148" i="7"/>
  <c r="J420" i="7"/>
  <c r="J133" i="7"/>
  <c r="J106" i="7"/>
  <c r="O404" i="7"/>
  <c r="O224" i="7"/>
  <c r="O292" i="7"/>
  <c r="O179" i="7"/>
  <c r="J46" i="7"/>
  <c r="O141" i="7"/>
  <c r="H29" i="8"/>
  <c r="J167" i="7"/>
  <c r="J247" i="7"/>
  <c r="D30" i="8"/>
  <c r="O351" i="7"/>
  <c r="O255" i="7"/>
  <c r="D11" i="8"/>
  <c r="J412" i="7"/>
  <c r="H26" i="8"/>
  <c r="O338" i="7"/>
  <c r="D8" i="8"/>
  <c r="J65" i="7"/>
  <c r="J312" i="7"/>
  <c r="J380" i="7"/>
  <c r="J125" i="7"/>
  <c r="J384" i="7"/>
  <c r="C25" i="8"/>
  <c r="J299" i="7"/>
  <c r="J32" i="7"/>
  <c r="J142" i="7"/>
  <c r="J118" i="7"/>
  <c r="D4" i="8"/>
  <c r="J99" i="7"/>
  <c r="J35" i="7"/>
  <c r="C7" i="8"/>
  <c r="J47" i="7"/>
  <c r="J342" i="7"/>
  <c r="C4" i="8"/>
  <c r="J5" i="7"/>
  <c r="J362" i="7"/>
  <c r="B135" i="13"/>
  <c r="B127" i="13"/>
  <c r="B134" i="13" s="1"/>
  <c r="D134" i="13" s="1"/>
  <c r="E131" i="13" s="1"/>
  <c r="O29" i="7"/>
  <c r="O402" i="7"/>
  <c r="H5" i="8"/>
  <c r="O49" i="7"/>
  <c r="O169" i="7"/>
  <c r="O408" i="7"/>
  <c r="O50" i="7"/>
  <c r="G31" i="8"/>
  <c r="O383" i="7"/>
  <c r="O371" i="7"/>
  <c r="O284" i="7"/>
  <c r="O270" i="7"/>
  <c r="O178" i="7"/>
  <c r="D33" i="8"/>
  <c r="J97" i="7"/>
  <c r="J232" i="7"/>
  <c r="J241" i="7"/>
  <c r="J224" i="7"/>
  <c r="J134" i="7"/>
  <c r="O347" i="7"/>
  <c r="J233" i="7"/>
  <c r="J92" i="7"/>
  <c r="J44" i="7"/>
  <c r="O139" i="7"/>
  <c r="J305" i="7"/>
  <c r="O211" i="7"/>
  <c r="D6" i="8"/>
  <c r="O167" i="7"/>
  <c r="H30" i="8"/>
  <c r="J351" i="7"/>
  <c r="J255" i="7"/>
  <c r="H11" i="8"/>
  <c r="O412" i="7"/>
  <c r="D26" i="8"/>
  <c r="H8" i="8"/>
  <c r="O65" i="7"/>
  <c r="O125" i="7"/>
  <c r="O384" i="7"/>
  <c r="G25" i="8"/>
  <c r="O299" i="7"/>
  <c r="O32" i="7"/>
  <c r="O142" i="7"/>
  <c r="H4" i="8"/>
  <c r="O99" i="7"/>
  <c r="G7" i="8"/>
  <c r="O47" i="7"/>
  <c r="G4" i="8"/>
  <c r="O5" i="7"/>
  <c r="O362" i="7"/>
  <c r="C14" i="8"/>
  <c r="J145" i="7"/>
  <c r="J154" i="7"/>
  <c r="O278" i="7"/>
  <c r="J39" i="7"/>
  <c r="J283" i="7"/>
  <c r="D17" i="8"/>
  <c r="J393" i="7"/>
  <c r="J253" i="7"/>
  <c r="J280" i="7"/>
  <c r="H33" i="8"/>
  <c r="O97" i="7"/>
  <c r="O232" i="7"/>
  <c r="O241" i="7"/>
  <c r="J374" i="7"/>
  <c r="O134" i="7"/>
  <c r="J347" i="7"/>
  <c r="O233" i="7"/>
  <c r="O92" i="7"/>
  <c r="I10" i="8" s="1"/>
  <c r="J10" i="8" s="1"/>
  <c r="O44" i="7"/>
  <c r="J139" i="7"/>
  <c r="O305" i="7"/>
  <c r="J211" i="7"/>
  <c r="I23" i="8" l="1"/>
  <c r="J23" i="8" s="1"/>
  <c r="I4" i="8"/>
  <c r="J4" i="8" s="1"/>
  <c r="I7" i="8"/>
  <c r="J7" i="8" s="1"/>
  <c r="K10" i="8"/>
  <c r="F131" i="13"/>
  <c r="B145" i="13"/>
  <c r="K12" i="8"/>
  <c r="E12" i="8"/>
  <c r="E132" i="13"/>
  <c r="K16" i="8"/>
  <c r="E16" i="8"/>
  <c r="E5" i="8"/>
  <c r="K5" i="8"/>
  <c r="I27" i="8"/>
  <c r="J27" i="8" s="1"/>
  <c r="E28" i="8"/>
  <c r="K28" i="8"/>
  <c r="I22" i="8"/>
  <c r="J22" i="8" s="1"/>
  <c r="E13" i="8"/>
  <c r="K13" i="8"/>
  <c r="K25" i="8"/>
  <c r="E25" i="8"/>
  <c r="I30" i="8"/>
  <c r="J30" i="8" s="1"/>
  <c r="I21" i="8"/>
  <c r="J21" i="8" s="1"/>
  <c r="I33" i="8"/>
  <c r="J33" i="8" s="1"/>
  <c r="I31" i="8"/>
  <c r="J31" i="8" s="1"/>
  <c r="E4" i="8"/>
  <c r="K4" i="8"/>
  <c r="I16" i="8"/>
  <c r="J16" i="8" s="1"/>
  <c r="I5" i="8"/>
  <c r="J5" i="8" s="1"/>
  <c r="I18" i="8"/>
  <c r="J18" i="8" s="1"/>
  <c r="I12" i="8"/>
  <c r="J12" i="8" s="1"/>
  <c r="I32" i="8"/>
  <c r="J32" i="8" s="1"/>
  <c r="I14" i="8"/>
  <c r="J14" i="8" s="1"/>
  <c r="I20" i="8"/>
  <c r="J20" i="8" s="1"/>
  <c r="K9" i="8"/>
  <c r="E9" i="8"/>
  <c r="E32" i="8"/>
  <c r="K32" i="8"/>
  <c r="I6" i="8"/>
  <c r="J6" i="8" s="1"/>
  <c r="E19" i="8"/>
  <c r="K19" i="8"/>
  <c r="E21" i="8"/>
  <c r="K21" i="8"/>
  <c r="E33" i="8"/>
  <c r="K33" i="8"/>
  <c r="K7" i="8"/>
  <c r="E7" i="8"/>
  <c r="K30" i="8"/>
  <c r="E30" i="8"/>
  <c r="K15" i="8"/>
  <c r="E15" i="8"/>
  <c r="I28" i="8"/>
  <c r="J28" i="8" s="1"/>
  <c r="I9" i="8"/>
  <c r="J9" i="8" s="1"/>
  <c r="I8" i="8"/>
  <c r="J8" i="8" s="1"/>
  <c r="I26" i="8"/>
  <c r="J26" i="8" s="1"/>
  <c r="E10" i="8"/>
  <c r="I24" i="8"/>
  <c r="J24" i="8" s="1"/>
  <c r="I17" i="8"/>
  <c r="J17" i="8" s="1"/>
  <c r="I13" i="8"/>
  <c r="J13" i="8" s="1"/>
  <c r="I25" i="8"/>
  <c r="J25" i="8" s="1"/>
  <c r="E6" i="8"/>
  <c r="K6" i="8"/>
  <c r="K29" i="8"/>
  <c r="E29" i="8"/>
  <c r="K8" i="8"/>
  <c r="E8" i="8"/>
  <c r="E133" i="13"/>
  <c r="E17" i="8"/>
  <c r="K17" i="8"/>
  <c r="E27" i="8"/>
  <c r="K27" i="8"/>
  <c r="K14" i="8"/>
  <c r="E14" i="8"/>
  <c r="E23" i="8"/>
  <c r="K23" i="8"/>
  <c r="K18" i="8"/>
  <c r="E18" i="8"/>
  <c r="E24" i="8"/>
  <c r="K24" i="8"/>
  <c r="E11" i="8"/>
  <c r="K11" i="8"/>
  <c r="K22" i="8"/>
  <c r="E22" i="8"/>
  <c r="K26" i="8"/>
  <c r="E26" i="8"/>
  <c r="I11" i="8"/>
  <c r="J11" i="8" s="1"/>
  <c r="K31" i="8"/>
  <c r="E31" i="8"/>
  <c r="I19" i="8"/>
  <c r="J19" i="8" s="1"/>
  <c r="I29" i="8"/>
  <c r="J29" i="8" s="1"/>
  <c r="I15" i="8"/>
  <c r="J15" i="8" s="1"/>
  <c r="K20" i="8"/>
  <c r="E20" i="8"/>
  <c r="G52" i="12"/>
  <c r="B67" i="12" s="1"/>
  <c r="B65" i="12"/>
  <c r="L29" i="8" l="1"/>
  <c r="F29" i="8"/>
  <c r="L19" i="8"/>
  <c r="F19" i="8"/>
  <c r="F15" i="8"/>
  <c r="L15" i="8"/>
  <c r="F28" i="8"/>
  <c r="L28" i="8"/>
  <c r="L23" i="8"/>
  <c r="F23" i="8"/>
  <c r="L4" i="8"/>
  <c r="F4" i="8"/>
  <c r="F14" i="8"/>
  <c r="L14" i="8"/>
  <c r="L6" i="8"/>
  <c r="F6" i="8"/>
  <c r="L30" i="8"/>
  <c r="F30" i="8"/>
  <c r="F32" i="8"/>
  <c r="L32" i="8"/>
  <c r="L31" i="8"/>
  <c r="F31" i="8"/>
  <c r="L9" i="8"/>
  <c r="F9" i="8"/>
  <c r="L5" i="8"/>
  <c r="F5" i="8"/>
  <c r="F22" i="8"/>
  <c r="L22" i="8"/>
  <c r="L7" i="8"/>
  <c r="F7" i="8"/>
  <c r="F16" i="8"/>
  <c r="L16" i="8"/>
  <c r="L24" i="8"/>
  <c r="F24" i="8"/>
  <c r="F27" i="8"/>
  <c r="L27" i="8"/>
  <c r="F26" i="8"/>
  <c r="L26" i="8"/>
  <c r="F20" i="8"/>
  <c r="L20" i="8"/>
  <c r="L25" i="8"/>
  <c r="F25" i="8"/>
  <c r="F132" i="13"/>
  <c r="B156" i="13"/>
  <c r="L11" i="8"/>
  <c r="F11" i="8"/>
  <c r="L10" i="8"/>
  <c r="F10" i="8"/>
  <c r="F33" i="8"/>
  <c r="L33" i="8"/>
  <c r="F12" i="8"/>
  <c r="L12" i="8"/>
  <c r="L17" i="8"/>
  <c r="F17" i="8"/>
  <c r="B167" i="13"/>
  <c r="F133" i="13"/>
  <c r="F8" i="8"/>
  <c r="L8" i="8"/>
  <c r="F21" i="8"/>
  <c r="L21" i="8"/>
  <c r="L13" i="8"/>
  <c r="F13" i="8"/>
  <c r="L18" i="8"/>
  <c r="F18" i="8"/>
  <c r="G131" i="13"/>
  <c r="B148" i="13" s="1"/>
  <c r="B146" i="13"/>
  <c r="B168" i="13" l="1"/>
  <c r="G133" i="13"/>
  <c r="B170" i="13" s="1"/>
  <c r="B157" i="13"/>
  <c r="G132" i="13"/>
  <c r="B159"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100-000001000000}">
      <text>
        <r>
          <rPr>
            <sz val="10"/>
            <rFont val="Arial"/>
            <family val="2"/>
          </rPr>
          <t>Concentrations in ng/L (assumed; see README). Values copied from Water.xlsx. 0 = below detection limit.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 authorId="0" shapeId="0" xr:uid="{00000000-0006-0000-0500-000001000000}">
      <text>
        <r>
          <rPr>
            <sz val="10"/>
            <rFont val="Arial"/>
            <family val="2"/>
          </rPr>
          <t>Set to 1 if raw data are already in µg/L; 0.001 if in ng/L (assumed).</t>
        </r>
      </text>
    </comment>
    <comment ref="C30" authorId="0" shapeId="0" xr:uid="{00000000-0006-0000-0500-000002000000}">
      <text>
        <r>
          <rPr>
            <sz val="10"/>
            <rFont val="Arial"/>
            <family val="2"/>
          </rPr>
          <t>Not classified as to carcinogenicity on IRIS; CSF set to 0 (no CR computed).</t>
        </r>
      </text>
    </comment>
  </commentList>
</comments>
</file>

<file path=xl/sharedStrings.xml><?xml version="1.0" encoding="utf-8"?>
<sst xmlns="http://schemas.openxmlformats.org/spreadsheetml/2006/main" count="2172" uniqueCount="424">
  <si>
    <t>Halda River — Organochlorine pesticides (OCPs) in surface water: full calculation workbook</t>
  </si>
  <si>
    <t>Purpose: every number in the thesis chapter 'OCP residues in surface water' is reproduced here with live Excel formulas so that it recalculates if any input changes.</t>
  </si>
  <si>
    <t>Unit assumption: raw concentrations (sheet Raw_Data) are in ng/L. Cell Parameters!B4 converts ng/L → µg/L; change it if the laboratory reported another unit.</t>
  </si>
  <si>
    <t>Colour code: blue text = hard-coded inputs (measured data, exposure parameters, toxicity values, guideline values); black text = formulas.</t>
  </si>
  <si>
    <t>Sheets:</t>
  </si>
  <si>
    <t xml:space="preserve">  Raw_Data — 33 samples × 14 OCPs (from Water.xlsx) with ΣOCP and class sums.</t>
  </si>
  <si>
    <t xml:space="preserve">  Descriptive_Stats — mean, SD, min, max, detection frequency per compound; class contribution (%).</t>
  </si>
  <si>
    <t xml:space="preserve">  Zone_Site_Means — mean and SD of each compound and ΣOCP by zone and by site (AVERAGEIFS / SUMPRODUCT formulas).</t>
  </si>
  <si>
    <t xml:space="preserve">  Diagnostic_Ratios — DDT/(DDD+DDE), (DDD+DDE)/ΣDDT, α- and β-HCH share of ΣHCH per site.</t>
  </si>
  <si>
    <t xml:space="preserve">  Parameters — exposure factors (adult/child), RfD, CSF, log Kow, MW, Potts–Guy Kp, PNEC and guideline values.</t>
  </si>
  <si>
    <t xml:space="preserve">  Health_Risk — CDI (ingestion), DAD (dermal), THQ, LADD and CR per compound for every grouping (overall, zones, sites) and receptor.</t>
  </si>
  <si>
    <t xml:space="preserve">  Health_Summary — HI (ΣTHQ) and ΣCR by grouping and receptor (SUMIFS over Health_Risk).</t>
  </si>
  <si>
    <t xml:space="preserve">  Eco_Risk — RQ = MEC/PNEC (mean and maximum concentration) per compound and grouping, ΣRQ and risk class.</t>
  </si>
  <si>
    <t xml:space="preserve">  Guideline_Comparison — measured mean/max (µg/L) vs USEPA, EU, CCME and WHO values with exceedance factors.</t>
  </si>
  <si>
    <t xml:space="preserve">  Statistics — Kruskal–Wallis, Mann–Whitney and Spearman results (computed in Python/SciPy; not Excel formulas).</t>
  </si>
  <si>
    <t>Formulae: CDI = C×IR×EF×ED/(BW×AT); DAD = C×SA×Kp×ET×EF×ED×CF/(BW×AT); THQ = CDI/RfD; HI = ΣTHQ; LADD = CDI×AT_nc/AT_c; CR = LADD×CSF; RQ = MEC/PNEC.</t>
  </si>
  <si>
    <t>Sources: USEPA (1989) RAGS Part A; USEPA (2004) RAGS Part E; USEPA (2011) Exposure Factors Handbook; USEPA IRIS; USEPA National Recommended Water Quality Criteria; EU Directive 2013/39/EU; CCME (1999, updated) CEQGs; WHO (2017) Guidelines for Drinking-water Quality; Hernando et al. (2006) Talanta 69:334–342.</t>
  </si>
  <si>
    <t>Sample ID</t>
  </si>
  <si>
    <t>Zone</t>
  </si>
  <si>
    <t>Site</t>
  </si>
  <si>
    <t>o,p'-DDT</t>
  </si>
  <si>
    <t>p,p'-DDT</t>
  </si>
  <si>
    <t>o,p'-DDD</t>
  </si>
  <si>
    <t>p,p'-DDD</t>
  </si>
  <si>
    <t>o,p'-DDE</t>
  </si>
  <si>
    <t>p,p'-DDE</t>
  </si>
  <si>
    <t>α-HCH</t>
  </si>
  <si>
    <t>β-HCH</t>
  </si>
  <si>
    <t>γ-HCH (Lindane)</t>
  </si>
  <si>
    <t>δ-HCH</t>
  </si>
  <si>
    <t>Aldrin</t>
  </si>
  <si>
    <t>Dieldrin</t>
  </si>
  <si>
    <t>Heptachlor</t>
  </si>
  <si>
    <t>Heptachlor epoxide</t>
  </si>
  <si>
    <t>ΣOCP</t>
  </si>
  <si>
    <t>ΣDDT-group</t>
  </si>
  <si>
    <t>ΣHCH</t>
  </si>
  <si>
    <t>ΣCyclodienes</t>
  </si>
  <si>
    <t>BWR1</t>
  </si>
  <si>
    <t>Up-stream</t>
  </si>
  <si>
    <t>Bhujpur Dam</t>
  </si>
  <si>
    <t>BWR2</t>
  </si>
  <si>
    <t>BWR3</t>
  </si>
  <si>
    <t>EWR1</t>
  </si>
  <si>
    <t>Ekkhuliya</t>
  </si>
  <si>
    <t>EWR2</t>
  </si>
  <si>
    <t>EWR3</t>
  </si>
  <si>
    <t>NZWR1</t>
  </si>
  <si>
    <t>Nazirhat</t>
  </si>
  <si>
    <t>NZWR2</t>
  </si>
  <si>
    <t>NZWR3</t>
  </si>
  <si>
    <t>SWR1</t>
  </si>
  <si>
    <t>Mid-stream</t>
  </si>
  <si>
    <t>Sekandar Para</t>
  </si>
  <si>
    <t>SWR2</t>
  </si>
  <si>
    <t>SWR3</t>
  </si>
  <si>
    <t>NIWR1</t>
  </si>
  <si>
    <t>Nichintapur</t>
  </si>
  <si>
    <t>NIWR2</t>
  </si>
  <si>
    <t>NIWR3</t>
  </si>
  <si>
    <t>NDWR1</t>
  </si>
  <si>
    <t>Nadimpur</t>
  </si>
  <si>
    <t>NDWR2</t>
  </si>
  <si>
    <t>NDWR3</t>
  </si>
  <si>
    <t>WWR1</t>
  </si>
  <si>
    <t>Down-stream</t>
  </si>
  <si>
    <t>West Binajuri</t>
  </si>
  <si>
    <t>WWR2</t>
  </si>
  <si>
    <t>WWR3</t>
  </si>
  <si>
    <t>NWR1</t>
  </si>
  <si>
    <t>Napiter Ghona</t>
  </si>
  <si>
    <t>NWR2</t>
  </si>
  <si>
    <t>NWR3</t>
  </si>
  <si>
    <t>HWR1</t>
  </si>
  <si>
    <t>Horekrishno Mohajoner Tek</t>
  </si>
  <si>
    <t>HWR2</t>
  </si>
  <si>
    <t>HWR3</t>
  </si>
  <si>
    <t>CWR1</t>
  </si>
  <si>
    <t>Chayar Char</t>
  </si>
  <si>
    <t>CWR2</t>
  </si>
  <si>
    <t>CWR3</t>
  </si>
  <si>
    <t>KWR1</t>
  </si>
  <si>
    <t>Kalurghat</t>
  </si>
  <si>
    <t>KWR2</t>
  </si>
  <si>
    <t>KWR3</t>
  </si>
  <si>
    <t>Descriptive statistics of OCPs in Halda River water (ng/L, n = 33)</t>
  </si>
  <si>
    <t>Compound</t>
  </si>
  <si>
    <t>n</t>
  </si>
  <si>
    <t>Mean</t>
  </si>
  <si>
    <t>SD</t>
  </si>
  <si>
    <t>Min</t>
  </si>
  <si>
    <t>Max</t>
  </si>
  <si>
    <t>Detections (&gt;0)</t>
  </si>
  <si>
    <t>Detection frequency (%)</t>
  </si>
  <si>
    <t>Mean ± SD (text)</t>
  </si>
  <si>
    <t>Range (text)</t>
  </si>
  <si>
    <t>Class contribution to ΣOCP (%)</t>
  </si>
  <si>
    <t>Class</t>
  </si>
  <si>
    <t>Sum of concentrations (all samples)</t>
  </si>
  <si>
    <t>Share of ΣOCP (%)</t>
  </si>
  <si>
    <t>Mean and SD of each OCP and ΣOCP by zone and by site (ng/L)</t>
  </si>
  <si>
    <t>Group</t>
  </si>
  <si>
    <t>Type</t>
  </si>
  <si>
    <t>Mean o,p'-DDT</t>
  </si>
  <si>
    <t>Mean p,p'-DDT</t>
  </si>
  <si>
    <t>Mean o,p'-DDD</t>
  </si>
  <si>
    <t>Mean p,p'-DDD</t>
  </si>
  <si>
    <t>Mean o,p'-DDE</t>
  </si>
  <si>
    <t>Mean p,p'-DDE</t>
  </si>
  <si>
    <t>Mean α-HCH</t>
  </si>
  <si>
    <t>Mean β-HCH</t>
  </si>
  <si>
    <t>Mean γ-HCH (Lindane)</t>
  </si>
  <si>
    <t>Mean δ-HCH</t>
  </si>
  <si>
    <t>Mean Aldrin</t>
  </si>
  <si>
    <t>Mean Dieldrin</t>
  </si>
  <si>
    <t>Mean Heptachlor</t>
  </si>
  <si>
    <t>Mean Heptachlor epoxide</t>
  </si>
  <si>
    <t>Mean ΣOCP</t>
  </si>
  <si>
    <t>SD o,p'-DDT</t>
  </si>
  <si>
    <t>SD p,p'-DDT</t>
  </si>
  <si>
    <t>SD o,p'-DDD</t>
  </si>
  <si>
    <t>SD p,p'-DDD</t>
  </si>
  <si>
    <t>SD o,p'-DDE</t>
  </si>
  <si>
    <t>SD p,p'-DDE</t>
  </si>
  <si>
    <t>SD α-HCH</t>
  </si>
  <si>
    <t>SD β-HCH</t>
  </si>
  <si>
    <t>SD γ-HCH (Lindane)</t>
  </si>
  <si>
    <t>SD δ-HCH</t>
  </si>
  <si>
    <t>SD Aldrin</t>
  </si>
  <si>
    <t>SD Dieldrin</t>
  </si>
  <si>
    <t>SD Heptachlor</t>
  </si>
  <si>
    <t>SD Heptachlor epoxide</t>
  </si>
  <si>
    <t>SD ΣOCP</t>
  </si>
  <si>
    <t>Max o,p'-DDT</t>
  </si>
  <si>
    <t>Max p,p'-DDT</t>
  </si>
  <si>
    <t>Max o,p'-DDD</t>
  </si>
  <si>
    <t>Max p,p'-DDD</t>
  </si>
  <si>
    <t>Max o,p'-DDE</t>
  </si>
  <si>
    <t>Max p,p'-DDE</t>
  </si>
  <si>
    <t>Max α-HCH</t>
  </si>
  <si>
    <t>Max β-HCH</t>
  </si>
  <si>
    <t>Max γ-HCH (Lindane)</t>
  </si>
  <si>
    <t>Max δ-HCH</t>
  </si>
  <si>
    <t>Max Aldrin</t>
  </si>
  <si>
    <t>Max Dieldrin</t>
  </si>
  <si>
    <t>Max Heptachlor</t>
  </si>
  <si>
    <t>Max Heptachlor epoxide</t>
  </si>
  <si>
    <t>Max ΣOCP</t>
  </si>
  <si>
    <t>Overall</t>
  </si>
  <si>
    <t>All</t>
  </si>
  <si>
    <t>Source-diagnostic ratios based on site mean concentrations (ng/L)</t>
  </si>
  <si>
    <t>ΣDDT (o,p'+p,p')</t>
  </si>
  <si>
    <t>ΣDDD</t>
  </si>
  <si>
    <t>ΣDDE</t>
  </si>
  <si>
    <t>DDT/(DDD+DDE)</t>
  </si>
  <si>
    <t>(DDD+DDE)/ΣDDT</t>
  </si>
  <si>
    <t>DDD/DDE</t>
  </si>
  <si>
    <t>α-HCH (% ΣHCH)</t>
  </si>
  <si>
    <t>β-HCH (% ΣHCH)</t>
  </si>
  <si>
    <t>α/γ-HCH</t>
  </si>
  <si>
    <t>Interpretation (DDT)</t>
  </si>
  <si>
    <t>Interpretation (HCH)</t>
  </si>
  <si>
    <t>Exposure parameters, toxicity values and guideline values</t>
  </si>
  <si>
    <t>Unit conversion: raw data unit → µg/L</t>
  </si>
  <si>
    <t>factor</t>
  </si>
  <si>
    <t>ng/L → µg/L factor</t>
  </si>
  <si>
    <t>µg/L → mg/L factor</t>
  </si>
  <si>
    <t>Exposure parameter</t>
  </si>
  <si>
    <t>Symbol</t>
  </si>
  <si>
    <t>Adult</t>
  </si>
  <si>
    <t>Child</t>
  </si>
  <si>
    <t>Unit</t>
  </si>
  <si>
    <t>Source</t>
  </si>
  <si>
    <t>Body weight</t>
  </si>
  <si>
    <t>BW</t>
  </si>
  <si>
    <t>kg</t>
  </si>
  <si>
    <t>USEPA Exposure Factors Handbook (2011)</t>
  </si>
  <si>
    <t>Water ingestion rate</t>
  </si>
  <si>
    <t>IR</t>
  </si>
  <si>
    <t>L/day</t>
  </si>
  <si>
    <t>USEPA (1989, 2011)</t>
  </si>
  <si>
    <t>Exposure frequency</t>
  </si>
  <si>
    <t>EF</t>
  </si>
  <si>
    <t>days/yr</t>
  </si>
  <si>
    <t>USEPA (1989)</t>
  </si>
  <si>
    <t>Exposure duration</t>
  </si>
  <si>
    <t>ED</t>
  </si>
  <si>
    <t>yr</t>
  </si>
  <si>
    <t>Skin surface area</t>
  </si>
  <si>
    <t>SA</t>
  </si>
  <si>
    <t>cm²</t>
  </si>
  <si>
    <t>USEPA RAGS Part E (2004)</t>
  </si>
  <si>
    <t>Exposure time (bathing)</t>
  </si>
  <si>
    <t>ET</t>
  </si>
  <si>
    <t>h/day</t>
  </si>
  <si>
    <t>Conversion factor</t>
  </si>
  <si>
    <t>CF</t>
  </si>
  <si>
    <t>L/cm³</t>
  </si>
  <si>
    <t>unit conversion</t>
  </si>
  <si>
    <t>Averaging time, non-carcinogenic</t>
  </si>
  <si>
    <t>AT_nc</t>
  </si>
  <si>
    <t>days</t>
  </si>
  <si>
    <t>ED × 365</t>
  </si>
  <si>
    <t>Averaging time, carcinogenic</t>
  </si>
  <si>
    <t>AT_c</t>
  </si>
  <si>
    <t>70 yr × 365</t>
  </si>
  <si>
    <t>Toxicity values and dermal permeability</t>
  </si>
  <si>
    <t>RfD (mg/kg-day)</t>
  </si>
  <si>
    <t>CSF (mg/kg-day)^-1</t>
  </si>
  <si>
    <t>log Kow</t>
  </si>
  <si>
    <t>MW (g/mol)</t>
  </si>
  <si>
    <t>Kp (cm/h) = 10^(-2.80+0.66·logKow-0.0056·MW)</t>
  </si>
  <si>
    <t>PNEC (µg/L)</t>
  </si>
  <si>
    <t>PNEC basis</t>
  </si>
  <si>
    <t>USEPA CMC acute (µg/L)</t>
  </si>
  <si>
    <t>USEPA CCC chronic (µg/L)</t>
  </si>
  <si>
    <t>EU AA-EQS (µg/L)</t>
  </si>
  <si>
    <t>CCME FAL (µg/L)</t>
  </si>
  <si>
    <t>WHO drinking water (µg/L)</t>
  </si>
  <si>
    <t>RfD/CSF basis</t>
  </si>
  <si>
    <t>USEPA CCC, DDT &amp; metabolites (1980/1986)</t>
  </si>
  <si>
    <t>–</t>
  </si>
  <si>
    <t>USEPA IRIS (DDT)</t>
  </si>
  <si>
    <t>USEPA CCC, DDT &amp; metabolites</t>
  </si>
  <si>
    <t>Surrogate: DDT (IRIS)</t>
  </si>
  <si>
    <t>EU AA-EQS, ΣHCH inland waters (2013/39/EU)</t>
  </si>
  <si>
    <t>RfD surrogate γ-HCH; CSF IRIS</t>
  </si>
  <si>
    <t>EU AA-EQS, ΣHCH inland waters</t>
  </si>
  <si>
    <t>CCME freshwater aquatic life (lindane)</t>
  </si>
  <si>
    <t>USEPA IRIS</t>
  </si>
  <si>
    <t>RfD surrogate γ-HCH; CSF not classified</t>
  </si>
  <si>
    <t>CCME freshwater aquatic life (aldrin + dieldrin)</t>
  </si>
  <si>
    <t>CCME (aldrin + dieldrin)</t>
  </si>
  <si>
    <t>USEPA CCC freshwater (heptachlor)</t>
  </si>
  <si>
    <t>USEPA CCC freshwater (heptachlor epoxide)</t>
  </si>
  <si>
    <t>Human health risk from water exposure (ingestion + dermal) — per compound, grouping and receptor</t>
  </si>
  <si>
    <t>CDI_ing = C×IR×EF×ED/(BW×AT_nc); DAD = C×SA×Kp×ET×EF×ED×CF/(BW×AT_nc); THQ = dose/RfD; LADD = dose×AT_nc/AT_c; CR = LADD×CSF</t>
  </si>
  <si>
    <t>Receptor</t>
  </si>
  <si>
    <t>Mean C (raw unit)</t>
  </si>
  <si>
    <t>C (mg/L)</t>
  </si>
  <si>
    <t>CDI ingestion (mg/kg-day)</t>
  </si>
  <si>
    <t>DAD dermal (mg/kg-day)</t>
  </si>
  <si>
    <t>THQ ingestion</t>
  </si>
  <si>
    <t>THQ dermal</t>
  </si>
  <si>
    <t>THQ total</t>
  </si>
  <si>
    <t>LADD ingestion</t>
  </si>
  <si>
    <t>LADD dermal</t>
  </si>
  <si>
    <t>CR ingestion</t>
  </si>
  <si>
    <t>CR dermal</t>
  </si>
  <si>
    <t>CR total</t>
  </si>
  <si>
    <t>Hazard Index (HI = ΣTHQ) and incremental lifetime cancer risk (ΣCR) by grouping and receptor</t>
  </si>
  <si>
    <t>HI (total)</t>
  </si>
  <si>
    <t>HI &lt; 1 ?</t>
  </si>
  <si>
    <t>CR (total)</t>
  </si>
  <si>
    <t>CR class (USEPA)</t>
  </si>
  <si>
    <t>Dominant compound (THQ)</t>
  </si>
  <si>
    <t>Share of HI by dominant compound (%)</t>
  </si>
  <si>
    <t>Ecological risk quotients RQ = MEC / PNEC (MEC converted to µg/L) — mean- and maximum-concentration basis</t>
  </si>
  <si>
    <t>Risk classes (Hernando et al., 2006): RQ &lt; 0.1 low; 0.1 ≤ RQ &lt; 1 medium; RQ ≥ 1 high (RQ &lt; 0.01 reported as negligible)</t>
  </si>
  <si>
    <t>RQ mean o,p'-DDT</t>
  </si>
  <si>
    <t>RQ mean p,p'-DDT</t>
  </si>
  <si>
    <t>RQ mean o,p'-DDD</t>
  </si>
  <si>
    <t>RQ mean p,p'-DDD</t>
  </si>
  <si>
    <t>RQ mean o,p'-DDE</t>
  </si>
  <si>
    <t>RQ mean p,p'-DDE</t>
  </si>
  <si>
    <t>RQ mean α-HCH</t>
  </si>
  <si>
    <t>RQ mean β-HCH</t>
  </si>
  <si>
    <t>RQ mean γ-HCH (Lindane)</t>
  </si>
  <si>
    <t>RQ mean δ-HCH</t>
  </si>
  <si>
    <t>RQ mean Aldrin</t>
  </si>
  <si>
    <t>RQ mean Dieldrin</t>
  </si>
  <si>
    <t>RQ mean Heptachlor</t>
  </si>
  <si>
    <t>RQ mean Heptachlor epoxide</t>
  </si>
  <si>
    <t>ΣRQ (mean)</t>
  </si>
  <si>
    <t>RQ max o,p'-DDT</t>
  </si>
  <si>
    <t>RQ max p,p'-DDT</t>
  </si>
  <si>
    <t>RQ max o,p'-DDD</t>
  </si>
  <si>
    <t>RQ max p,p'-DDD</t>
  </si>
  <si>
    <t>RQ max o,p'-DDE</t>
  </si>
  <si>
    <t>RQ max p,p'-DDE</t>
  </si>
  <si>
    <t>RQ max α-HCH</t>
  </si>
  <si>
    <t>RQ max β-HCH</t>
  </si>
  <si>
    <t>RQ max γ-HCH (Lindane)</t>
  </si>
  <si>
    <t>RQ max δ-HCH</t>
  </si>
  <si>
    <t>RQ max Aldrin</t>
  </si>
  <si>
    <t>RQ max Dieldrin</t>
  </si>
  <si>
    <t>RQ max Heptachlor</t>
  </si>
  <si>
    <t>RQ max Heptachlor epoxide</t>
  </si>
  <si>
    <t>ΣRQ (max)</t>
  </si>
  <si>
    <t>Highest-risk compound (mean)</t>
  </si>
  <si>
    <t>Risk classification (river-wide)</t>
  </si>
  <si>
    <t>Mean MEC (µg/L)</t>
  </si>
  <si>
    <t>Max MEC (µg/L)</t>
  </si>
  <si>
    <t>RQ (mean)</t>
  </si>
  <si>
    <t>RQ (max)</t>
  </si>
  <si>
    <t>Class (mean)</t>
  </si>
  <si>
    <t>Class (max)</t>
  </si>
  <si>
    <t>Share of ΣRQ mean (%)</t>
  </si>
  <si>
    <t>Measured concentrations (µg/L) vs guideline values; exceedance factor = mean ÷ guideline</t>
  </si>
  <si>
    <t>Mean (µg/L)</t>
  </si>
  <si>
    <t>Max (µg/L)</t>
  </si>
  <si>
    <t>USEPA CCC</t>
  </si>
  <si>
    <t>× CCC (mean)</t>
  </si>
  <si>
    <t>× CCC (max)</t>
  </si>
  <si>
    <t>EU AA-EQS</t>
  </si>
  <si>
    <t>× EQS (mean)</t>
  </si>
  <si>
    <t>× EQS (max)</t>
  </si>
  <si>
    <t>CCME FAL</t>
  </si>
  <si>
    <t>× CCME (mean)</t>
  </si>
  <si>
    <t>× CCME (max)</t>
  </si>
  <si>
    <t>WHO DW</t>
  </si>
  <si>
    <t>× WHO (mean)</t>
  </si>
  <si>
    <t>× WHO (max)</t>
  </si>
  <si>
    <t>Non-parametric statistics (computed with SciPy 1.x in Python; values, not formulas)</t>
  </si>
  <si>
    <t>Test</t>
  </si>
  <si>
    <t>Variable</t>
  </si>
  <si>
    <t>Groups</t>
  </si>
  <si>
    <t>Statistic</t>
  </si>
  <si>
    <t>p-value</t>
  </si>
  <si>
    <t>Interpretation</t>
  </si>
  <si>
    <t>Kruskal–Wallis</t>
  </si>
  <si>
    <t>3 zones (n = 9, 9, 15)</t>
  </si>
  <si>
    <t>Significant zone effect</t>
  </si>
  <si>
    <t>11 sites (n = 3 each)</t>
  </si>
  <si>
    <t>Significant site effect</t>
  </si>
  <si>
    <t>Spearman rank correlation</t>
  </si>
  <si>
    <t>ΣOCP vs site order (1 = Bhujpur Dam … 11 = Kalurghat)</t>
  </si>
  <si>
    <t>33 samples</t>
  </si>
  <si>
    <t>Strong positive longitudinal trend</t>
  </si>
  <si>
    <t>Mann–Whitney U (two-sided)</t>
  </si>
  <si>
    <t>Up-stream vs Mid-stream</t>
  </si>
  <si>
    <t>Not significant</t>
  </si>
  <si>
    <t>Mid-stream vs Down-stream</t>
  </si>
  <si>
    <t>Significant</t>
  </si>
  <si>
    <t>Up-stream vs Down-stream</t>
  </si>
  <si>
    <t>3 zones</t>
  </si>
  <si>
    <t>Kruskal-Wallis H test — ΣOCP concentration in water by zone</t>
  </si>
  <si>
    <t>Non-parametric one-way ANOVA on ranks. H = (12/(N(N+1))) · Σ(R_g²/n_g) − 3(N+1), tie-corrected: H_c = H / (1 − T/(N³−N)), where T = Σ(t³−t) over tied-value groups. p-value from the chi-square distribution with df = (number of groups − 1). Sample data pulled live from the Raw_Data sheet (Zone in column B, ΣOCP in column R, rows 2–34, N = 33).</t>
  </si>
  <si>
    <t>ΣOCP (µg/L)</t>
  </si>
  <si>
    <t>Rank (ties averaged)</t>
  </si>
  <si>
    <t>Tie count, t</t>
  </si>
  <si>
    <t>Zone comparison</t>
  </si>
  <si>
    <t>Sum of ranks, R</t>
  </si>
  <si>
    <t>R² / n</t>
  </si>
  <si>
    <t>Tie correction</t>
  </si>
  <si>
    <t>N (total samples)</t>
  </si>
  <si>
    <t>T = Σ(t³ − t) = Σt² − N</t>
  </si>
  <si>
    <t>Tie-correction factor, C = 1 − T/(N³−N)</t>
  </si>
  <si>
    <t>Results</t>
  </si>
  <si>
    <t>k (groups)</t>
  </si>
  <si>
    <t>df = k−1</t>
  </si>
  <si>
    <t>H (raw)</t>
  </si>
  <si>
    <t>H (tie-corrected)</t>
  </si>
  <si>
    <t>Conclusion (α = 0.05)</t>
  </si>
  <si>
    <t>Zone (Up/Mid/Down-stream)</t>
  </si>
  <si>
    <t>Test statistic is computed on ΣOCP (per-sample sum of all 14 OCP congeners). Cross-check: reproduces the SciPy Kruskal-Wallis result on the Statistics sheet (H ≈ 12.47, p ≈ 0.0020); small differences reflect the tie-correction applied here and the by-formula rank-average method.</t>
  </si>
  <si>
    <t>Hypothesis Testing Details</t>
  </si>
  <si>
    <t>Hypothesis testing summary — Zone effect on ΣOCP concentration in water</t>
  </si>
  <si>
    <t>Null hypothesis (H0)</t>
  </si>
  <si>
    <t>H0: The distribution of ΣOCP concentration in river water is the same across the three river zones (Up-, Mid-, Down-stream); the population medians of ΣOCP are equal across zones.</t>
  </si>
  <si>
    <t>Alternative hypothesis (H1)</t>
  </si>
  <si>
    <t>H1: At least one zone differs from the others in the distribution (median) of ΣOCP concentration.</t>
  </si>
  <si>
    <t>Type of test (tail)</t>
  </si>
  <si>
    <t>One-tailed (upper tail) — the Kruskal-Wallis statistic H follows a chi-square distribution; only large H values (right tail) indicate a significant group difference.</t>
  </si>
  <si>
    <t>Significance level (α)</t>
  </si>
  <si>
    <t>0.05 (5%)</t>
  </si>
  <si>
    <t>Degrees of freedom</t>
  </si>
  <si>
    <t>Test statistic</t>
  </si>
  <si>
    <t>Decision rule</t>
  </si>
  <si>
    <t>Reject H0 if p-value &lt; α; otherwise fail to reject H0.</t>
  </si>
  <si>
    <t>Conclusion</t>
  </si>
  <si>
    <t>The Kruskal-Wallis H test is the non-parametric analogue of one-way ANOVA, used here because ΣOCP concentrations in water are not normally distributed (right-skewed with many non-detects). Groups are unbalanced (n = 9, 9, 15 for Up-, Mid-, Down-stream respectively, reflecting the number of sampling sites per zone); the Kruskal-Wallis test does not require equal group sizes.</t>
  </si>
  <si>
    <t>Two-Way ANOVA — Water OCP concentration by Zone and Compound Class</t>
  </si>
  <si>
    <t>Fixed-effects two-way ANOVA (proportional/orthogonal design) testing the relationship between River Zone (Up-/Mid-/Down-stream, n = 9, 9, 15 samples respectively) and OCP Compound Class (ΣDDT, ΣHCH, ΣCyclodiene) on water OCP concentration (µg/L). Each of the 33 water samples contributes one concentration value per compound class (99 observations total), reshaped to long format below. Because class totals are balanced (33 each) while zone totals differ (9, 9, 15) identically across every class, the design is proportional, so Type I = Type II = Type III sums of squares (no approximation needed).</t>
  </si>
  <si>
    <t>Compound Class</t>
  </si>
  <si>
    <t>Concentration (µg/L)</t>
  </si>
  <si>
    <t>Cell sums and counts (Zone × Compound Class)</t>
  </si>
  <si>
    <t>Zone \ Class</t>
  </si>
  <si>
    <t>Zone total (T_i.)</t>
  </si>
  <si>
    <t>n_i.</t>
  </si>
  <si>
    <t>Σ(cell²/n_ij)</t>
  </si>
  <si>
    <t>Class total (T.j)</t>
  </si>
  <si>
    <t>n.j (per class)</t>
  </si>
  <si>
    <t>Design constants</t>
  </si>
  <si>
    <t>a (zones)</t>
  </si>
  <si>
    <t>b (compound classes)</t>
  </si>
  <si>
    <t>N (total observations)</t>
  </si>
  <si>
    <t>Grand total (ΣX)</t>
  </si>
  <si>
    <t>Correction factor, CF = (ΣX)²/N</t>
  </si>
  <si>
    <t>ΣX² (sum of squared values)</t>
  </si>
  <si>
    <t>Sum-of-squares decomposition</t>
  </si>
  <si>
    <t>SS_Total = ΣX² − CF</t>
  </si>
  <si>
    <t>SS_Zone = Σ_i (T_i.²/n_i.) − CF   [n_i. = zone sample count × b]</t>
  </si>
  <si>
    <t>SS_Class = Σ_j (T.j²)/(N/b) − CF   [class totals balanced, N/b = 33 each]</t>
  </si>
  <si>
    <t>SS_Cells = Σ (cell sum²/n_ij) − CF</t>
  </si>
  <si>
    <t>SS_Zone×Class (interaction) = SS_Cells − SS_Zone − SS_Class</t>
  </si>
  <si>
    <t>SS_Error = SS_Total − SS_Cells</t>
  </si>
  <si>
    <t>ANOVA Table</t>
  </si>
  <si>
    <t>Source of variation</t>
  </si>
  <si>
    <t>SS</t>
  </si>
  <si>
    <t>df</t>
  </si>
  <si>
    <t>MS</t>
  </si>
  <si>
    <t>F</t>
  </si>
  <si>
    <t>Significant (α = 0.05)?</t>
  </si>
  <si>
    <t>Zone (main effect)</t>
  </si>
  <si>
    <t>Compound Class (main effect)</t>
  </si>
  <si>
    <t>Zone × Class (interaction)</t>
  </si>
  <si>
    <t>Error</t>
  </si>
  <si>
    <t>Total</t>
  </si>
  <si>
    <t>Hypothesis testing summary — Main effect of Zone on water OCP concentration</t>
  </si>
  <si>
    <t>H0: The mean OCP concentration in water does not differ among the three river zones (µ_Up = µ_Mid = µ_Down); Zone has no effect on OCP concentration.</t>
  </si>
  <si>
    <t>H1: The mean OCP concentration differs among at least one pair of zones.</t>
  </si>
  <si>
    <t>One-tailed (upper/right tail) — only large F values (right tail of the F-distribution) indicate a significant effect.</t>
  </si>
  <si>
    <t>Hypothesis testing summary — Main effect of Compound Class on water OCP concentration</t>
  </si>
  <si>
    <t>H0: The mean concentration does not differ among the three OCP compound classes (µ_ΣDDT = µ_ΣHCH = µ_ΣCyclodiene); Compound Class has no effect on concentration.</t>
  </si>
  <si>
    <t>H1: The mean concentration differs among at least one pair of compound classes.</t>
  </si>
  <si>
    <t>Hypothesis testing summary — Zone × Compound Class interaction effect</t>
  </si>
  <si>
    <t>H0: There is no interaction between Zone and Compound Class; the pattern of concentration differences among compound classes is the same in every zone (and vice versa).</t>
  </si>
  <si>
    <t>H1: There is an interaction; the pattern of concentration differences among compound classes differs from zone to zone.</t>
  </si>
  <si>
    <t>One-tailed (upper/right tail) — only large F values (right tail of the F-distribution) indicate a significant interaction.</t>
  </si>
  <si>
    <t>Method: two-way fixed-effects ANOVA on a proportional (orthogonal) unbalanced design. Note: the three compound-class values (ΣDDT, ΣHCH, ΣCyclodiene) for a given sample are derived from the same water sample rather than fully independent replicates, so the Compound Class and interaction terms should be read as descriptive of average concentration patterns rather than as strictly independent-samples tests; the Zone main effect is the term most directly comparable to the Kruskal-Wallis zone test on the other sheet.</t>
  </si>
  <si>
    <t>ΣDDT</t>
  </si>
  <si>
    <t>ΣDRN</t>
  </si>
  <si>
    <t>ΣHPT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</si>
</sst>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E+00"/>
    <numFmt numFmtId="167" formatCode="0.0000"/>
  </numFmts>
  <fonts count="12" x14ac:knownFonts="1">
    <font>
      <sz val="11"/>
      <color theme="1"/>
      <name val="Calibri"/>
      <family val="2"/>
      <charset val="1"/>
    </font>
    <font>
      <sz val="10"/>
      <name val="Arial"/>
      <family val="2"/>
    </font>
    <font>
      <b/>
      <sz val="13"/>
      <name val="Times New Roman"/>
      <family val="1"/>
    </font>
    <font>
      <sz val="10"/>
      <name val="Times New Roman"/>
      <family val="1"/>
    </font>
    <font>
      <b/>
      <sz val="10"/>
      <name val="Times New Roman"/>
      <family val="1"/>
    </font>
    <font>
      <sz val="10"/>
      <color rgb="FF0000FF"/>
      <name val="Times New Roman"/>
      <family val="1"/>
    </font>
    <font>
      <i/>
      <sz val="9"/>
      <name val="Times New Roman"/>
      <family val="1"/>
    </font>
    <font>
      <b/>
      <sz val="13"/>
      <color rgb="FF1F4E78"/>
      <name val="Arial"/>
      <family val="2"/>
    </font>
    <font>
      <i/>
      <sz val="9"/>
      <color rgb="FF7F7F7F"/>
      <name val="Arial"/>
      <family val="2"/>
    </font>
    <font>
      <b/>
      <sz val="10"/>
      <color rgb="FFFFFFFF"/>
      <name val="Arial"/>
      <family val="2"/>
    </font>
    <font>
      <sz val="10"/>
      <name val="Arial"/>
      <family val="2"/>
    </font>
    <font>
      <b/>
      <sz val="10"/>
      <name val="Arial"/>
      <family val="2"/>
    </font>
  </fonts>
  <fills count="4">
    <fill>
      <patternFill patternType="none"/>
    </fill>
    <fill>
      <patternFill patternType="gray125"/>
    </fill>
    <fill>
      <patternFill patternType="solid">
        <fgColor rgb="FFD9E4F5"/>
        <bgColor rgb="FFCCFFFF"/>
      </patternFill>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0" fillId="0" borderId="0" xfId="0" applyAlignment="1"/>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xf numFmtId="164" fontId="5" fillId="0" borderId="1" xfId="0" applyNumberFormat="1" applyFont="1" applyBorder="1" applyAlignment="1"/>
    <xf numFmtId="164" fontId="3" fillId="0" borderId="1" xfId="0" applyNumberFormat="1" applyFont="1" applyBorder="1" applyAlignment="1"/>
    <xf numFmtId="0" fontId="2" fillId="0" borderId="0" xfId="0" applyFont="1" applyAlignment="1"/>
    <xf numFmtId="0" fontId="3" fillId="0" borderId="1" xfId="0" applyFont="1" applyBorder="1" applyAlignment="1"/>
    <xf numFmtId="165" fontId="3" fillId="0" borderId="1" xfId="0" applyNumberFormat="1" applyFont="1" applyBorder="1" applyAlignment="1"/>
    <xf numFmtId="0" fontId="4" fillId="0" borderId="0" xfId="0" applyFont="1" applyAlignment="1"/>
    <xf numFmtId="0" fontId="4" fillId="2" borderId="1" xfId="0" applyFont="1" applyFill="1" applyBorder="1" applyAlignment="1">
      <alignment horizontal="center" wrapText="1"/>
    </xf>
    <xf numFmtId="2" fontId="3" fillId="0" borderId="1" xfId="0" applyNumberFormat="1" applyFont="1" applyBorder="1" applyAlignment="1"/>
    <xf numFmtId="0" fontId="3" fillId="0" borderId="0" xfId="0" applyFont="1" applyAlignment="1"/>
    <xf numFmtId="166" fontId="5" fillId="0" borderId="1" xfId="0" applyNumberFormat="1" applyFont="1" applyBorder="1" applyAlignment="1"/>
    <xf numFmtId="2" fontId="5" fillId="0" borderId="1" xfId="0" applyNumberFormat="1" applyFont="1" applyBorder="1" applyAlignment="1"/>
    <xf numFmtId="167" fontId="3" fillId="0" borderId="1" xfId="0" applyNumberFormat="1" applyFont="1" applyBorder="1" applyAlignment="1"/>
    <xf numFmtId="167" fontId="5" fillId="0" borderId="1" xfId="0" applyNumberFormat="1" applyFont="1" applyBorder="1" applyAlignment="1"/>
    <xf numFmtId="0" fontId="6" fillId="0" borderId="0" xfId="0" applyFont="1" applyAlignment="1"/>
    <xf numFmtId="11" fontId="3" fillId="0" borderId="1" xfId="0" applyNumberFormat="1" applyFont="1" applyBorder="1" applyAlignment="1"/>
    <xf numFmtId="0" fontId="7" fillId="0" borderId="0" xfId="0" applyFont="1"/>
    <xf numFmtId="0" fontId="8" fillId="0" borderId="0" xfId="0" applyFont="1" applyAlignment="1">
      <alignment vertical="top" wrapText="1"/>
    </xf>
    <xf numFmtId="0" fontId="9" fillId="3" borderId="0" xfId="0" applyFont="1" applyFill="1"/>
    <xf numFmtId="0" fontId="10" fillId="0" borderId="0" xfId="0" applyFont="1"/>
    <xf numFmtId="164" fontId="10" fillId="0" borderId="0" xfId="0" applyNumberFormat="1" applyFont="1"/>
    <xf numFmtId="165" fontId="10" fillId="0" borderId="0" xfId="0" applyNumberFormat="1" applyFont="1"/>
    <xf numFmtId="0" fontId="11" fillId="0" borderId="0" xfId="0" applyFont="1"/>
    <xf numFmtId="167" fontId="10" fillId="0" borderId="0" xfId="0" applyNumberFormat="1" applyFont="1"/>
    <xf numFmtId="0" fontId="10" fillId="0" borderId="0" xfId="0" applyFont="1" applyAlignment="1">
      <alignment vertical="top" wrapText="1"/>
    </xf>
    <xf numFmtId="164" fontId="11"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D9E4F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zoomScaleNormal="100" workbookViewId="0"/>
  </sheetViews>
  <sheetFormatPr defaultColWidth="8.7109375" defaultRowHeight="15" x14ac:dyDescent="0.25"/>
  <cols>
    <col min="1" max="1" width="150" style="1" customWidth="1"/>
  </cols>
  <sheetData>
    <row r="1" spans="1:1" ht="15.75" customHeight="1" x14ac:dyDescent="0.25">
      <c r="A1" s="2" t="s">
        <v>0</v>
      </c>
    </row>
    <row r="2" spans="1:1" ht="15" customHeight="1" x14ac:dyDescent="0.25">
      <c r="A2" s="3"/>
    </row>
    <row r="3" spans="1:1" ht="15" customHeight="1" x14ac:dyDescent="0.25">
      <c r="A3" s="3" t="s">
        <v>1</v>
      </c>
    </row>
    <row r="4" spans="1:1" ht="15" customHeight="1" x14ac:dyDescent="0.25">
      <c r="A4" s="3" t="s">
        <v>2</v>
      </c>
    </row>
    <row r="5" spans="1:1" ht="15" customHeight="1" x14ac:dyDescent="0.25">
      <c r="A5" s="3" t="s">
        <v>3</v>
      </c>
    </row>
    <row r="6" spans="1:1" ht="15" customHeight="1" x14ac:dyDescent="0.25">
      <c r="A6" s="3"/>
    </row>
    <row r="7" spans="1:1" ht="15" customHeight="1" x14ac:dyDescent="0.25">
      <c r="A7" s="4" t="s">
        <v>4</v>
      </c>
    </row>
    <row r="8" spans="1:1" ht="15" customHeight="1" x14ac:dyDescent="0.25">
      <c r="A8" s="3" t="s">
        <v>5</v>
      </c>
    </row>
    <row r="9" spans="1:1" ht="15" customHeight="1" x14ac:dyDescent="0.25">
      <c r="A9" s="3" t="s">
        <v>6</v>
      </c>
    </row>
    <row r="10" spans="1:1" ht="15" customHeight="1" x14ac:dyDescent="0.25">
      <c r="A10" s="3" t="s">
        <v>7</v>
      </c>
    </row>
    <row r="11" spans="1:1" ht="15" customHeight="1" x14ac:dyDescent="0.25">
      <c r="A11" s="3" t="s">
        <v>8</v>
      </c>
    </row>
    <row r="12" spans="1:1" ht="15" customHeight="1" x14ac:dyDescent="0.25">
      <c r="A12" s="3" t="s">
        <v>9</v>
      </c>
    </row>
    <row r="13" spans="1:1" ht="15" customHeight="1" x14ac:dyDescent="0.25">
      <c r="A13" s="3" t="s">
        <v>10</v>
      </c>
    </row>
    <row r="14" spans="1:1" ht="15" customHeight="1" x14ac:dyDescent="0.25">
      <c r="A14" s="3" t="s">
        <v>11</v>
      </c>
    </row>
    <row r="15" spans="1:1" ht="15" customHeight="1" x14ac:dyDescent="0.25">
      <c r="A15" s="3" t="s">
        <v>12</v>
      </c>
    </row>
    <row r="16" spans="1:1" ht="15" customHeight="1" x14ac:dyDescent="0.25">
      <c r="A16" s="3" t="s">
        <v>13</v>
      </c>
    </row>
    <row r="17" spans="1:1" ht="15" customHeight="1" x14ac:dyDescent="0.25">
      <c r="A17" s="3" t="s">
        <v>14</v>
      </c>
    </row>
    <row r="18" spans="1:1" ht="15" customHeight="1" x14ac:dyDescent="0.25">
      <c r="A18" s="3"/>
    </row>
    <row r="19" spans="1:1" ht="15" customHeight="1" x14ac:dyDescent="0.25">
      <c r="A19" s="3" t="s">
        <v>15</v>
      </c>
    </row>
    <row r="20" spans="1:1" ht="23.25" customHeight="1" x14ac:dyDescent="0.25">
      <c r="A20" s="3" t="s">
        <v>16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4"/>
  <sheetViews>
    <sheetView tabSelected="1" zoomScaleNormal="100" workbookViewId="0">
      <pane xSplit="3" ySplit="1" topLeftCell="D2" activePane="bottomRight" state="frozen"/>
      <selection pane="topRight" activeCell="D1" sqref="D1"/>
      <selection pane="bottomLeft" activeCell="A2" sqref="A2"/>
      <selection pane="bottomRight" activeCell="C38" sqref="C38"/>
    </sheetView>
  </sheetViews>
  <sheetFormatPr defaultColWidth="8.7109375" defaultRowHeight="15" x14ac:dyDescent="0.25"/>
  <cols>
    <col min="1" max="1" width="10" style="1" customWidth="1"/>
    <col min="2" max="2" width="12" style="1" customWidth="1"/>
    <col min="3" max="3" width="24" style="1" customWidth="1"/>
    <col min="4" max="18" width="10" style="1" customWidth="1"/>
    <col min="19" max="19" width="12" style="1" customWidth="1"/>
    <col min="20" max="20" width="10" style="1" customWidth="1"/>
    <col min="21" max="22" width="13" style="1" customWidth="1"/>
  </cols>
  <sheetData>
    <row r="1" spans="1:22" ht="23.25" customHeight="1" x14ac:dyDescent="0.25">
      <c r="A1" s="5" t="s">
        <v>17</v>
      </c>
      <c r="B1" s="5" t="s">
        <v>18</v>
      </c>
      <c r="C1" s="5" t="s">
        <v>19</v>
      </c>
      <c r="D1" s="5" t="s">
        <v>20</v>
      </c>
      <c r="E1" s="5" t="s">
        <v>21</v>
      </c>
      <c r="F1" s="5" t="s">
        <v>22</v>
      </c>
      <c r="G1" s="5" t="s">
        <v>23</v>
      </c>
      <c r="H1" s="5" t="s">
        <v>24</v>
      </c>
      <c r="I1" s="5" t="s">
        <v>25</v>
      </c>
      <c r="J1" s="5" t="s">
        <v>26</v>
      </c>
      <c r="K1" s="5" t="s">
        <v>27</v>
      </c>
      <c r="L1" s="5" t="s">
        <v>28</v>
      </c>
      <c r="M1" s="5" t="s">
        <v>29</v>
      </c>
      <c r="N1" s="5" t="s">
        <v>30</v>
      </c>
      <c r="O1" s="5" t="s">
        <v>31</v>
      </c>
      <c r="P1" s="5" t="s">
        <v>32</v>
      </c>
      <c r="Q1" s="5" t="s">
        <v>33</v>
      </c>
      <c r="R1" s="5" t="s">
        <v>34</v>
      </c>
      <c r="S1" s="5" t="s">
        <v>421</v>
      </c>
      <c r="T1" s="5" t="s">
        <v>36</v>
      </c>
      <c r="U1" s="5" t="s">
        <v>422</v>
      </c>
      <c r="V1" s="5" t="s">
        <v>423</v>
      </c>
    </row>
    <row r="2" spans="1:22" ht="15" customHeight="1" x14ac:dyDescent="0.25">
      <c r="A2" s="6" t="s">
        <v>38</v>
      </c>
      <c r="B2" s="6" t="s">
        <v>39</v>
      </c>
      <c r="C2" s="6" t="s">
        <v>40</v>
      </c>
      <c r="D2" s="7">
        <v>2.1360000000000001</v>
      </c>
      <c r="E2" s="7">
        <v>2.6560000000000001</v>
      </c>
      <c r="F2" s="7">
        <v>1.643</v>
      </c>
      <c r="G2" s="7">
        <v>1.796</v>
      </c>
      <c r="H2" s="7">
        <v>5.1340000000000003</v>
      </c>
      <c r="I2" s="7">
        <v>8.0589999999999993</v>
      </c>
      <c r="J2" s="7">
        <v>2.7080000000000002</v>
      </c>
      <c r="K2" s="7">
        <v>5.3289999999999997</v>
      </c>
      <c r="L2" s="7">
        <v>0.5</v>
      </c>
      <c r="M2" s="7">
        <v>0.5</v>
      </c>
      <c r="N2" s="7">
        <v>0.5</v>
      </c>
      <c r="O2" s="7">
        <v>1.4530000000000001</v>
      </c>
      <c r="P2" s="7">
        <v>0.5</v>
      </c>
      <c r="Q2" s="7">
        <v>1.639</v>
      </c>
      <c r="R2" s="8">
        <f t="shared" ref="R2:R34" si="0">SUM(D2:Q2)</f>
        <v>34.553000000000004</v>
      </c>
      <c r="S2" s="8">
        <f t="shared" ref="S2:S34" si="1">SUM(D2:I2)</f>
        <v>21.423999999999999</v>
      </c>
      <c r="T2" s="8">
        <f t="shared" ref="T2:T34" si="2">SUM(J2:M2)</f>
        <v>9.036999999999999</v>
      </c>
      <c r="U2" s="8">
        <f>SUM(N2:O2)</f>
        <v>1.9530000000000001</v>
      </c>
      <c r="V2" s="8">
        <f>SUM(P2:Q2)</f>
        <v>2.1390000000000002</v>
      </c>
    </row>
    <row r="3" spans="1:22" ht="15" customHeight="1" x14ac:dyDescent="0.25">
      <c r="A3" s="6" t="s">
        <v>41</v>
      </c>
      <c r="B3" s="6" t="s">
        <v>39</v>
      </c>
      <c r="C3" s="6" t="s">
        <v>40</v>
      </c>
      <c r="D3" s="7">
        <v>1.083</v>
      </c>
      <c r="E3" s="7">
        <v>1.8540000000000001</v>
      </c>
      <c r="F3" s="7">
        <v>1.863</v>
      </c>
      <c r="G3" s="7">
        <v>3.4889999999999999</v>
      </c>
      <c r="H3" s="7">
        <v>3.7120000000000002</v>
      </c>
      <c r="I3" s="7">
        <v>6.4260000000000002</v>
      </c>
      <c r="J3" s="7">
        <v>2.7389999999999999</v>
      </c>
      <c r="K3" s="7">
        <v>3.4670000000000001</v>
      </c>
      <c r="L3" s="7">
        <v>0.5</v>
      </c>
      <c r="M3" s="7">
        <v>0.5</v>
      </c>
      <c r="N3" s="7">
        <v>0.5</v>
      </c>
      <c r="O3" s="7">
        <v>1.542</v>
      </c>
      <c r="P3" s="7">
        <v>0.5</v>
      </c>
      <c r="Q3" s="7">
        <v>2.2160000000000002</v>
      </c>
      <c r="R3" s="8">
        <f t="shared" si="0"/>
        <v>30.391000000000002</v>
      </c>
      <c r="S3" s="8">
        <f t="shared" si="1"/>
        <v>18.427</v>
      </c>
      <c r="T3" s="8">
        <f t="shared" si="2"/>
        <v>7.2059999999999995</v>
      </c>
      <c r="U3" s="8">
        <f t="shared" ref="U3:U33" si="3">SUM(N3:O3)</f>
        <v>2.0419999999999998</v>
      </c>
      <c r="V3" s="8">
        <f t="shared" ref="V3:V34" si="4">SUM(P3:Q3)</f>
        <v>2.7160000000000002</v>
      </c>
    </row>
    <row r="4" spans="1:22" ht="15" customHeight="1" x14ac:dyDescent="0.25">
      <c r="A4" s="6" t="s">
        <v>42</v>
      </c>
      <c r="B4" s="6" t="s">
        <v>39</v>
      </c>
      <c r="C4" s="6" t="s">
        <v>40</v>
      </c>
      <c r="D4" s="7">
        <v>2.2709999999999999</v>
      </c>
      <c r="E4" s="7">
        <v>2.887</v>
      </c>
      <c r="F4" s="7">
        <v>2.2130000000000001</v>
      </c>
      <c r="G4" s="7">
        <v>3.8130000000000002</v>
      </c>
      <c r="H4" s="7">
        <v>4.6230000000000002</v>
      </c>
      <c r="I4" s="7">
        <v>8.5429999999999993</v>
      </c>
      <c r="J4" s="7">
        <v>2.8090000000000002</v>
      </c>
      <c r="K4" s="7">
        <v>3.5659999999999998</v>
      </c>
      <c r="L4" s="7">
        <v>0.5</v>
      </c>
      <c r="M4" s="7">
        <v>0.5</v>
      </c>
      <c r="N4" s="7">
        <v>0.5</v>
      </c>
      <c r="O4" s="7">
        <v>1.2949999999999999</v>
      </c>
      <c r="P4" s="7">
        <v>0.5</v>
      </c>
      <c r="Q4" s="7">
        <v>2.0350000000000001</v>
      </c>
      <c r="R4" s="8">
        <f t="shared" si="0"/>
        <v>36.054999999999993</v>
      </c>
      <c r="S4" s="8">
        <f t="shared" si="1"/>
        <v>24.349999999999998</v>
      </c>
      <c r="T4" s="8">
        <f t="shared" si="2"/>
        <v>7.375</v>
      </c>
      <c r="U4" s="8">
        <f t="shared" si="3"/>
        <v>1.7949999999999999</v>
      </c>
      <c r="V4" s="8">
        <f t="shared" si="4"/>
        <v>2.5350000000000001</v>
      </c>
    </row>
    <row r="5" spans="1:22" ht="15" customHeight="1" x14ac:dyDescent="0.25">
      <c r="A5" s="6" t="s">
        <v>43</v>
      </c>
      <c r="B5" s="6" t="s">
        <v>39</v>
      </c>
      <c r="C5" s="6" t="s">
        <v>44</v>
      </c>
      <c r="D5" s="7">
        <v>0.5</v>
      </c>
      <c r="E5" s="7">
        <v>0.5</v>
      </c>
      <c r="F5" s="7">
        <v>0.5</v>
      </c>
      <c r="G5" s="7">
        <v>0.5</v>
      </c>
      <c r="H5" s="7">
        <v>2.8220000000000001</v>
      </c>
      <c r="I5" s="7">
        <v>5.9089999999999998</v>
      </c>
      <c r="J5" s="7">
        <v>1.4159999999999999</v>
      </c>
      <c r="K5" s="7">
        <v>2.9359999999999999</v>
      </c>
      <c r="L5" s="7">
        <v>0.5</v>
      </c>
      <c r="M5" s="7">
        <v>0.5</v>
      </c>
      <c r="N5" s="7">
        <v>0.5</v>
      </c>
      <c r="O5" s="7">
        <v>0.5</v>
      </c>
      <c r="P5" s="7">
        <v>0.5</v>
      </c>
      <c r="Q5" s="7">
        <v>0.5</v>
      </c>
      <c r="R5" s="8">
        <f t="shared" si="0"/>
        <v>18.082999999999998</v>
      </c>
      <c r="S5" s="8">
        <f t="shared" si="1"/>
        <v>10.731</v>
      </c>
      <c r="T5" s="8">
        <f t="shared" si="2"/>
        <v>5.3520000000000003</v>
      </c>
      <c r="U5" s="8">
        <f t="shared" si="3"/>
        <v>1</v>
      </c>
      <c r="V5" s="8">
        <f t="shared" si="4"/>
        <v>1</v>
      </c>
    </row>
    <row r="6" spans="1:22" ht="15" customHeight="1" x14ac:dyDescent="0.25">
      <c r="A6" s="6" t="s">
        <v>45</v>
      </c>
      <c r="B6" s="6" t="s">
        <v>39</v>
      </c>
      <c r="C6" s="6" t="s">
        <v>44</v>
      </c>
      <c r="D6" s="7">
        <v>0.5</v>
      </c>
      <c r="E6" s="7">
        <v>0.5</v>
      </c>
      <c r="F6" s="7">
        <v>0.5</v>
      </c>
      <c r="G6" s="7">
        <v>0.5</v>
      </c>
      <c r="H6" s="7">
        <v>2.9590000000000001</v>
      </c>
      <c r="I6" s="7">
        <v>5.601</v>
      </c>
      <c r="J6" s="7">
        <v>1.4710000000000001</v>
      </c>
      <c r="K6" s="7">
        <v>1.9930000000000001</v>
      </c>
      <c r="L6" s="7">
        <v>0.5</v>
      </c>
      <c r="M6" s="7">
        <v>0.5</v>
      </c>
      <c r="N6" s="7">
        <v>0.5</v>
      </c>
      <c r="O6" s="7">
        <v>0.5</v>
      </c>
      <c r="P6" s="7">
        <v>0.5</v>
      </c>
      <c r="Q6" s="7">
        <v>0.5</v>
      </c>
      <c r="R6" s="8">
        <f t="shared" si="0"/>
        <v>17.024000000000001</v>
      </c>
      <c r="S6" s="8">
        <f t="shared" si="1"/>
        <v>10.559999999999999</v>
      </c>
      <c r="T6" s="8">
        <f t="shared" si="2"/>
        <v>4.4640000000000004</v>
      </c>
      <c r="U6" s="8">
        <f t="shared" si="3"/>
        <v>1</v>
      </c>
      <c r="V6" s="8">
        <f t="shared" si="4"/>
        <v>1</v>
      </c>
    </row>
    <row r="7" spans="1:22" ht="15" customHeight="1" x14ac:dyDescent="0.25">
      <c r="A7" s="6" t="s">
        <v>46</v>
      </c>
      <c r="B7" s="6" t="s">
        <v>39</v>
      </c>
      <c r="C7" s="6" t="s">
        <v>44</v>
      </c>
      <c r="D7" s="7">
        <v>0.5</v>
      </c>
      <c r="E7" s="7">
        <v>0.5</v>
      </c>
      <c r="F7" s="7">
        <v>0.5</v>
      </c>
      <c r="G7" s="7">
        <v>0.5</v>
      </c>
      <c r="H7" s="7">
        <v>2.7</v>
      </c>
      <c r="I7" s="7">
        <v>6.1379999999999999</v>
      </c>
      <c r="J7" s="7">
        <v>1.3759999999999999</v>
      </c>
      <c r="K7" s="7">
        <v>2.3839999999999999</v>
      </c>
      <c r="L7" s="7">
        <v>0.5</v>
      </c>
      <c r="M7" s="7">
        <v>0.5</v>
      </c>
      <c r="N7" s="7">
        <v>0.5</v>
      </c>
      <c r="O7" s="7">
        <v>0.5</v>
      </c>
      <c r="P7" s="7">
        <v>0.5</v>
      </c>
      <c r="Q7" s="7">
        <v>0.5</v>
      </c>
      <c r="R7" s="8">
        <f t="shared" si="0"/>
        <v>17.597999999999999</v>
      </c>
      <c r="S7" s="8">
        <f t="shared" si="1"/>
        <v>10.838000000000001</v>
      </c>
      <c r="T7" s="8">
        <f t="shared" si="2"/>
        <v>4.76</v>
      </c>
      <c r="U7" s="8">
        <f t="shared" si="3"/>
        <v>1</v>
      </c>
      <c r="V7" s="8">
        <f t="shared" si="4"/>
        <v>1</v>
      </c>
    </row>
    <row r="8" spans="1:22" ht="15" customHeight="1" x14ac:dyDescent="0.25">
      <c r="A8" s="6" t="s">
        <v>47</v>
      </c>
      <c r="B8" s="6" t="s">
        <v>39</v>
      </c>
      <c r="C8" s="6" t="s">
        <v>48</v>
      </c>
      <c r="D8" s="7">
        <v>5.2530000000000001</v>
      </c>
      <c r="E8" s="7">
        <v>4.9909999999999997</v>
      </c>
      <c r="F8" s="7">
        <v>3.133</v>
      </c>
      <c r="G8" s="7">
        <v>3.9670000000000001</v>
      </c>
      <c r="H8" s="7">
        <v>7.431</v>
      </c>
      <c r="I8" s="7">
        <v>12.635999999999999</v>
      </c>
      <c r="J8" s="7">
        <v>6.47</v>
      </c>
      <c r="K8" s="7">
        <v>12.711</v>
      </c>
      <c r="L8" s="7">
        <v>2.528</v>
      </c>
      <c r="M8" s="7">
        <v>3.6960000000000002</v>
      </c>
      <c r="N8" s="7">
        <v>3.5739999999999998</v>
      </c>
      <c r="O8" s="7">
        <v>5.3739999999999997</v>
      </c>
      <c r="P8" s="7">
        <v>5.3869999999999996</v>
      </c>
      <c r="Q8" s="7">
        <v>7.3390000000000004</v>
      </c>
      <c r="R8" s="8">
        <f t="shared" si="0"/>
        <v>84.49</v>
      </c>
      <c r="S8" s="8">
        <f t="shared" si="1"/>
        <v>37.411000000000001</v>
      </c>
      <c r="T8" s="8">
        <f t="shared" si="2"/>
        <v>25.405000000000001</v>
      </c>
      <c r="U8" s="8">
        <f t="shared" si="3"/>
        <v>8.9480000000000004</v>
      </c>
      <c r="V8" s="8">
        <f t="shared" si="4"/>
        <v>12.725999999999999</v>
      </c>
    </row>
    <row r="9" spans="1:22" ht="15" customHeight="1" x14ac:dyDescent="0.25">
      <c r="A9" s="6" t="s">
        <v>49</v>
      </c>
      <c r="B9" s="6" t="s">
        <v>39</v>
      </c>
      <c r="C9" s="6" t="s">
        <v>48</v>
      </c>
      <c r="D9" s="7">
        <v>5.8360000000000003</v>
      </c>
      <c r="E9" s="7">
        <v>7.9909999999999997</v>
      </c>
      <c r="F9" s="7">
        <v>4.0670000000000002</v>
      </c>
      <c r="G9" s="7">
        <v>5.2720000000000002</v>
      </c>
      <c r="H9" s="7">
        <v>7.3449999999999998</v>
      </c>
      <c r="I9" s="7">
        <v>13.504</v>
      </c>
      <c r="J9" s="7">
        <v>6.1619999999999999</v>
      </c>
      <c r="K9" s="7">
        <v>12.132999999999999</v>
      </c>
      <c r="L9" s="7">
        <v>3.2869999999999999</v>
      </c>
      <c r="M9" s="7">
        <v>3.8250000000000002</v>
      </c>
      <c r="N9" s="7">
        <v>3.6309999999999998</v>
      </c>
      <c r="O9" s="7">
        <v>7.4630000000000001</v>
      </c>
      <c r="P9" s="7">
        <v>5.3819999999999997</v>
      </c>
      <c r="Q9" s="7">
        <v>7.141</v>
      </c>
      <c r="R9" s="8">
        <f t="shared" si="0"/>
        <v>93.039000000000001</v>
      </c>
      <c r="S9" s="8">
        <f t="shared" si="1"/>
        <v>44.014999999999993</v>
      </c>
      <c r="T9" s="8">
        <f t="shared" si="2"/>
        <v>25.406999999999996</v>
      </c>
      <c r="U9" s="8">
        <f t="shared" si="3"/>
        <v>11.093999999999999</v>
      </c>
      <c r="V9" s="8">
        <f t="shared" si="4"/>
        <v>12.523</v>
      </c>
    </row>
    <row r="10" spans="1:22" ht="15" customHeight="1" x14ac:dyDescent="0.25">
      <c r="A10" s="6" t="s">
        <v>50</v>
      </c>
      <c r="B10" s="6" t="s">
        <v>39</v>
      </c>
      <c r="C10" s="6" t="s">
        <v>48</v>
      </c>
      <c r="D10" s="7">
        <v>6.0979999999999999</v>
      </c>
      <c r="E10" s="7">
        <v>7.4390000000000001</v>
      </c>
      <c r="F10" s="7">
        <v>3.073</v>
      </c>
      <c r="G10" s="7">
        <v>3.4590000000000001</v>
      </c>
      <c r="H10" s="7">
        <v>7.4260000000000002</v>
      </c>
      <c r="I10" s="7">
        <v>13.555999999999999</v>
      </c>
      <c r="J10" s="7">
        <v>5.665</v>
      </c>
      <c r="K10" s="7">
        <v>11.169</v>
      </c>
      <c r="L10" s="7">
        <v>2.5459999999999998</v>
      </c>
      <c r="M10" s="7">
        <v>3.8319999999999999</v>
      </c>
      <c r="N10" s="7">
        <v>4.3159999999999998</v>
      </c>
      <c r="O10" s="7">
        <v>7.7480000000000002</v>
      </c>
      <c r="P10" s="7">
        <v>5.298</v>
      </c>
      <c r="Q10" s="7">
        <v>7.2030000000000003</v>
      </c>
      <c r="R10" s="8">
        <f t="shared" si="0"/>
        <v>88.828000000000003</v>
      </c>
      <c r="S10" s="8">
        <f t="shared" si="1"/>
        <v>41.050999999999995</v>
      </c>
      <c r="T10" s="8">
        <f t="shared" si="2"/>
        <v>23.212</v>
      </c>
      <c r="U10" s="8">
        <f t="shared" si="3"/>
        <v>12.064</v>
      </c>
      <c r="V10" s="8">
        <f t="shared" si="4"/>
        <v>12.501000000000001</v>
      </c>
    </row>
    <row r="11" spans="1:22" ht="15" customHeight="1" x14ac:dyDescent="0.25">
      <c r="A11" s="6" t="s">
        <v>51</v>
      </c>
      <c r="B11" s="6" t="s">
        <v>52</v>
      </c>
      <c r="C11" s="6" t="s">
        <v>53</v>
      </c>
      <c r="D11" s="7">
        <v>2.9359999999999999</v>
      </c>
      <c r="E11" s="7">
        <v>3.0259999999999998</v>
      </c>
      <c r="F11" s="7">
        <v>0.5</v>
      </c>
      <c r="G11" s="7">
        <v>3.18</v>
      </c>
      <c r="H11" s="7">
        <v>5.101</v>
      </c>
      <c r="I11" s="7">
        <v>8.7669999999999995</v>
      </c>
      <c r="J11" s="7">
        <v>2.157</v>
      </c>
      <c r="K11" s="7">
        <v>4.2460000000000004</v>
      </c>
      <c r="L11" s="7">
        <v>0.5</v>
      </c>
      <c r="M11" s="7">
        <v>0.5</v>
      </c>
      <c r="N11" s="7">
        <v>1.7149200710479575</v>
      </c>
      <c r="O11" s="7">
        <v>3.6469999999999998</v>
      </c>
      <c r="P11" s="7">
        <v>0.5</v>
      </c>
      <c r="Q11" s="7">
        <v>0.5</v>
      </c>
      <c r="R11" s="8">
        <f t="shared" si="0"/>
        <v>37.274920071047951</v>
      </c>
      <c r="S11" s="8">
        <f t="shared" si="1"/>
        <v>23.509999999999998</v>
      </c>
      <c r="T11" s="8">
        <f t="shared" si="2"/>
        <v>7.4030000000000005</v>
      </c>
      <c r="U11" s="8">
        <f t="shared" si="3"/>
        <v>5.3619200710479573</v>
      </c>
      <c r="V11" s="8">
        <f t="shared" si="4"/>
        <v>1</v>
      </c>
    </row>
    <row r="12" spans="1:22" ht="15" customHeight="1" x14ac:dyDescent="0.25">
      <c r="A12" s="6" t="s">
        <v>54</v>
      </c>
      <c r="B12" s="6" t="s">
        <v>52</v>
      </c>
      <c r="C12" s="6" t="s">
        <v>53</v>
      </c>
      <c r="D12" s="7">
        <v>2.9460000000000002</v>
      </c>
      <c r="E12" s="7">
        <v>4.0430000000000001</v>
      </c>
      <c r="F12" s="7">
        <v>0.5</v>
      </c>
      <c r="G12" s="7">
        <v>6.1479999999999997</v>
      </c>
      <c r="H12" s="7">
        <v>5.1070000000000002</v>
      </c>
      <c r="I12" s="7">
        <v>11.814</v>
      </c>
      <c r="J12" s="7">
        <v>2.1739999999999999</v>
      </c>
      <c r="K12" s="7">
        <v>4.1580000000000004</v>
      </c>
      <c r="L12" s="7">
        <v>0.5</v>
      </c>
      <c r="M12" s="7">
        <v>0.5</v>
      </c>
      <c r="N12" s="7">
        <v>1.9159999999999999</v>
      </c>
      <c r="O12" s="7">
        <v>2.9140000000000001</v>
      </c>
      <c r="P12" s="7">
        <v>0.5</v>
      </c>
      <c r="Q12" s="7">
        <v>0.5</v>
      </c>
      <c r="R12" s="8">
        <f t="shared" si="0"/>
        <v>43.72</v>
      </c>
      <c r="S12" s="8">
        <f t="shared" si="1"/>
        <v>30.558</v>
      </c>
      <c r="T12" s="8">
        <f t="shared" si="2"/>
        <v>7.3320000000000007</v>
      </c>
      <c r="U12" s="8">
        <f t="shared" si="3"/>
        <v>4.83</v>
      </c>
      <c r="V12" s="8">
        <f t="shared" si="4"/>
        <v>1</v>
      </c>
    </row>
    <row r="13" spans="1:22" ht="15" customHeight="1" x14ac:dyDescent="0.25">
      <c r="A13" s="6" t="s">
        <v>55</v>
      </c>
      <c r="B13" s="6" t="s">
        <v>52</v>
      </c>
      <c r="C13" s="6" t="s">
        <v>53</v>
      </c>
      <c r="D13" s="7">
        <v>3.4529999999999998</v>
      </c>
      <c r="E13" s="7">
        <v>3.911</v>
      </c>
      <c r="F13" s="7">
        <v>0.5</v>
      </c>
      <c r="G13" s="7">
        <v>3.8130000000000002</v>
      </c>
      <c r="H13" s="7">
        <v>5.556</v>
      </c>
      <c r="I13" s="7">
        <v>7.1440000000000001</v>
      </c>
      <c r="J13" s="7">
        <v>3.3919999999999999</v>
      </c>
      <c r="K13" s="7">
        <v>6.601</v>
      </c>
      <c r="L13" s="7">
        <v>0.5</v>
      </c>
      <c r="M13" s="7">
        <v>0.5</v>
      </c>
      <c r="N13" s="7">
        <v>0.5</v>
      </c>
      <c r="O13" s="7">
        <v>3.2629999999999999</v>
      </c>
      <c r="P13" s="7">
        <v>0.5</v>
      </c>
      <c r="Q13" s="7">
        <v>0.5</v>
      </c>
      <c r="R13" s="8">
        <f t="shared" si="0"/>
        <v>40.133000000000003</v>
      </c>
      <c r="S13" s="8">
        <f t="shared" si="1"/>
        <v>24.377000000000002</v>
      </c>
      <c r="T13" s="8">
        <f t="shared" si="2"/>
        <v>10.993</v>
      </c>
      <c r="U13" s="8">
        <f t="shared" si="3"/>
        <v>3.7629999999999999</v>
      </c>
      <c r="V13" s="8">
        <f t="shared" si="4"/>
        <v>1</v>
      </c>
    </row>
    <row r="14" spans="1:22" ht="15" customHeight="1" x14ac:dyDescent="0.25">
      <c r="A14" s="6" t="s">
        <v>56</v>
      </c>
      <c r="B14" s="6" t="s">
        <v>52</v>
      </c>
      <c r="C14" s="6" t="s">
        <v>57</v>
      </c>
      <c r="D14" s="7">
        <v>2.3519999999999999</v>
      </c>
      <c r="E14" s="7">
        <v>2.1259999999999999</v>
      </c>
      <c r="F14" s="7">
        <v>1.984</v>
      </c>
      <c r="G14" s="7">
        <v>3.4119999999999999</v>
      </c>
      <c r="H14" s="7">
        <v>6.3019999999999996</v>
      </c>
      <c r="I14" s="7">
        <v>13.930999999999999</v>
      </c>
      <c r="J14" s="7">
        <v>4.1269999999999998</v>
      </c>
      <c r="K14" s="7">
        <v>8.1560000000000006</v>
      </c>
      <c r="L14" s="7">
        <v>0.5</v>
      </c>
      <c r="M14" s="7">
        <v>2.5607000000000002</v>
      </c>
      <c r="N14" s="7">
        <v>0.5</v>
      </c>
      <c r="O14" s="7">
        <v>2.4369999999999998</v>
      </c>
      <c r="P14" s="7">
        <v>1.2230000000000001</v>
      </c>
      <c r="Q14" s="7">
        <v>2.9870000000000001</v>
      </c>
      <c r="R14" s="8">
        <f t="shared" si="0"/>
        <v>52.597699999999996</v>
      </c>
      <c r="S14" s="8">
        <f t="shared" si="1"/>
        <v>30.106999999999999</v>
      </c>
      <c r="T14" s="8">
        <f t="shared" si="2"/>
        <v>15.343700000000002</v>
      </c>
      <c r="U14" s="8">
        <f t="shared" si="3"/>
        <v>2.9369999999999998</v>
      </c>
      <c r="V14" s="8">
        <f t="shared" si="4"/>
        <v>4.21</v>
      </c>
    </row>
    <row r="15" spans="1:22" ht="15" customHeight="1" x14ac:dyDescent="0.25">
      <c r="A15" s="6" t="s">
        <v>58</v>
      </c>
      <c r="B15" s="6" t="s">
        <v>52</v>
      </c>
      <c r="C15" s="6" t="s">
        <v>57</v>
      </c>
      <c r="D15" s="7">
        <v>3.121</v>
      </c>
      <c r="E15" s="7">
        <v>3.343</v>
      </c>
      <c r="F15" s="7">
        <v>2.3540000000000001</v>
      </c>
      <c r="G15" s="7">
        <v>3.4009999999999998</v>
      </c>
      <c r="H15" s="7">
        <v>5.5670000000000002</v>
      </c>
      <c r="I15" s="7">
        <v>13.928000000000001</v>
      </c>
      <c r="J15" s="7">
        <v>2.8479999999999999</v>
      </c>
      <c r="K15" s="7">
        <v>5.6840000000000002</v>
      </c>
      <c r="L15" s="7">
        <v>0.5</v>
      </c>
      <c r="M15" s="7">
        <v>2.6040000000000001</v>
      </c>
      <c r="N15" s="7">
        <v>0.5</v>
      </c>
      <c r="O15" s="7">
        <v>1.994</v>
      </c>
      <c r="P15" s="7">
        <v>1.3640000000000001</v>
      </c>
      <c r="Q15" s="7">
        <v>3.8839999999999999</v>
      </c>
      <c r="R15" s="8">
        <f t="shared" si="0"/>
        <v>51.091999999999999</v>
      </c>
      <c r="S15" s="8">
        <f t="shared" si="1"/>
        <v>31.714000000000002</v>
      </c>
      <c r="T15" s="8">
        <f t="shared" si="2"/>
        <v>11.635999999999999</v>
      </c>
      <c r="U15" s="8">
        <f t="shared" si="3"/>
        <v>2.4939999999999998</v>
      </c>
      <c r="V15" s="8">
        <f t="shared" si="4"/>
        <v>5.2480000000000002</v>
      </c>
    </row>
    <row r="16" spans="1:22" ht="15" customHeight="1" x14ac:dyDescent="0.25">
      <c r="A16" s="6" t="s">
        <v>59</v>
      </c>
      <c r="B16" s="6" t="s">
        <v>52</v>
      </c>
      <c r="C16" s="6" t="s">
        <v>57</v>
      </c>
      <c r="D16" s="7">
        <v>4.3520000000000003</v>
      </c>
      <c r="E16" s="7">
        <v>3.5459999999999998</v>
      </c>
      <c r="F16" s="7">
        <v>2.3639999999999999</v>
      </c>
      <c r="G16" s="7">
        <v>2.3559999999999999</v>
      </c>
      <c r="H16" s="7">
        <v>5.9180000000000001</v>
      </c>
      <c r="I16" s="7">
        <v>12.222</v>
      </c>
      <c r="J16" s="7">
        <v>2.907</v>
      </c>
      <c r="K16" s="7">
        <v>5.7229999999999999</v>
      </c>
      <c r="L16" s="7">
        <v>0.5</v>
      </c>
      <c r="M16" s="7">
        <v>2.673</v>
      </c>
      <c r="N16" s="7">
        <v>0.5</v>
      </c>
      <c r="O16" s="7">
        <v>1.3640000000000001</v>
      </c>
      <c r="P16" s="7">
        <v>1.2210000000000001</v>
      </c>
      <c r="Q16" s="7">
        <v>3.4860000000000002</v>
      </c>
      <c r="R16" s="8">
        <f t="shared" si="0"/>
        <v>49.131999999999998</v>
      </c>
      <c r="S16" s="8">
        <f t="shared" si="1"/>
        <v>30.758000000000003</v>
      </c>
      <c r="T16" s="8">
        <f t="shared" si="2"/>
        <v>11.802999999999999</v>
      </c>
      <c r="U16" s="8">
        <f t="shared" si="3"/>
        <v>1.8640000000000001</v>
      </c>
      <c r="V16" s="8">
        <f t="shared" si="4"/>
        <v>4.7070000000000007</v>
      </c>
    </row>
    <row r="17" spans="1:22" ht="15" customHeight="1" x14ac:dyDescent="0.25">
      <c r="A17" s="6" t="s">
        <v>60</v>
      </c>
      <c r="B17" s="6" t="s">
        <v>52</v>
      </c>
      <c r="C17" s="6" t="s">
        <v>61</v>
      </c>
      <c r="D17" s="7">
        <v>3.234</v>
      </c>
      <c r="E17" s="7">
        <v>3.9729999999999999</v>
      </c>
      <c r="F17" s="7">
        <v>3.0569999999999999</v>
      </c>
      <c r="G17" s="7">
        <v>3.2650000000000001</v>
      </c>
      <c r="H17" s="7">
        <v>6.6390000000000002</v>
      </c>
      <c r="I17" s="7">
        <v>13.773</v>
      </c>
      <c r="J17" s="7">
        <v>3.383</v>
      </c>
      <c r="K17" s="7">
        <v>6.5410000000000004</v>
      </c>
      <c r="L17" s="7">
        <v>1.532</v>
      </c>
      <c r="M17" s="7">
        <v>3.3069999999999999</v>
      </c>
      <c r="N17" s="7">
        <v>1.9670000000000001</v>
      </c>
      <c r="O17" s="7">
        <v>3.2629999999999999</v>
      </c>
      <c r="P17" s="7">
        <v>1.1240000000000001</v>
      </c>
      <c r="Q17" s="7">
        <v>3.0880000000000001</v>
      </c>
      <c r="R17" s="8">
        <f t="shared" si="0"/>
        <v>58.146000000000008</v>
      </c>
      <c r="S17" s="8">
        <f t="shared" si="1"/>
        <v>33.941000000000003</v>
      </c>
      <c r="T17" s="8">
        <f t="shared" si="2"/>
        <v>14.763</v>
      </c>
      <c r="U17" s="8">
        <f t="shared" si="3"/>
        <v>5.23</v>
      </c>
      <c r="V17" s="8">
        <f t="shared" si="4"/>
        <v>4.2119999999999997</v>
      </c>
    </row>
    <row r="18" spans="1:22" ht="15" customHeight="1" x14ac:dyDescent="0.25">
      <c r="A18" s="6" t="s">
        <v>62</v>
      </c>
      <c r="B18" s="6" t="s">
        <v>52</v>
      </c>
      <c r="C18" s="6" t="s">
        <v>61</v>
      </c>
      <c r="D18" s="7">
        <v>3.956</v>
      </c>
      <c r="E18" s="7">
        <v>4.3540000000000001</v>
      </c>
      <c r="F18" s="7">
        <v>3.7330000000000001</v>
      </c>
      <c r="G18" s="7">
        <v>4.3929999999999998</v>
      </c>
      <c r="H18" s="7">
        <v>4.3129999999999997</v>
      </c>
      <c r="I18" s="7">
        <v>14.625999999999999</v>
      </c>
      <c r="J18" s="7">
        <v>5.52</v>
      </c>
      <c r="K18" s="7">
        <v>8.1069999999999993</v>
      </c>
      <c r="L18" s="7">
        <v>1.9359999999999999</v>
      </c>
      <c r="M18" s="7">
        <v>2.7589999999999999</v>
      </c>
      <c r="N18" s="7">
        <v>1.3560000000000001</v>
      </c>
      <c r="O18" s="7">
        <v>3.625</v>
      </c>
      <c r="P18" s="7">
        <v>2.1230000000000002</v>
      </c>
      <c r="Q18" s="7">
        <v>3.508</v>
      </c>
      <c r="R18" s="8">
        <f t="shared" si="0"/>
        <v>64.308999999999997</v>
      </c>
      <c r="S18" s="8">
        <f t="shared" si="1"/>
        <v>35.375</v>
      </c>
      <c r="T18" s="8">
        <f t="shared" si="2"/>
        <v>18.321999999999999</v>
      </c>
      <c r="U18" s="8">
        <f t="shared" si="3"/>
        <v>4.9809999999999999</v>
      </c>
      <c r="V18" s="8">
        <f t="shared" si="4"/>
        <v>5.6310000000000002</v>
      </c>
    </row>
    <row r="19" spans="1:22" ht="15" customHeight="1" x14ac:dyDescent="0.25">
      <c r="A19" s="6" t="s">
        <v>63</v>
      </c>
      <c r="B19" s="6" t="s">
        <v>52</v>
      </c>
      <c r="C19" s="6" t="s">
        <v>61</v>
      </c>
      <c r="D19" s="7">
        <v>3.4649999999999999</v>
      </c>
      <c r="E19" s="7">
        <v>4.3520000000000003</v>
      </c>
      <c r="F19" s="7">
        <v>3.4580000000000002</v>
      </c>
      <c r="G19" s="7">
        <v>3.7709999999999999</v>
      </c>
      <c r="H19" s="7">
        <v>7.4470000000000001</v>
      </c>
      <c r="I19" s="7">
        <v>14.781000000000001</v>
      </c>
      <c r="J19" s="7">
        <v>4.2560000000000002</v>
      </c>
      <c r="K19" s="7">
        <v>8.3119999999999994</v>
      </c>
      <c r="L19" s="7">
        <v>1.365</v>
      </c>
      <c r="M19" s="7">
        <v>2.754</v>
      </c>
      <c r="N19" s="7">
        <v>1.643</v>
      </c>
      <c r="O19" s="7">
        <v>2.9740000000000002</v>
      </c>
      <c r="P19" s="7">
        <v>2.2730000000000001</v>
      </c>
      <c r="Q19" s="7">
        <v>2.8889999999999998</v>
      </c>
      <c r="R19" s="8">
        <f t="shared" si="0"/>
        <v>63.740000000000009</v>
      </c>
      <c r="S19" s="8">
        <f t="shared" si="1"/>
        <v>37.274000000000001</v>
      </c>
      <c r="T19" s="8">
        <f t="shared" si="2"/>
        <v>16.687000000000001</v>
      </c>
      <c r="U19" s="8">
        <f t="shared" si="3"/>
        <v>4.617</v>
      </c>
      <c r="V19" s="8">
        <f t="shared" si="4"/>
        <v>5.1619999999999999</v>
      </c>
    </row>
    <row r="20" spans="1:22" ht="15" customHeight="1" x14ac:dyDescent="0.25">
      <c r="A20" s="6" t="s">
        <v>64</v>
      </c>
      <c r="B20" s="6" t="s">
        <v>65</v>
      </c>
      <c r="C20" s="6" t="s">
        <v>66</v>
      </c>
      <c r="D20" s="7">
        <v>3.956</v>
      </c>
      <c r="E20" s="7">
        <v>3.8530000000000002</v>
      </c>
      <c r="F20" s="7">
        <v>5.1859999999999999</v>
      </c>
      <c r="G20" s="7">
        <v>4.5620000000000003</v>
      </c>
      <c r="H20" s="7">
        <v>6.6210000000000004</v>
      </c>
      <c r="I20" s="7">
        <v>14.137</v>
      </c>
      <c r="J20" s="7">
        <v>5.3635000000000002</v>
      </c>
      <c r="K20" s="7">
        <v>10.564</v>
      </c>
      <c r="L20" s="7">
        <v>2.5369999999999999</v>
      </c>
      <c r="M20" s="7">
        <v>2.7280000000000002</v>
      </c>
      <c r="N20" s="7">
        <v>0.5</v>
      </c>
      <c r="O20" s="7">
        <v>2.9769999999999999</v>
      </c>
      <c r="P20" s="7">
        <v>0.5</v>
      </c>
      <c r="Q20" s="7">
        <v>3.702</v>
      </c>
      <c r="R20" s="8">
        <f t="shared" si="0"/>
        <v>67.186500000000009</v>
      </c>
      <c r="S20" s="8">
        <f t="shared" si="1"/>
        <v>38.315000000000005</v>
      </c>
      <c r="T20" s="8">
        <f t="shared" si="2"/>
        <v>21.192500000000003</v>
      </c>
      <c r="U20" s="8">
        <f t="shared" si="3"/>
        <v>3.4769999999999999</v>
      </c>
      <c r="V20" s="8">
        <f t="shared" si="4"/>
        <v>4.202</v>
      </c>
    </row>
    <row r="21" spans="1:22" ht="15" customHeight="1" x14ac:dyDescent="0.25">
      <c r="A21" s="6" t="s">
        <v>67</v>
      </c>
      <c r="B21" s="6" t="s">
        <v>65</v>
      </c>
      <c r="C21" s="6" t="s">
        <v>66</v>
      </c>
      <c r="D21" s="7">
        <v>4.3639999999999999</v>
      </c>
      <c r="E21" s="7">
        <v>5.3230000000000004</v>
      </c>
      <c r="F21" s="7">
        <v>4.9560000000000004</v>
      </c>
      <c r="G21" s="7">
        <v>2.1869999999999998</v>
      </c>
      <c r="H21" s="7">
        <v>5.8460000000000001</v>
      </c>
      <c r="I21" s="7">
        <v>14.465999999999999</v>
      </c>
      <c r="J21" s="7">
        <v>6.1980000000000004</v>
      </c>
      <c r="K21" s="7">
        <v>12.205</v>
      </c>
      <c r="L21" s="7">
        <v>1.833</v>
      </c>
      <c r="M21" s="7">
        <v>3.0619999999999998</v>
      </c>
      <c r="N21" s="7">
        <v>1.726</v>
      </c>
      <c r="O21" s="7">
        <v>2.3439999999999999</v>
      </c>
      <c r="P21" s="7">
        <v>0.5</v>
      </c>
      <c r="Q21" s="7">
        <v>2.9249999999999998</v>
      </c>
      <c r="R21" s="8">
        <f t="shared" si="0"/>
        <v>67.934999999999988</v>
      </c>
      <c r="S21" s="8">
        <f t="shared" si="1"/>
        <v>37.142000000000003</v>
      </c>
      <c r="T21" s="8">
        <f t="shared" si="2"/>
        <v>23.297999999999998</v>
      </c>
      <c r="U21" s="8">
        <f t="shared" si="3"/>
        <v>4.07</v>
      </c>
      <c r="V21" s="8">
        <f t="shared" si="4"/>
        <v>3.4249999999999998</v>
      </c>
    </row>
    <row r="22" spans="1:22" ht="15" customHeight="1" x14ac:dyDescent="0.25">
      <c r="A22" s="6" t="s">
        <v>68</v>
      </c>
      <c r="B22" s="6" t="s">
        <v>65</v>
      </c>
      <c r="C22" s="6" t="s">
        <v>66</v>
      </c>
      <c r="D22" s="7">
        <v>4.0129999999999999</v>
      </c>
      <c r="E22" s="7">
        <v>3.298</v>
      </c>
      <c r="F22" s="7">
        <v>4.3739999999999997</v>
      </c>
      <c r="G22" s="7">
        <v>5.3319999999999999</v>
      </c>
      <c r="H22" s="7">
        <v>5.8289999999999997</v>
      </c>
      <c r="I22" s="7">
        <v>13.486000000000001</v>
      </c>
      <c r="J22" s="7">
        <v>5.2030000000000003</v>
      </c>
      <c r="K22" s="7">
        <v>10.257999999999999</v>
      </c>
      <c r="L22" s="7">
        <v>2.504</v>
      </c>
      <c r="M22" s="7">
        <v>4.6310000000000002</v>
      </c>
      <c r="N22" s="7">
        <v>2.4460000000000002</v>
      </c>
      <c r="O22" s="7">
        <v>2.7559999999999998</v>
      </c>
      <c r="P22" s="7">
        <v>0.5</v>
      </c>
      <c r="Q22" s="7">
        <v>1.968</v>
      </c>
      <c r="R22" s="8">
        <f t="shared" si="0"/>
        <v>66.597999999999999</v>
      </c>
      <c r="S22" s="8">
        <f t="shared" si="1"/>
        <v>36.332000000000001</v>
      </c>
      <c r="T22" s="8">
        <f t="shared" si="2"/>
        <v>22.596</v>
      </c>
      <c r="U22" s="8">
        <f t="shared" si="3"/>
        <v>5.202</v>
      </c>
      <c r="V22" s="8">
        <f t="shared" si="4"/>
        <v>2.468</v>
      </c>
    </row>
    <row r="23" spans="1:22" ht="15" customHeight="1" x14ac:dyDescent="0.25">
      <c r="A23" s="6" t="s">
        <v>69</v>
      </c>
      <c r="B23" s="6" t="s">
        <v>65</v>
      </c>
      <c r="C23" s="6" t="s">
        <v>70</v>
      </c>
      <c r="D23" s="7">
        <v>3.4649999999999999</v>
      </c>
      <c r="E23" s="7">
        <v>4.3529999999999998</v>
      </c>
      <c r="F23" s="7">
        <v>4.1950000000000003</v>
      </c>
      <c r="G23" s="7">
        <v>3.593</v>
      </c>
      <c r="H23" s="7">
        <v>6.6390000000000002</v>
      </c>
      <c r="I23" s="7">
        <v>17.181999999999999</v>
      </c>
      <c r="J23" s="7">
        <v>3.6349999999999998</v>
      </c>
      <c r="K23" s="7">
        <v>7.1159999999999997</v>
      </c>
      <c r="L23" s="7">
        <v>1.7350000000000001</v>
      </c>
      <c r="M23" s="7">
        <v>5.4749999999999996</v>
      </c>
      <c r="N23" s="7">
        <v>2.6160000000000001</v>
      </c>
      <c r="O23" s="7">
        <v>4.3639999999999999</v>
      </c>
      <c r="P23" s="7">
        <v>3.645</v>
      </c>
      <c r="Q23" s="7">
        <v>4.7380000000000004</v>
      </c>
      <c r="R23" s="8">
        <f t="shared" si="0"/>
        <v>72.750999999999991</v>
      </c>
      <c r="S23" s="8">
        <f t="shared" si="1"/>
        <v>39.427</v>
      </c>
      <c r="T23" s="8">
        <f t="shared" si="2"/>
        <v>17.960999999999999</v>
      </c>
      <c r="U23" s="8">
        <f t="shared" si="3"/>
        <v>6.98</v>
      </c>
      <c r="V23" s="8">
        <f t="shared" si="4"/>
        <v>8.3830000000000009</v>
      </c>
    </row>
    <row r="24" spans="1:22" ht="15" customHeight="1" x14ac:dyDescent="0.25">
      <c r="A24" s="6" t="s">
        <v>71</v>
      </c>
      <c r="B24" s="6" t="s">
        <v>65</v>
      </c>
      <c r="C24" s="6" t="s">
        <v>70</v>
      </c>
      <c r="D24" s="7">
        <v>5.4359999999999999</v>
      </c>
      <c r="E24" s="7">
        <v>4.1289999999999996</v>
      </c>
      <c r="F24" s="7">
        <v>5.0940000000000003</v>
      </c>
      <c r="G24" s="7">
        <v>3.3660000000000001</v>
      </c>
      <c r="H24" s="7">
        <v>6.5670000000000002</v>
      </c>
      <c r="I24" s="7">
        <v>13.468999999999999</v>
      </c>
      <c r="J24" s="7">
        <v>4.3789999999999996</v>
      </c>
      <c r="K24" s="7">
        <v>8.6039999999999992</v>
      </c>
      <c r="L24" s="7">
        <v>1.7989999999999999</v>
      </c>
      <c r="M24" s="7">
        <v>4.4720000000000004</v>
      </c>
      <c r="N24" s="7">
        <v>0.5</v>
      </c>
      <c r="O24" s="7">
        <v>4.2629999999999999</v>
      </c>
      <c r="P24" s="7">
        <v>3.1339999999999999</v>
      </c>
      <c r="Q24" s="7">
        <v>5.3280000000000003</v>
      </c>
      <c r="R24" s="8">
        <f t="shared" si="0"/>
        <v>70.539999999999992</v>
      </c>
      <c r="S24" s="8">
        <f t="shared" si="1"/>
        <v>38.061</v>
      </c>
      <c r="T24" s="8">
        <f t="shared" si="2"/>
        <v>19.253999999999998</v>
      </c>
      <c r="U24" s="8">
        <f t="shared" si="3"/>
        <v>4.7629999999999999</v>
      </c>
      <c r="V24" s="8">
        <f t="shared" si="4"/>
        <v>8.4619999999999997</v>
      </c>
    </row>
    <row r="25" spans="1:22" ht="15" customHeight="1" x14ac:dyDescent="0.25">
      <c r="A25" s="6" t="s">
        <v>72</v>
      </c>
      <c r="B25" s="6" t="s">
        <v>65</v>
      </c>
      <c r="C25" s="6" t="s">
        <v>70</v>
      </c>
      <c r="D25" s="7">
        <v>5.3979999999999997</v>
      </c>
      <c r="E25" s="7">
        <v>6.3419999999999996</v>
      </c>
      <c r="F25" s="7">
        <v>5.26</v>
      </c>
      <c r="G25" s="7">
        <v>5.3780000000000001</v>
      </c>
      <c r="H25" s="7">
        <v>6.3689999999999998</v>
      </c>
      <c r="I25" s="7">
        <v>13.782999999999999</v>
      </c>
      <c r="J25" s="7">
        <v>6.4020000000000001</v>
      </c>
      <c r="K25" s="7">
        <v>12.689</v>
      </c>
      <c r="L25" s="7">
        <v>2.407</v>
      </c>
      <c r="M25" s="7">
        <v>4.5019999999999998</v>
      </c>
      <c r="N25" s="7">
        <v>2.5350000000000001</v>
      </c>
      <c r="O25" s="7">
        <v>3.1429999999999998</v>
      </c>
      <c r="P25" s="7">
        <v>3.2730000000000001</v>
      </c>
      <c r="Q25" s="7">
        <v>5.8360000000000003</v>
      </c>
      <c r="R25" s="8">
        <f t="shared" si="0"/>
        <v>83.316999999999993</v>
      </c>
      <c r="S25" s="8">
        <f t="shared" si="1"/>
        <v>42.53</v>
      </c>
      <c r="T25" s="8">
        <f t="shared" si="2"/>
        <v>26</v>
      </c>
      <c r="U25" s="8">
        <f t="shared" si="3"/>
        <v>5.6779999999999999</v>
      </c>
      <c r="V25" s="8">
        <f t="shared" si="4"/>
        <v>9.109</v>
      </c>
    </row>
    <row r="26" spans="1:22" ht="15" customHeight="1" x14ac:dyDescent="0.25">
      <c r="A26" s="6" t="s">
        <v>73</v>
      </c>
      <c r="B26" s="6" t="s">
        <v>65</v>
      </c>
      <c r="C26" s="6" t="s">
        <v>74</v>
      </c>
      <c r="D26" s="7">
        <v>4.8650000000000002</v>
      </c>
      <c r="E26" s="7">
        <v>4.3540000000000001</v>
      </c>
      <c r="F26" s="7">
        <v>4.867</v>
      </c>
      <c r="G26" s="7">
        <v>7.5940000000000003</v>
      </c>
      <c r="H26" s="7">
        <v>7.52</v>
      </c>
      <c r="I26" s="7">
        <v>15.909000000000001</v>
      </c>
      <c r="J26" s="7">
        <v>5.7050000000000001</v>
      </c>
      <c r="K26" s="7">
        <v>11.105</v>
      </c>
      <c r="L26" s="7">
        <v>2.5409999999999999</v>
      </c>
      <c r="M26" s="7">
        <v>4.1310000000000002</v>
      </c>
      <c r="N26" s="7">
        <v>2.9540000000000002</v>
      </c>
      <c r="O26" s="7">
        <v>5.1529999999999996</v>
      </c>
      <c r="P26" s="7">
        <v>2.8359999999999999</v>
      </c>
      <c r="Q26" s="7">
        <v>5.3929999999999998</v>
      </c>
      <c r="R26" s="8">
        <f t="shared" si="0"/>
        <v>84.926999999999992</v>
      </c>
      <c r="S26" s="8">
        <f t="shared" si="1"/>
        <v>45.109000000000002</v>
      </c>
      <c r="T26" s="8">
        <f t="shared" si="2"/>
        <v>23.482000000000003</v>
      </c>
      <c r="U26" s="8">
        <f t="shared" si="3"/>
        <v>8.1069999999999993</v>
      </c>
      <c r="V26" s="8">
        <f t="shared" si="4"/>
        <v>8.2289999999999992</v>
      </c>
    </row>
    <row r="27" spans="1:22" ht="15" customHeight="1" x14ac:dyDescent="0.25">
      <c r="A27" s="6" t="s">
        <v>75</v>
      </c>
      <c r="B27" s="6" t="s">
        <v>65</v>
      </c>
      <c r="C27" s="6" t="s">
        <v>74</v>
      </c>
      <c r="D27" s="7">
        <v>5.9470000000000001</v>
      </c>
      <c r="E27" s="7">
        <v>5.9619999999999997</v>
      </c>
      <c r="F27" s="7">
        <v>4.5359999999999996</v>
      </c>
      <c r="G27" s="7">
        <v>5.3230000000000004</v>
      </c>
      <c r="H27" s="7">
        <v>7.2450000000000001</v>
      </c>
      <c r="I27" s="7">
        <v>13.778</v>
      </c>
      <c r="J27" s="7">
        <v>6.7140000000000004</v>
      </c>
      <c r="K27" s="7">
        <v>13.2</v>
      </c>
      <c r="L27" s="7">
        <v>2.758</v>
      </c>
      <c r="M27" s="7">
        <v>6.3550000000000004</v>
      </c>
      <c r="N27" s="7">
        <v>3.4220000000000002</v>
      </c>
      <c r="O27" s="7">
        <v>4.7380000000000004</v>
      </c>
      <c r="P27" s="7">
        <v>2.8359999999999999</v>
      </c>
      <c r="Q27" s="7">
        <v>4.5330000000000004</v>
      </c>
      <c r="R27" s="8">
        <f t="shared" si="0"/>
        <v>87.346999999999994</v>
      </c>
      <c r="S27" s="8">
        <f t="shared" si="1"/>
        <v>42.791000000000004</v>
      </c>
      <c r="T27" s="8">
        <f t="shared" si="2"/>
        <v>29.027000000000001</v>
      </c>
      <c r="U27" s="8">
        <f t="shared" si="3"/>
        <v>8.16</v>
      </c>
      <c r="V27" s="8">
        <f t="shared" si="4"/>
        <v>7.3689999999999998</v>
      </c>
    </row>
    <row r="28" spans="1:22" ht="15" customHeight="1" x14ac:dyDescent="0.25">
      <c r="A28" s="6" t="s">
        <v>76</v>
      </c>
      <c r="B28" s="6" t="s">
        <v>65</v>
      </c>
      <c r="C28" s="6" t="s">
        <v>74</v>
      </c>
      <c r="D28" s="7">
        <v>5.6740000000000004</v>
      </c>
      <c r="E28" s="7">
        <v>7.3520000000000003</v>
      </c>
      <c r="F28" s="7">
        <v>6.2350000000000003</v>
      </c>
      <c r="G28" s="7">
        <v>7.915</v>
      </c>
      <c r="H28" s="7">
        <v>7.5309999999999997</v>
      </c>
      <c r="I28" s="7">
        <v>15.353999999999999</v>
      </c>
      <c r="J28" s="7">
        <v>6.008</v>
      </c>
      <c r="K28" s="7">
        <v>11.984999999999999</v>
      </c>
      <c r="L28" s="7">
        <v>4.234</v>
      </c>
      <c r="M28" s="7">
        <v>4.9349999999999996</v>
      </c>
      <c r="N28" s="7">
        <v>2.5350000000000001</v>
      </c>
      <c r="O28" s="7">
        <v>4.3440000000000003</v>
      </c>
      <c r="P28" s="7">
        <v>4.3559999999999999</v>
      </c>
      <c r="Q28" s="7">
        <v>4.1210000000000004</v>
      </c>
      <c r="R28" s="8">
        <f t="shared" si="0"/>
        <v>92.578999999999979</v>
      </c>
      <c r="S28" s="8">
        <f t="shared" si="1"/>
        <v>50.061</v>
      </c>
      <c r="T28" s="8">
        <f t="shared" si="2"/>
        <v>27.161999999999995</v>
      </c>
      <c r="U28" s="8">
        <f t="shared" si="3"/>
        <v>6.8790000000000004</v>
      </c>
      <c r="V28" s="8">
        <f t="shared" si="4"/>
        <v>8.4770000000000003</v>
      </c>
    </row>
    <row r="29" spans="1:22" ht="15" customHeight="1" x14ac:dyDescent="0.25">
      <c r="A29" s="6" t="s">
        <v>77</v>
      </c>
      <c r="B29" s="6" t="s">
        <v>65</v>
      </c>
      <c r="C29" s="6" t="s">
        <v>78</v>
      </c>
      <c r="D29" s="7">
        <v>7.0439999999999996</v>
      </c>
      <c r="E29" s="7">
        <v>9.6920000000000002</v>
      </c>
      <c r="F29" s="7">
        <v>4.952</v>
      </c>
      <c r="G29" s="7">
        <v>8.8559999999999999</v>
      </c>
      <c r="H29" s="7">
        <v>5.8369999999999997</v>
      </c>
      <c r="I29" s="7">
        <v>16.832999999999998</v>
      </c>
      <c r="J29" s="7">
        <v>7.7140000000000004</v>
      </c>
      <c r="K29" s="7">
        <v>9.2940000000000005</v>
      </c>
      <c r="L29" s="7">
        <v>2.7970000000000002</v>
      </c>
      <c r="M29" s="7">
        <v>6.5410000000000004</v>
      </c>
      <c r="N29" s="7">
        <v>3.1190000000000002</v>
      </c>
      <c r="O29" s="7">
        <v>5.843</v>
      </c>
      <c r="P29" s="7">
        <v>3.8460000000000001</v>
      </c>
      <c r="Q29" s="7">
        <v>4.4909999999999997</v>
      </c>
      <c r="R29" s="8">
        <f t="shared" si="0"/>
        <v>96.858999999999995</v>
      </c>
      <c r="S29" s="8">
        <f t="shared" si="1"/>
        <v>53.213999999999999</v>
      </c>
      <c r="T29" s="8">
        <f t="shared" si="2"/>
        <v>26.346000000000004</v>
      </c>
      <c r="U29" s="8">
        <f t="shared" si="3"/>
        <v>8.9619999999999997</v>
      </c>
      <c r="V29" s="8">
        <f t="shared" si="4"/>
        <v>8.3369999999999997</v>
      </c>
    </row>
    <row r="30" spans="1:22" ht="15" customHeight="1" x14ac:dyDescent="0.25">
      <c r="A30" s="6" t="s">
        <v>79</v>
      </c>
      <c r="B30" s="6" t="s">
        <v>65</v>
      </c>
      <c r="C30" s="6" t="s">
        <v>78</v>
      </c>
      <c r="D30" s="7">
        <v>7.5430000000000001</v>
      </c>
      <c r="E30" s="7">
        <v>8.2739999999999991</v>
      </c>
      <c r="F30" s="7">
        <v>5.9630000000000001</v>
      </c>
      <c r="G30" s="7">
        <v>7.9930000000000003</v>
      </c>
      <c r="H30" s="7">
        <v>8.0229999999999997</v>
      </c>
      <c r="I30" s="7">
        <v>15.89</v>
      </c>
      <c r="J30" s="7">
        <v>5.3280000000000003</v>
      </c>
      <c r="K30" s="7">
        <v>10.648999999999999</v>
      </c>
      <c r="L30" s="7">
        <v>3.6110000000000002</v>
      </c>
      <c r="M30" s="7">
        <v>7.6059999999999999</v>
      </c>
      <c r="N30" s="7">
        <v>3.8159999999999998</v>
      </c>
      <c r="O30" s="7">
        <v>6.4749999999999996</v>
      </c>
      <c r="P30" s="7">
        <v>4.0229999999999997</v>
      </c>
      <c r="Q30" s="7">
        <v>6.5389999999999997</v>
      </c>
      <c r="R30" s="8">
        <f t="shared" si="0"/>
        <v>101.733</v>
      </c>
      <c r="S30" s="8">
        <f t="shared" si="1"/>
        <v>53.686000000000007</v>
      </c>
      <c r="T30" s="8">
        <f t="shared" si="2"/>
        <v>27.194000000000003</v>
      </c>
      <c r="U30" s="8">
        <f t="shared" si="3"/>
        <v>10.291</v>
      </c>
      <c r="V30" s="8">
        <f t="shared" si="4"/>
        <v>10.561999999999999</v>
      </c>
    </row>
    <row r="31" spans="1:22" ht="15" customHeight="1" x14ac:dyDescent="0.25">
      <c r="A31" s="6" t="s">
        <v>80</v>
      </c>
      <c r="B31" s="6" t="s">
        <v>65</v>
      </c>
      <c r="C31" s="6" t="s">
        <v>78</v>
      </c>
      <c r="D31" s="7">
        <v>6.758</v>
      </c>
      <c r="E31" s="7">
        <v>9.9260000000000002</v>
      </c>
      <c r="F31" s="7">
        <v>5.7350000000000003</v>
      </c>
      <c r="G31" s="7">
        <v>7.8449999999999998</v>
      </c>
      <c r="H31" s="7">
        <v>8.2110000000000003</v>
      </c>
      <c r="I31" s="7">
        <v>18.024999999999999</v>
      </c>
      <c r="J31" s="7">
        <v>8.1509999999999998</v>
      </c>
      <c r="K31" s="7">
        <v>12.987</v>
      </c>
      <c r="L31" s="7">
        <v>3.6539999999999999</v>
      </c>
      <c r="M31" s="7">
        <v>7.6289999999999996</v>
      </c>
      <c r="N31" s="7">
        <v>4.2930000000000001</v>
      </c>
      <c r="O31" s="7">
        <v>5.3739999999999997</v>
      </c>
      <c r="P31" s="7">
        <v>5.4669999999999996</v>
      </c>
      <c r="Q31" s="7">
        <v>5.8029999999999999</v>
      </c>
      <c r="R31" s="8">
        <f t="shared" si="0"/>
        <v>109.85799999999999</v>
      </c>
      <c r="S31" s="8">
        <f t="shared" si="1"/>
        <v>56.5</v>
      </c>
      <c r="T31" s="8">
        <f t="shared" si="2"/>
        <v>32.420999999999999</v>
      </c>
      <c r="U31" s="8">
        <f t="shared" si="3"/>
        <v>9.6669999999999998</v>
      </c>
      <c r="V31" s="8">
        <f t="shared" si="4"/>
        <v>11.27</v>
      </c>
    </row>
    <row r="32" spans="1:22" ht="15" customHeight="1" x14ac:dyDescent="0.25">
      <c r="A32" s="6" t="s">
        <v>81</v>
      </c>
      <c r="B32" s="6" t="s">
        <v>65</v>
      </c>
      <c r="C32" s="6" t="s">
        <v>82</v>
      </c>
      <c r="D32" s="7">
        <v>8.4670000000000005</v>
      </c>
      <c r="E32" s="7">
        <v>11.504</v>
      </c>
      <c r="F32" s="7">
        <v>9.5459999999999994</v>
      </c>
      <c r="G32" s="7">
        <v>10.612</v>
      </c>
      <c r="H32" s="7">
        <v>7.5250000000000004</v>
      </c>
      <c r="I32" s="7">
        <v>19.132000000000001</v>
      </c>
      <c r="J32" s="7">
        <v>9.4369999999999994</v>
      </c>
      <c r="K32" s="7">
        <v>14.618</v>
      </c>
      <c r="L32" s="7">
        <v>5.048</v>
      </c>
      <c r="M32" s="7">
        <v>14.612</v>
      </c>
      <c r="N32" s="7">
        <v>6.508</v>
      </c>
      <c r="O32" s="7">
        <v>7.399</v>
      </c>
      <c r="P32" s="7">
        <v>5.3540000000000001</v>
      </c>
      <c r="Q32" s="7">
        <v>7.9189999999999996</v>
      </c>
      <c r="R32" s="8">
        <f t="shared" si="0"/>
        <v>137.68100000000001</v>
      </c>
      <c r="S32" s="8">
        <f t="shared" si="1"/>
        <v>66.786000000000001</v>
      </c>
      <c r="T32" s="8">
        <f t="shared" si="2"/>
        <v>43.715000000000003</v>
      </c>
      <c r="U32" s="8">
        <f t="shared" si="3"/>
        <v>13.907</v>
      </c>
      <c r="V32" s="8">
        <f t="shared" si="4"/>
        <v>13.273</v>
      </c>
    </row>
    <row r="33" spans="1:22" ht="15" customHeight="1" x14ac:dyDescent="0.25">
      <c r="A33" s="6" t="s">
        <v>83</v>
      </c>
      <c r="B33" s="6" t="s">
        <v>65</v>
      </c>
      <c r="C33" s="6" t="s">
        <v>82</v>
      </c>
      <c r="D33" s="7">
        <v>7.4749999999999996</v>
      </c>
      <c r="E33" s="7">
        <v>15.7972</v>
      </c>
      <c r="F33" s="7">
        <v>8.843</v>
      </c>
      <c r="G33" s="7">
        <v>10.173</v>
      </c>
      <c r="H33" s="7">
        <v>9.9440000000000008</v>
      </c>
      <c r="I33" s="7">
        <v>21.361999999999998</v>
      </c>
      <c r="J33" s="7">
        <v>7.3789999999999996</v>
      </c>
      <c r="K33" s="7">
        <v>11.914999999999999</v>
      </c>
      <c r="L33" s="7">
        <v>5.476</v>
      </c>
      <c r="M33" s="7">
        <v>12.722</v>
      </c>
      <c r="N33" s="7">
        <v>6.3140000000000001</v>
      </c>
      <c r="O33" s="7">
        <v>9.0380000000000003</v>
      </c>
      <c r="P33" s="7">
        <v>6.8460000000000001</v>
      </c>
      <c r="Q33" s="7">
        <v>10.176</v>
      </c>
      <c r="R33" s="8">
        <f t="shared" si="0"/>
        <v>143.46019999999999</v>
      </c>
      <c r="S33" s="8">
        <f t="shared" si="1"/>
        <v>73.594200000000001</v>
      </c>
      <c r="T33" s="8">
        <f t="shared" si="2"/>
        <v>37.491999999999997</v>
      </c>
      <c r="U33" s="8">
        <f t="shared" si="3"/>
        <v>15.352</v>
      </c>
      <c r="V33" s="8">
        <f t="shared" si="4"/>
        <v>17.021999999999998</v>
      </c>
    </row>
    <row r="34" spans="1:22" ht="15" customHeight="1" x14ac:dyDescent="0.25">
      <c r="A34" s="6" t="s">
        <v>84</v>
      </c>
      <c r="B34" s="6" t="s">
        <v>65</v>
      </c>
      <c r="C34" s="6" t="s">
        <v>82</v>
      </c>
      <c r="D34" s="7">
        <v>11.138</v>
      </c>
      <c r="E34" s="7">
        <v>10.055999999999999</v>
      </c>
      <c r="F34" s="7">
        <v>9.3249999999999993</v>
      </c>
      <c r="G34" s="7">
        <v>10.611000000000001</v>
      </c>
      <c r="H34" s="7">
        <v>9.9830000000000005</v>
      </c>
      <c r="I34" s="7">
        <v>23.15</v>
      </c>
      <c r="J34" s="7">
        <v>7.9210000000000003</v>
      </c>
      <c r="K34" s="7">
        <v>14.478</v>
      </c>
      <c r="L34" s="7">
        <v>5.2859999999999996</v>
      </c>
      <c r="M34" s="7">
        <v>13.217000000000001</v>
      </c>
      <c r="N34" s="7">
        <v>6.7489999999999997</v>
      </c>
      <c r="O34" s="7">
        <v>9.4779999999999998</v>
      </c>
      <c r="P34" s="7">
        <v>5.5469999999999997</v>
      </c>
      <c r="Q34" s="7">
        <v>8.234</v>
      </c>
      <c r="R34" s="8">
        <f t="shared" si="0"/>
        <v>145.173</v>
      </c>
      <c r="S34" s="8">
        <f t="shared" si="1"/>
        <v>74.263000000000005</v>
      </c>
      <c r="T34" s="8">
        <f t="shared" si="2"/>
        <v>40.902000000000001</v>
      </c>
      <c r="U34" s="8">
        <f>SUM(N34:O34)</f>
        <v>16.227</v>
      </c>
      <c r="V34" s="8">
        <f t="shared" si="4"/>
        <v>13.780999999999999</v>
      </c>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5"/>
  <sheetViews>
    <sheetView zoomScaleNormal="100" workbookViewId="0">
      <selection activeCell="B22" sqref="B22"/>
    </sheetView>
  </sheetViews>
  <sheetFormatPr defaultColWidth="8.7109375" defaultRowHeight="15" x14ac:dyDescent="0.25"/>
  <cols>
    <col min="1" max="1" width="72.7109375" style="1" bestFit="1" customWidth="1"/>
    <col min="2" max="2" width="7.85546875" style="1" bestFit="1" customWidth="1"/>
    <col min="3" max="3" width="9.85546875" style="1" bestFit="1" customWidth="1"/>
    <col min="4" max="5" width="5.7109375" style="1" bestFit="1" customWidth="1"/>
    <col min="6" max="6" width="6.5703125" style="1" bestFit="1" customWidth="1"/>
    <col min="7" max="7" width="12.85546875" style="1" bestFit="1" customWidth="1"/>
    <col min="8" max="8" width="20.5703125" style="1" bestFit="1" customWidth="1"/>
    <col min="9" max="9" width="14.140625" style="1" bestFit="1" customWidth="1"/>
    <col min="10" max="10" width="10.5703125" style="1" bestFit="1" customWidth="1"/>
  </cols>
  <sheetData>
    <row r="1" spans="1:10" ht="15.75" customHeight="1" x14ac:dyDescent="0.25">
      <c r="A1" s="9" t="s">
        <v>85</v>
      </c>
    </row>
    <row r="3" spans="1:10" ht="15" customHeight="1" x14ac:dyDescent="0.25">
      <c r="A3" s="5" t="s">
        <v>86</v>
      </c>
      <c r="B3" s="5" t="s">
        <v>87</v>
      </c>
      <c r="C3" s="5" t="s">
        <v>88</v>
      </c>
      <c r="D3" s="5" t="s">
        <v>89</v>
      </c>
      <c r="E3" s="5" t="s">
        <v>90</v>
      </c>
      <c r="F3" s="5" t="s">
        <v>91</v>
      </c>
      <c r="G3" s="5" t="s">
        <v>92</v>
      </c>
      <c r="H3" s="5" t="s">
        <v>93</v>
      </c>
      <c r="I3" s="5" t="s">
        <v>94</v>
      </c>
      <c r="J3" s="5" t="s">
        <v>95</v>
      </c>
    </row>
    <row r="4" spans="1:10" ht="15" customHeight="1" x14ac:dyDescent="0.25">
      <c r="A4" s="6" t="s">
        <v>20</v>
      </c>
      <c r="B4" s="10">
        <f>COUNT(Raw_Data!$D$2:$D$34)</f>
        <v>33</v>
      </c>
      <c r="C4" s="8">
        <f>AVERAGE(Raw_Data!$D$2:$D$34)</f>
        <v>4.4101515151515152</v>
      </c>
      <c r="D4" s="8">
        <f>STDEV(Raw_Data!$D$2:$D$34)</f>
        <v>2.4156279220061521</v>
      </c>
      <c r="E4" s="8">
        <f>MIN(Raw_Data!$D$2:$D$34)</f>
        <v>0.5</v>
      </c>
      <c r="F4" s="8">
        <f>MAX(Raw_Data!$D$2:$D$34)</f>
        <v>11.138</v>
      </c>
      <c r="G4" s="10">
        <f>COUNTIF(Raw_Data!$D$2:$D$34,"&gt;0")</f>
        <v>33</v>
      </c>
      <c r="H4" s="11">
        <f t="shared" ref="H4:H18" si="0">G4/B4*100</f>
        <v>100</v>
      </c>
      <c r="I4" s="10" t="str">
        <f t="shared" ref="I4:I18" si="1">IF(G4=0,"nd",TEXT(C4,"0.00")&amp;" ± "&amp;TEXT(D4,"0.00"))</f>
        <v>4.41 ± 2.42</v>
      </c>
      <c r="J4" s="10" t="str">
        <f t="shared" ref="J4:J18" si="2">IF(G4=0,"nd",IF(E4=0,"nd","" &amp; TEXT(E4,"0.00"))&amp;"–"&amp;TEXT(F4,"0.00"))</f>
        <v>0.50–11.14</v>
      </c>
    </row>
    <row r="5" spans="1:10" ht="15" customHeight="1" x14ac:dyDescent="0.25">
      <c r="A5" s="6" t="s">
        <v>21</v>
      </c>
      <c r="B5" s="10">
        <f>COUNT(Raw_Data!$E$2:$E$34)</f>
        <v>33</v>
      </c>
      <c r="C5" s="8">
        <f>AVERAGE(Raw_Data!$E$2:$E$34)</f>
        <v>5.218399999999999</v>
      </c>
      <c r="D5" s="8">
        <f>STDEV(Raw_Data!$E$2:$E$34)</f>
        <v>3.4028985960501386</v>
      </c>
      <c r="E5" s="8">
        <f>MIN(Raw_Data!$E$2:$E$34)</f>
        <v>0.5</v>
      </c>
      <c r="F5" s="8">
        <f>MAX(Raw_Data!$E$2:$E$34)</f>
        <v>15.7972</v>
      </c>
      <c r="G5" s="10">
        <f>COUNTIF(Raw_Data!$E$2:$E$34,"&gt;0")</f>
        <v>33</v>
      </c>
      <c r="H5" s="11">
        <f t="shared" si="0"/>
        <v>100</v>
      </c>
      <c r="I5" s="10" t="str">
        <f t="shared" si="1"/>
        <v>5.22 ± 3.40</v>
      </c>
      <c r="J5" s="10" t="str">
        <f t="shared" si="2"/>
        <v>0.50–15.80</v>
      </c>
    </row>
    <row r="6" spans="1:10" ht="15" customHeight="1" x14ac:dyDescent="0.25">
      <c r="A6" s="6" t="s">
        <v>22</v>
      </c>
      <c r="B6" s="10">
        <f>COUNT(Raw_Data!$F$2:$F$34)</f>
        <v>33</v>
      </c>
      <c r="C6" s="8">
        <f>AVERAGE(Raw_Data!$F$2:$F$34)</f>
        <v>3.7881515151515157</v>
      </c>
      <c r="D6" s="8">
        <f>STDEV(Raw_Data!$F$2:$F$34)</f>
        <v>2.4956825108726775</v>
      </c>
      <c r="E6" s="8">
        <f>MIN(Raw_Data!$F$2:$F$34)</f>
        <v>0.5</v>
      </c>
      <c r="F6" s="8">
        <f>MAX(Raw_Data!$F$2:$F$34)</f>
        <v>9.5459999999999994</v>
      </c>
      <c r="G6" s="10">
        <f>COUNTIF(Raw_Data!$F$2:$F$34,"&gt;0")</f>
        <v>33</v>
      </c>
      <c r="H6" s="11">
        <f t="shared" si="0"/>
        <v>100</v>
      </c>
      <c r="I6" s="10" t="str">
        <f t="shared" si="1"/>
        <v>3.79 ± 2.50</v>
      </c>
      <c r="J6" s="10" t="str">
        <f t="shared" si="2"/>
        <v>0.50–9.55</v>
      </c>
    </row>
    <row r="7" spans="1:10" ht="15" customHeight="1" x14ac:dyDescent="0.25">
      <c r="A7" s="6" t="s">
        <v>23</v>
      </c>
      <c r="B7" s="10">
        <f>COUNT(Raw_Data!$G$2:$G$34)</f>
        <v>33</v>
      </c>
      <c r="C7" s="8">
        <f>AVERAGE(Raw_Data!$G$2:$G$34)</f>
        <v>4.7992424242424239</v>
      </c>
      <c r="D7" s="8">
        <f>STDEV(Raw_Data!$G$2:$G$34)</f>
        <v>2.7944567342139939</v>
      </c>
      <c r="E7" s="8">
        <f>MIN(Raw_Data!$G$2:$G$34)</f>
        <v>0.5</v>
      </c>
      <c r="F7" s="8">
        <f>MAX(Raw_Data!$G$2:$G$34)</f>
        <v>10.612</v>
      </c>
      <c r="G7" s="10">
        <f>COUNTIF(Raw_Data!$G$2:$G$34,"&gt;0")</f>
        <v>33</v>
      </c>
      <c r="H7" s="11">
        <f t="shared" si="0"/>
        <v>100</v>
      </c>
      <c r="I7" s="10" t="str">
        <f t="shared" si="1"/>
        <v>4.80 ± 2.79</v>
      </c>
      <c r="J7" s="10" t="str">
        <f t="shared" si="2"/>
        <v>0.50–10.61</v>
      </c>
    </row>
    <row r="8" spans="1:10" ht="15" customHeight="1" x14ac:dyDescent="0.25">
      <c r="A8" s="6" t="s">
        <v>24</v>
      </c>
      <c r="B8" s="10">
        <f>COUNT(Raw_Data!$H$2:$H$34)</f>
        <v>33</v>
      </c>
      <c r="C8" s="8">
        <f>AVERAGE(Raw_Data!$H$2:$H$34)</f>
        <v>6.236121212121212</v>
      </c>
      <c r="D8" s="8">
        <f>STDEV(Raw_Data!$H$2:$H$34)</f>
        <v>1.7665885690642491</v>
      </c>
      <c r="E8" s="8">
        <f>MIN(Raw_Data!$H$2:$H$34)</f>
        <v>2.7</v>
      </c>
      <c r="F8" s="8">
        <f>MAX(Raw_Data!$H$2:$H$34)</f>
        <v>9.9830000000000005</v>
      </c>
      <c r="G8" s="10">
        <f>COUNTIF(Raw_Data!$H$2:$H$34,"&gt;0")</f>
        <v>33</v>
      </c>
      <c r="H8" s="11">
        <f t="shared" si="0"/>
        <v>100</v>
      </c>
      <c r="I8" s="10" t="str">
        <f t="shared" si="1"/>
        <v>6.24 ± 1.77</v>
      </c>
      <c r="J8" s="10" t="str">
        <f t="shared" si="2"/>
        <v>2.70–9.98</v>
      </c>
    </row>
    <row r="9" spans="1:10" ht="15" customHeight="1" x14ac:dyDescent="0.25">
      <c r="A9" s="6" t="s">
        <v>25</v>
      </c>
      <c r="B9" s="10">
        <f>COUNT(Raw_Data!$I$2:$I$34)</f>
        <v>33</v>
      </c>
      <c r="C9" s="8">
        <f>AVERAGE(Raw_Data!$I$2:$I$34)</f>
        <v>13.251939393939393</v>
      </c>
      <c r="D9" s="8">
        <f>STDEV(Raw_Data!$I$2:$I$34)</f>
        <v>4.3157644524130498</v>
      </c>
      <c r="E9" s="8">
        <f>MIN(Raw_Data!$I$2:$I$34)</f>
        <v>5.601</v>
      </c>
      <c r="F9" s="8">
        <f>MAX(Raw_Data!$I$2:$I$34)</f>
        <v>23.15</v>
      </c>
      <c r="G9" s="10">
        <f>COUNTIF(Raw_Data!$I$2:$I$34,"&gt;0")</f>
        <v>33</v>
      </c>
      <c r="H9" s="11">
        <f t="shared" si="0"/>
        <v>100</v>
      </c>
      <c r="I9" s="10" t="str">
        <f t="shared" si="1"/>
        <v>13.25 ± 4.32</v>
      </c>
      <c r="J9" s="10" t="str">
        <f t="shared" si="2"/>
        <v>5.60–23.15</v>
      </c>
    </row>
    <row r="10" spans="1:10" ht="15" customHeight="1" x14ac:dyDescent="0.25">
      <c r="A10" s="6" t="s">
        <v>26</v>
      </c>
      <c r="B10" s="10">
        <f>COUNT(Raw_Data!$J$2:$J$34)</f>
        <v>33</v>
      </c>
      <c r="C10" s="8">
        <f>AVERAGE(Raw_Data!$J$2:$J$34)</f>
        <v>4.7611363636363642</v>
      </c>
      <c r="D10" s="8">
        <f>STDEV(Raw_Data!$J$2:$J$34)</f>
        <v>2.1584911804629572</v>
      </c>
      <c r="E10" s="8">
        <f>MIN(Raw_Data!$J$2:$J$34)</f>
        <v>1.3759999999999999</v>
      </c>
      <c r="F10" s="8">
        <f>MAX(Raw_Data!$J$2:$J$34)</f>
        <v>9.4369999999999994</v>
      </c>
      <c r="G10" s="10">
        <f>COUNTIF(Raw_Data!$J$2:$J$34,"&gt;0")</f>
        <v>33</v>
      </c>
      <c r="H10" s="11">
        <f t="shared" si="0"/>
        <v>100</v>
      </c>
      <c r="I10" s="10" t="str">
        <f t="shared" si="1"/>
        <v>4.76 ± 2.16</v>
      </c>
      <c r="J10" s="10" t="str">
        <f t="shared" si="2"/>
        <v>1.38–9.44</v>
      </c>
    </row>
    <row r="11" spans="1:10" ht="15" customHeight="1" x14ac:dyDescent="0.25">
      <c r="A11" s="6" t="s">
        <v>27</v>
      </c>
      <c r="B11" s="10">
        <f>COUNT(Raw_Data!$K$2:$K$34)</f>
        <v>33</v>
      </c>
      <c r="C11" s="8">
        <f>AVERAGE(Raw_Data!$K$2:$K$34)</f>
        <v>8.6328181818181804</v>
      </c>
      <c r="D11" s="8">
        <f>STDEV(Raw_Data!$K$2:$K$34)</f>
        <v>3.7915793168426664</v>
      </c>
      <c r="E11" s="8">
        <f>MIN(Raw_Data!$K$2:$K$34)</f>
        <v>1.9930000000000001</v>
      </c>
      <c r="F11" s="8">
        <f>MAX(Raw_Data!$K$2:$K$34)</f>
        <v>14.618</v>
      </c>
      <c r="G11" s="10">
        <f>COUNTIF(Raw_Data!$K$2:$K$34,"&gt;0")</f>
        <v>33</v>
      </c>
      <c r="H11" s="11">
        <f t="shared" si="0"/>
        <v>100</v>
      </c>
      <c r="I11" s="10" t="str">
        <f t="shared" si="1"/>
        <v>8.63 ± 3.79</v>
      </c>
      <c r="J11" s="10" t="str">
        <f t="shared" si="2"/>
        <v>1.99–14.62</v>
      </c>
    </row>
    <row r="12" spans="1:10" ht="15" customHeight="1" x14ac:dyDescent="0.25">
      <c r="A12" s="6" t="s">
        <v>28</v>
      </c>
      <c r="B12" s="10">
        <f>COUNT(Raw_Data!$L$2:$L$34)</f>
        <v>33</v>
      </c>
      <c r="C12" s="8">
        <f>AVERAGE(Raw_Data!$L$2:$L$34)</f>
        <v>2.0428484848484847</v>
      </c>
      <c r="D12" s="8">
        <f>STDEV(Raw_Data!$L$2:$L$34)</f>
        <v>1.5272575323355777</v>
      </c>
      <c r="E12" s="8">
        <f>MIN(Raw_Data!$L$2:$L$34)</f>
        <v>0.5</v>
      </c>
      <c r="F12" s="8">
        <f>MAX(Raw_Data!$L$2:$L$34)</f>
        <v>5.476</v>
      </c>
      <c r="G12" s="10">
        <f>COUNTIF(Raw_Data!$L$2:$L$34,"&gt;0")</f>
        <v>33</v>
      </c>
      <c r="H12" s="11">
        <f t="shared" si="0"/>
        <v>100</v>
      </c>
      <c r="I12" s="10" t="str">
        <f t="shared" si="1"/>
        <v>2.04 ± 1.53</v>
      </c>
      <c r="J12" s="10" t="str">
        <f t="shared" si="2"/>
        <v>0.50–5.48</v>
      </c>
    </row>
    <row r="13" spans="1:10" ht="15" customHeight="1" x14ac:dyDescent="0.25">
      <c r="A13" s="6" t="s">
        <v>29</v>
      </c>
      <c r="B13" s="10">
        <f>COUNT(Raw_Data!$M$2:$M$34)</f>
        <v>33</v>
      </c>
      <c r="C13" s="8">
        <f>AVERAGE(Raw_Data!$M$2:$M$34)</f>
        <v>4.0948090909090915</v>
      </c>
      <c r="D13" s="8">
        <f>STDEV(Raw_Data!$M$2:$M$34)</f>
        <v>3.6984502636546668</v>
      </c>
      <c r="E13" s="8">
        <f>MIN(Raw_Data!$M$2:$M$34)</f>
        <v>0.5</v>
      </c>
      <c r="F13" s="8">
        <f>MAX(Raw_Data!$M$2:$M$34)</f>
        <v>14.612</v>
      </c>
      <c r="G13" s="10">
        <f>COUNTIF(Raw_Data!$M$2:$M$34,"&gt;0")</f>
        <v>33</v>
      </c>
      <c r="H13" s="11">
        <f t="shared" si="0"/>
        <v>100</v>
      </c>
      <c r="I13" s="10" t="str">
        <f t="shared" si="1"/>
        <v>4.09 ± 3.70</v>
      </c>
      <c r="J13" s="10" t="str">
        <f t="shared" si="2"/>
        <v>0.50–14.61</v>
      </c>
    </row>
    <row r="14" spans="1:10" ht="15" customHeight="1" x14ac:dyDescent="0.25">
      <c r="A14" s="6" t="s">
        <v>30</v>
      </c>
      <c r="B14" s="10">
        <f>COUNT(Raw_Data!$N$2:$N$34)</f>
        <v>33</v>
      </c>
      <c r="C14" s="8">
        <f>AVERAGE(Raw_Data!$N$2:$N$34)</f>
        <v>2.2773006082135741</v>
      </c>
      <c r="D14" s="8">
        <f>STDEV(Raw_Data!$N$2:$N$34)</f>
        <v>1.8628536817245933</v>
      </c>
      <c r="E14" s="8">
        <f>MIN(Raw_Data!$N$2:$N$34)</f>
        <v>0.5</v>
      </c>
      <c r="F14" s="8">
        <f>MAX(Raw_Data!$N$2:$N$34)</f>
        <v>6.7489999999999997</v>
      </c>
      <c r="G14" s="10">
        <f>COUNTIF(Raw_Data!$N$2:$N$34,"&gt;0")</f>
        <v>33</v>
      </c>
      <c r="H14" s="11">
        <f t="shared" si="0"/>
        <v>100</v>
      </c>
      <c r="I14" s="10" t="str">
        <f t="shared" si="1"/>
        <v>2.28 ± 1.86</v>
      </c>
      <c r="J14" s="10" t="str">
        <f t="shared" si="2"/>
        <v>0.50–6.75</v>
      </c>
    </row>
    <row r="15" spans="1:10" ht="15" customHeight="1" x14ac:dyDescent="0.25">
      <c r="A15" s="6" t="s">
        <v>31</v>
      </c>
      <c r="B15" s="10">
        <f>COUNT(Raw_Data!$O$2:$O$34)</f>
        <v>33</v>
      </c>
      <c r="C15" s="8">
        <f>AVERAGE(Raw_Data!$O$2:$O$34)</f>
        <v>3.9256060606060603</v>
      </c>
      <c r="D15" s="8">
        <f>STDEV(Raw_Data!$O$2:$O$34)</f>
        <v>2.4235719885557603</v>
      </c>
      <c r="E15" s="8">
        <f>MIN(Raw_Data!$O$2:$O$34)</f>
        <v>0.5</v>
      </c>
      <c r="F15" s="8">
        <f>MAX(Raw_Data!$O$2:$O$34)</f>
        <v>9.4779999999999998</v>
      </c>
      <c r="G15" s="10">
        <f>COUNTIF(Raw_Data!$O$2:$O$34,"&gt;0")</f>
        <v>33</v>
      </c>
      <c r="H15" s="11">
        <f t="shared" si="0"/>
        <v>100</v>
      </c>
      <c r="I15" s="10" t="str">
        <f t="shared" si="1"/>
        <v>3.93 ± 2.42</v>
      </c>
      <c r="J15" s="10" t="str">
        <f t="shared" si="2"/>
        <v>0.50–9.48</v>
      </c>
    </row>
    <row r="16" spans="1:10" ht="15" customHeight="1" x14ac:dyDescent="0.25">
      <c r="A16" s="6" t="s">
        <v>32</v>
      </c>
      <c r="B16" s="10">
        <f>COUNT(Raw_Data!$P$2:$P$34)</f>
        <v>33</v>
      </c>
      <c r="C16" s="8">
        <f>AVERAGE(Raw_Data!$P$2:$P$34)</f>
        <v>2.5017575757575754</v>
      </c>
      <c r="D16" s="8">
        <f>STDEV(Raw_Data!$P$2:$P$34)</f>
        <v>2.0489792280289079</v>
      </c>
      <c r="E16" s="8">
        <f>MIN(Raw_Data!$P$2:$P$34)</f>
        <v>0.5</v>
      </c>
      <c r="F16" s="8">
        <f>MAX(Raw_Data!$P$2:$P$34)</f>
        <v>6.8460000000000001</v>
      </c>
      <c r="G16" s="10">
        <f>COUNTIF(Raw_Data!$P$2:$P$34,"&gt;0")</f>
        <v>33</v>
      </c>
      <c r="H16" s="11">
        <f t="shared" si="0"/>
        <v>100</v>
      </c>
      <c r="I16" s="10" t="str">
        <f t="shared" si="1"/>
        <v>2.50 ± 2.05</v>
      </c>
      <c r="J16" s="10" t="str">
        <f t="shared" si="2"/>
        <v>0.50–6.85</v>
      </c>
    </row>
    <row r="17" spans="1:10" ht="15" customHeight="1" x14ac:dyDescent="0.25">
      <c r="A17" s="6" t="s">
        <v>33</v>
      </c>
      <c r="B17" s="10">
        <f>COUNT(Raw_Data!$Q$2:$Q$34)</f>
        <v>33</v>
      </c>
      <c r="C17" s="8">
        <f>AVERAGE(Raw_Data!$Q$2:$Q$34)</f>
        <v>4.0036666666666667</v>
      </c>
      <c r="D17" s="8">
        <f>STDEV(Raw_Data!$Q$2:$Q$34)</f>
        <v>2.5960437408038155</v>
      </c>
      <c r="E17" s="8">
        <f>MIN(Raw_Data!$Q$2:$Q$34)</f>
        <v>0.5</v>
      </c>
      <c r="F17" s="8">
        <f>MAX(Raw_Data!$Q$2:$Q$34)</f>
        <v>10.176</v>
      </c>
      <c r="G17" s="10">
        <f>COUNTIF(Raw_Data!$Q$2:$Q$34,"&gt;0")</f>
        <v>33</v>
      </c>
      <c r="H17" s="11">
        <f t="shared" si="0"/>
        <v>100</v>
      </c>
      <c r="I17" s="10" t="str">
        <f t="shared" si="1"/>
        <v>4.00 ± 2.60</v>
      </c>
      <c r="J17" s="10" t="str">
        <f t="shared" si="2"/>
        <v>0.50–10.18</v>
      </c>
    </row>
    <row r="18" spans="1:10" ht="15" customHeight="1" x14ac:dyDescent="0.25">
      <c r="A18" s="6" t="s">
        <v>34</v>
      </c>
      <c r="B18" s="10">
        <f>COUNT(Raw_Data!$R$2:$R$34)</f>
        <v>33</v>
      </c>
      <c r="C18" s="8">
        <f>AVERAGE(Raw_Data!$R$2:$R$34)</f>
        <v>69.943949093062045</v>
      </c>
      <c r="D18" s="8">
        <f>STDEV(Raw_Data!$R$2:$R$34)</f>
        <v>34.218848185566337</v>
      </c>
      <c r="E18" s="8">
        <f>MIN(Raw_Data!$R$2:$R$34)</f>
        <v>17.024000000000001</v>
      </c>
      <c r="F18" s="8">
        <f>MAX(Raw_Data!$R$2:$R$34)</f>
        <v>145.173</v>
      </c>
      <c r="G18" s="10">
        <f>COUNTIF(Raw_Data!$R$2:$R$34,"&gt;0")</f>
        <v>33</v>
      </c>
      <c r="H18" s="11">
        <f t="shared" si="0"/>
        <v>100</v>
      </c>
      <c r="I18" s="10" t="str">
        <f t="shared" si="1"/>
        <v>69.94 ± 34.22</v>
      </c>
      <c r="J18" s="10" t="str">
        <f t="shared" si="2"/>
        <v>17.02–145.17</v>
      </c>
    </row>
    <row r="20" spans="1:10" ht="15" customHeight="1" x14ac:dyDescent="0.25">
      <c r="A20" s="12" t="s">
        <v>96</v>
      </c>
    </row>
    <row r="21" spans="1:10" ht="68.25" customHeight="1" x14ac:dyDescent="0.25">
      <c r="A21" s="5" t="s">
        <v>97</v>
      </c>
      <c r="B21" s="5" t="s">
        <v>98</v>
      </c>
      <c r="C21" s="5" t="s">
        <v>99</v>
      </c>
    </row>
    <row r="22" spans="1:10" ht="15" customHeight="1" x14ac:dyDescent="0.25">
      <c r="A22" s="5" t="s">
        <v>421</v>
      </c>
      <c r="B22" s="8">
        <f>SUM(Raw_Data!$S$2:$S$34)</f>
        <v>1244.2322000000004</v>
      </c>
      <c r="C22" s="11">
        <f>B22/SUM(Raw_Data!$R$2:$R$34)*100</f>
        <v>53.90602982745515</v>
      </c>
    </row>
    <row r="23" spans="1:10" ht="15" customHeight="1" x14ac:dyDescent="0.25">
      <c r="A23" s="5" t="s">
        <v>36</v>
      </c>
      <c r="B23" s="8">
        <f>SUM(Raw_Data!$T$2:$T$34)</f>
        <v>644.54320000000007</v>
      </c>
      <c r="C23" s="11">
        <f>B23/SUM(Raw_Data!$R$2:$R$34)*100</f>
        <v>27.92466306874503</v>
      </c>
    </row>
    <row r="24" spans="1:10" ht="15" customHeight="1" x14ac:dyDescent="0.25">
      <c r="A24" s="5" t="s">
        <v>422</v>
      </c>
      <c r="B24" s="8">
        <f>SUM(Raw_Data!$U$2:$U$34)</f>
        <v>204.69592007104796</v>
      </c>
      <c r="C24" s="11">
        <f>B24/SUM(Raw_Data!$R$2:$R$34)*100</f>
        <v>8.8683964077672019</v>
      </c>
    </row>
    <row r="25" spans="1:10" x14ac:dyDescent="0.25">
      <c r="A25" s="5" t="s">
        <v>423</v>
      </c>
      <c r="B25" s="8">
        <f>SUM(Raw_Data!$V$2:$V$34)</f>
        <v>214.679</v>
      </c>
      <c r="C25" s="11">
        <f>B25/SUM(Raw_Data!$R$2:$R$34)*100</f>
        <v>9.3009106960326537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18"/>
  <sheetViews>
    <sheetView zoomScaleNormal="100" workbookViewId="0">
      <pane xSplit="3" ySplit="3" topLeftCell="AC4" activePane="bottomRight" state="frozen"/>
      <selection pane="topRight" activeCell="D1" sqref="D1"/>
      <selection pane="bottomLeft" activeCell="A4" sqref="A4"/>
      <selection pane="bottomRight" activeCell="AV5" sqref="AV5"/>
    </sheetView>
  </sheetViews>
  <sheetFormatPr defaultColWidth="8.7109375" defaultRowHeight="15" x14ac:dyDescent="0.25"/>
  <cols>
    <col min="1" max="1" width="26" style="1" customWidth="1"/>
    <col min="2" max="2" width="7" style="1" customWidth="1"/>
    <col min="3" max="3" width="5" style="1" customWidth="1"/>
    <col min="4" max="48" width="11" style="1" customWidth="1"/>
  </cols>
  <sheetData>
    <row r="1" spans="1:48" ht="15.75" customHeight="1" x14ac:dyDescent="0.25">
      <c r="A1" s="9" t="s">
        <v>100</v>
      </c>
    </row>
    <row r="3" spans="1:48" ht="34.5" customHeight="1" x14ac:dyDescent="0.25">
      <c r="A3" s="5" t="s">
        <v>101</v>
      </c>
      <c r="B3" s="5" t="s">
        <v>102</v>
      </c>
      <c r="C3" s="5" t="s">
        <v>87</v>
      </c>
      <c r="D3" s="5" t="s">
        <v>103</v>
      </c>
      <c r="E3" s="5" t="s">
        <v>104</v>
      </c>
      <c r="F3" s="5" t="s">
        <v>105</v>
      </c>
      <c r="G3" s="5" t="s">
        <v>106</v>
      </c>
      <c r="H3" s="5" t="s">
        <v>107</v>
      </c>
      <c r="I3" s="5" t="s">
        <v>108</v>
      </c>
      <c r="J3" s="5" t="s">
        <v>109</v>
      </c>
      <c r="K3" s="5" t="s">
        <v>110</v>
      </c>
      <c r="L3" s="5" t="s">
        <v>111</v>
      </c>
      <c r="M3" s="5" t="s">
        <v>112</v>
      </c>
      <c r="N3" s="5" t="s">
        <v>113</v>
      </c>
      <c r="O3" s="5" t="s">
        <v>114</v>
      </c>
      <c r="P3" s="5" t="s">
        <v>115</v>
      </c>
      <c r="Q3" s="5" t="s">
        <v>116</v>
      </c>
      <c r="R3" s="5" t="s">
        <v>117</v>
      </c>
      <c r="S3" s="5" t="s">
        <v>118</v>
      </c>
      <c r="T3" s="5" t="s">
        <v>119</v>
      </c>
      <c r="U3" s="5" t="s">
        <v>120</v>
      </c>
      <c r="V3" s="5" t="s">
        <v>121</v>
      </c>
      <c r="W3" s="5" t="s">
        <v>122</v>
      </c>
      <c r="X3" s="5" t="s">
        <v>123</v>
      </c>
      <c r="Y3" s="5" t="s">
        <v>124</v>
      </c>
      <c r="Z3" s="5" t="s">
        <v>125</v>
      </c>
      <c r="AA3" s="5" t="s">
        <v>126</v>
      </c>
      <c r="AB3" s="5" t="s">
        <v>127</v>
      </c>
      <c r="AC3" s="5" t="s">
        <v>128</v>
      </c>
      <c r="AD3" s="5" t="s">
        <v>129</v>
      </c>
      <c r="AE3" s="5" t="s">
        <v>130</v>
      </c>
      <c r="AF3" s="5" t="s">
        <v>131</v>
      </c>
      <c r="AG3" s="5" t="s">
        <v>132</v>
      </c>
      <c r="AH3" s="13" t="s">
        <v>133</v>
      </c>
      <c r="AI3" s="13" t="s">
        <v>134</v>
      </c>
      <c r="AJ3" s="13" t="s">
        <v>135</v>
      </c>
      <c r="AK3" s="13" t="s">
        <v>136</v>
      </c>
      <c r="AL3" s="13" t="s">
        <v>137</v>
      </c>
      <c r="AM3" s="13" t="s">
        <v>138</v>
      </c>
      <c r="AN3" s="13" t="s">
        <v>139</v>
      </c>
      <c r="AO3" s="13" t="s">
        <v>140</v>
      </c>
      <c r="AP3" s="13" t="s">
        <v>141</v>
      </c>
      <c r="AQ3" s="13" t="s">
        <v>142</v>
      </c>
      <c r="AR3" s="13" t="s">
        <v>143</v>
      </c>
      <c r="AS3" s="13" t="s">
        <v>144</v>
      </c>
      <c r="AT3" s="13" t="s">
        <v>145</v>
      </c>
      <c r="AU3" s="13" t="s">
        <v>146</v>
      </c>
      <c r="AV3" s="13" t="s">
        <v>147</v>
      </c>
    </row>
    <row r="4" spans="1:48" ht="15" customHeight="1" x14ac:dyDescent="0.25">
      <c r="A4" s="6" t="s">
        <v>148</v>
      </c>
      <c r="B4" s="6" t="s">
        <v>149</v>
      </c>
      <c r="C4" s="10">
        <f>COUNT(Raw_Data!$R$2:$R$34)</f>
        <v>33</v>
      </c>
      <c r="D4" s="8">
        <f>AVERAGE(Raw_Data!$D$2:$D$34)</f>
        <v>4.4101515151515152</v>
      </c>
      <c r="E4" s="8">
        <f>AVERAGE(Raw_Data!$E$2:$E$34)</f>
        <v>5.218399999999999</v>
      </c>
      <c r="F4" s="8">
        <f>AVERAGE(Raw_Data!$F$2:$F$34)</f>
        <v>3.7881515151515157</v>
      </c>
      <c r="G4" s="8">
        <f>AVERAGE(Raw_Data!$G$2:$G$34)</f>
        <v>4.7992424242424239</v>
      </c>
      <c r="H4" s="8">
        <f>AVERAGE(Raw_Data!$H$2:$H$34)</f>
        <v>6.236121212121212</v>
      </c>
      <c r="I4" s="8">
        <f>AVERAGE(Raw_Data!$I$2:$I$34)</f>
        <v>13.251939393939393</v>
      </c>
      <c r="J4" s="8">
        <f>AVERAGE(Raw_Data!$J$2:$J$34)</f>
        <v>4.7611363636363642</v>
      </c>
      <c r="K4" s="8">
        <f>AVERAGE(Raw_Data!$K$2:$K$34)</f>
        <v>8.6328181818181804</v>
      </c>
      <c r="L4" s="8">
        <f>AVERAGE(Raw_Data!$L$2:$L$34)</f>
        <v>2.0428484848484847</v>
      </c>
      <c r="M4" s="8">
        <f>AVERAGE(Raw_Data!$M$2:$M$34)</f>
        <v>4.0948090909090915</v>
      </c>
      <c r="N4" s="8">
        <f>AVERAGE(Raw_Data!$N$2:$N$34)</f>
        <v>2.2773006082135741</v>
      </c>
      <c r="O4" s="8">
        <f>AVERAGE(Raw_Data!$O$2:$O$34)</f>
        <v>3.9256060606060603</v>
      </c>
      <c r="P4" s="8">
        <f>AVERAGE(Raw_Data!$P$2:$P$34)</f>
        <v>2.5017575757575754</v>
      </c>
      <c r="Q4" s="8">
        <f>AVERAGE(Raw_Data!$Q$2:$Q$34)</f>
        <v>4.0036666666666667</v>
      </c>
      <c r="R4" s="8">
        <f>AVERAGE(Raw_Data!$R$2:$R$34)</f>
        <v>69.943949093062045</v>
      </c>
      <c r="S4" s="8">
        <f>STDEV(Raw_Data!$D$2:$D$34)</f>
        <v>2.4156279220061521</v>
      </c>
      <c r="T4" s="8">
        <f>STDEV(Raw_Data!$E$2:$E$34)</f>
        <v>3.4028985960501386</v>
      </c>
      <c r="U4" s="8">
        <f>STDEV(Raw_Data!$F$2:$F$34)</f>
        <v>2.4956825108726775</v>
      </c>
      <c r="V4" s="8">
        <f>STDEV(Raw_Data!$G$2:$G$34)</f>
        <v>2.7944567342139939</v>
      </c>
      <c r="W4" s="8">
        <f>STDEV(Raw_Data!$H$2:$H$34)</f>
        <v>1.7665885690642491</v>
      </c>
      <c r="X4" s="8">
        <f>STDEV(Raw_Data!$I$2:$I$34)</f>
        <v>4.3157644524130498</v>
      </c>
      <c r="Y4" s="8">
        <f>STDEV(Raw_Data!$J$2:$J$34)</f>
        <v>2.1584911804629572</v>
      </c>
      <c r="Z4" s="8">
        <f>STDEV(Raw_Data!$K$2:$K$34)</f>
        <v>3.7915793168426664</v>
      </c>
      <c r="AA4" s="8">
        <f>STDEV(Raw_Data!$L$2:$L$34)</f>
        <v>1.5272575323355777</v>
      </c>
      <c r="AB4" s="8">
        <f>STDEV(Raw_Data!$M$2:$M$34)</f>
        <v>3.6984502636546668</v>
      </c>
      <c r="AC4" s="8">
        <f>STDEV(Raw_Data!$N$2:$N$34)</f>
        <v>1.8628536817245933</v>
      </c>
      <c r="AD4" s="8">
        <f>STDEV(Raw_Data!$O$2:$O$34)</f>
        <v>2.4235719885557603</v>
      </c>
      <c r="AE4" s="8">
        <f>STDEV(Raw_Data!$P$2:$P$34)</f>
        <v>2.0489792280289079</v>
      </c>
      <c r="AF4" s="8">
        <f>STDEV(Raw_Data!$Q$2:$Q$34)</f>
        <v>2.5960437408038155</v>
      </c>
      <c r="AG4" s="8">
        <f>STDEV(Raw_Data!$R$2:$R$34)</f>
        <v>34.218848185566337</v>
      </c>
      <c r="AH4" s="8">
        <f>MAX(Raw_Data!$D$2:$D$34)</f>
        <v>11.138</v>
      </c>
      <c r="AI4" s="8">
        <f>MAX(Raw_Data!$E$2:$E$34)</f>
        <v>15.7972</v>
      </c>
      <c r="AJ4" s="8">
        <f>MAX(Raw_Data!$F$2:$F$34)</f>
        <v>9.5459999999999994</v>
      </c>
      <c r="AK4" s="8">
        <f>MAX(Raw_Data!$G$2:$G$34)</f>
        <v>10.612</v>
      </c>
      <c r="AL4" s="8">
        <f>MAX(Raw_Data!$H$2:$H$34)</f>
        <v>9.9830000000000005</v>
      </c>
      <c r="AM4" s="8">
        <f>MAX(Raw_Data!$I$2:$I$34)</f>
        <v>23.15</v>
      </c>
      <c r="AN4" s="8">
        <f>MAX(Raw_Data!$J$2:$J$34)</f>
        <v>9.4369999999999994</v>
      </c>
      <c r="AO4" s="8">
        <f>MAX(Raw_Data!$K$2:$K$34)</f>
        <v>14.618</v>
      </c>
      <c r="AP4" s="8">
        <f>MAX(Raw_Data!$L$2:$L$34)</f>
        <v>5.476</v>
      </c>
      <c r="AQ4" s="8">
        <f>MAX(Raw_Data!$M$2:$M$34)</f>
        <v>14.612</v>
      </c>
      <c r="AR4" s="8">
        <f>MAX(Raw_Data!$N$2:$N$34)</f>
        <v>6.7489999999999997</v>
      </c>
      <c r="AS4" s="8">
        <f>MAX(Raw_Data!$O$2:$O$34)</f>
        <v>9.4779999999999998</v>
      </c>
      <c r="AT4" s="8">
        <f>MAX(Raw_Data!$P$2:$P$34)</f>
        <v>6.8460000000000001</v>
      </c>
      <c r="AU4" s="8">
        <f>MAX(Raw_Data!$Q$2:$Q$34)</f>
        <v>10.176</v>
      </c>
      <c r="AV4" s="8">
        <f>MAX(Raw_Data!$R$2:$R$34)</f>
        <v>145.173</v>
      </c>
    </row>
    <row r="5" spans="1:48" ht="15" customHeight="1" x14ac:dyDescent="0.25">
      <c r="A5" s="6" t="s">
        <v>39</v>
      </c>
      <c r="B5" s="6" t="s">
        <v>18</v>
      </c>
      <c r="C5" s="10">
        <f>COUNTIF(Raw_Data!$B$2:$B$34,$A5)</f>
        <v>9</v>
      </c>
      <c r="D5" s="8">
        <f>AVERAGEIF(Raw_Data!$B$2:$B$34,$A5,Raw_Data!$D$2:$D$34)</f>
        <v>2.6863333333333332</v>
      </c>
      <c r="E5" s="8">
        <f>AVERAGEIF(Raw_Data!$B$2:$B$34,$A5,Raw_Data!$E$2:$E$34)</f>
        <v>3.2575555555555553</v>
      </c>
      <c r="F5" s="8">
        <f>AVERAGEIF(Raw_Data!$B$2:$B$34,$A5,Raw_Data!$F$2:$F$34)</f>
        <v>1.9435555555555557</v>
      </c>
      <c r="G5" s="8">
        <f>AVERAGEIF(Raw_Data!$B$2:$B$34,$A5,Raw_Data!$G$2:$G$34)</f>
        <v>2.5884444444444448</v>
      </c>
      <c r="H5" s="8">
        <f>AVERAGEIF(Raw_Data!$B$2:$B$34,$A5,Raw_Data!$H$2:$H$34)</f>
        <v>4.9057777777777778</v>
      </c>
      <c r="I5" s="8">
        <f>AVERAGEIF(Raw_Data!$B$2:$B$34,$A5,Raw_Data!$I$2:$I$34)</f>
        <v>8.9302222222222216</v>
      </c>
      <c r="J5" s="8">
        <f>AVERAGEIF(Raw_Data!$B$2:$B$34,$A5,Raw_Data!$J$2:$J$34)</f>
        <v>3.4239999999999999</v>
      </c>
      <c r="K5" s="8">
        <f>AVERAGEIF(Raw_Data!$B$2:$B$34,$A5,Raw_Data!$K$2:$K$34)</f>
        <v>6.1875555555555541</v>
      </c>
      <c r="L5" s="8">
        <f>AVERAGEIF(Raw_Data!$B$2:$B$34,$A5,Raw_Data!$L$2:$L$34)</f>
        <v>1.2623333333333333</v>
      </c>
      <c r="M5" s="8">
        <f>AVERAGEIF(Raw_Data!$B$2:$B$34,$A5,Raw_Data!$M$2:$M$34)</f>
        <v>1.5947777777777778</v>
      </c>
      <c r="N5" s="8">
        <f>AVERAGEIF(Raw_Data!$B$2:$B$34,$A5,Raw_Data!$N$2:$N$34)</f>
        <v>1.6134444444444445</v>
      </c>
      <c r="O5" s="8">
        <f>AVERAGEIF(Raw_Data!$B$2:$B$34,$A5,Raw_Data!$O$2:$O$34)</f>
        <v>2.9305555555555554</v>
      </c>
      <c r="P5" s="8">
        <f>AVERAGEIF(Raw_Data!$B$2:$B$34,$A5,Raw_Data!$P$2:$P$34)</f>
        <v>2.1185555555555555</v>
      </c>
      <c r="Q5" s="8">
        <f>AVERAGEIF(Raw_Data!$B$2:$B$34,$A5,Raw_Data!$Q$2:$Q$34)</f>
        <v>3.2303333333333333</v>
      </c>
      <c r="R5" s="8">
        <f>AVERAGEIF(Raw_Data!$B$2:$B$34,$A5,Raw_Data!$R$2:$R$34)</f>
        <v>46.673444444444449</v>
      </c>
      <c r="S5" s="8">
        <f>SQRT(SUMPRODUCT((Raw_Data!$B$2:$B$34=$A5)*(Raw_Data!$D$2:$D$34-D5)^2)/($C5-1))</f>
        <v>2.3857350544433893</v>
      </c>
      <c r="T5" s="8">
        <f>SQRT(SUMPRODUCT((Raw_Data!$B$2:$B$34=$A5)*(Raw_Data!$E$2:$E$34-E5)^2)/($C5-1))</f>
        <v>2.9192526916623334</v>
      </c>
      <c r="U5" s="8">
        <f>SQRT(SUMPRODUCT((Raw_Data!$B$2:$B$34=$A5)*(Raw_Data!$F$2:$F$34-F5)^2)/($C5-1))</f>
        <v>1.3048189636029122</v>
      </c>
      <c r="V5" s="8">
        <f>SQRT(SUMPRODUCT((Raw_Data!$B$2:$B$34=$A5)*(Raw_Data!$G$2:$G$34-G5)^2)/($C5-1))</f>
        <v>1.7987168420231623</v>
      </c>
      <c r="W5" s="8">
        <f>SQRT(SUMPRODUCT((Raw_Data!$B$2:$B$34=$A5)*(Raw_Data!$H$2:$H$34-H5)^2)/($C5-1))</f>
        <v>2.0381595728608799</v>
      </c>
      <c r="X5" s="8">
        <f>SQRT(SUMPRODUCT((Raw_Data!$B$2:$B$34=$A5)*(Raw_Data!$I$2:$I$34-I5)^2)/($C5-1))</f>
        <v>3.3770948971630101</v>
      </c>
      <c r="Y5" s="8">
        <f>SQRT(SUMPRODUCT((Raw_Data!$B$2:$B$34=$A5)*(Raw_Data!$J$2:$J$34-J5)^2)/($C5-1))</f>
        <v>2.0975439208750792</v>
      </c>
      <c r="Z5" s="8">
        <f>SQRT(SUMPRODUCT((Raw_Data!$B$2:$B$34=$A5)*(Raw_Data!$K$2:$K$34-K5)^2)/($C5-1))</f>
        <v>4.4772126404469308</v>
      </c>
      <c r="AA5" s="8">
        <f>SQRT(SUMPRODUCT((Raw_Data!$B$2:$B$34=$A5)*(Raw_Data!$L$2:$L$34-L5)^2)/($C5-1))</f>
        <v>1.1638245142632113</v>
      </c>
      <c r="AB5" s="8">
        <f>SQRT(SUMPRODUCT((Raw_Data!$B$2:$B$34=$A5)*(Raw_Data!$M$2:$M$34-M5)^2)/($C5-1))</f>
        <v>1.6426129929001674</v>
      </c>
      <c r="AC5" s="8">
        <f>SQRT(SUMPRODUCT((Raw_Data!$B$2:$B$34=$A5)*(Raw_Data!$N$2:$N$34-N5)^2)/($C5-1))</f>
        <v>1.6828794602637995</v>
      </c>
      <c r="AD5" s="8">
        <f>SQRT(SUMPRODUCT((Raw_Data!$B$2:$B$34=$A5)*(Raw_Data!$O$2:$O$34-O5)^2)/($C5-1))</f>
        <v>3.0461111318823839</v>
      </c>
      <c r="AE5" s="8">
        <f>SQRT(SUMPRODUCT((Raw_Data!$B$2:$B$34=$A5)*(Raw_Data!$P$2:$P$34-P5)^2)/($C5-1))</f>
        <v>2.4279620626726803</v>
      </c>
      <c r="AF5" s="8">
        <f>SQRT(SUMPRODUCT((Raw_Data!$B$2:$B$34=$A5)*(Raw_Data!$Q$2:$Q$34-Q5)^2)/($C5-1))</f>
        <v>3.0681984127497359</v>
      </c>
      <c r="AG5" s="8">
        <f>SQRT(SUMPRODUCT((Raw_Data!$B$2:$B$34=$A5)*(Raw_Data!$R$2:$R$34-R5)^2)/($C5-1))</f>
        <v>32.449041284416673</v>
      </c>
      <c r="AH5" s="8">
        <f>SUMPRODUCT(MAX((Raw_Data!$B$2:$B$34=$A5)*Raw_Data!$D$2:$D$34))</f>
        <v>6.0979999999999999</v>
      </c>
      <c r="AI5" s="8">
        <f>SUMPRODUCT(MAX((Raw_Data!$B$2:$B$34=$A5)*Raw_Data!$E$2:$E$34))</f>
        <v>7.9909999999999997</v>
      </c>
      <c r="AJ5" s="8">
        <f>SUMPRODUCT(MAX((Raw_Data!$B$2:$B$34=$A5)*Raw_Data!$F$2:$F$34))</f>
        <v>4.0670000000000002</v>
      </c>
      <c r="AK5" s="8">
        <f>SUMPRODUCT(MAX((Raw_Data!$B$2:$B$34=$A5)*Raw_Data!$G$2:$G$34))</f>
        <v>5.2720000000000002</v>
      </c>
      <c r="AL5" s="8">
        <f>SUMPRODUCT(MAX((Raw_Data!$B$2:$B$34=$A5)*Raw_Data!$H$2:$H$34))</f>
        <v>7.431</v>
      </c>
      <c r="AM5" s="8">
        <f>SUMPRODUCT(MAX((Raw_Data!$B$2:$B$34=$A5)*Raw_Data!$I$2:$I$34))</f>
        <v>13.555999999999999</v>
      </c>
      <c r="AN5" s="8">
        <f>SUMPRODUCT(MAX((Raw_Data!$B$2:$B$34=$A5)*Raw_Data!$J$2:$J$34))</f>
        <v>6.47</v>
      </c>
      <c r="AO5" s="8">
        <f>SUMPRODUCT(MAX((Raw_Data!$B$2:$B$34=$A5)*Raw_Data!$K$2:$K$34))</f>
        <v>12.711</v>
      </c>
      <c r="AP5" s="8">
        <f>SUMPRODUCT(MAX((Raw_Data!$B$2:$B$34=$A5)*Raw_Data!$L$2:$L$34))</f>
        <v>3.2869999999999999</v>
      </c>
      <c r="AQ5" s="8">
        <f>SUMPRODUCT(MAX((Raw_Data!$B$2:$B$34=$A5)*Raw_Data!$M$2:$M$34))</f>
        <v>3.8319999999999999</v>
      </c>
      <c r="AR5" s="8">
        <f>SUMPRODUCT(MAX((Raw_Data!$B$2:$B$34=$A5)*Raw_Data!$N$2:$N$34))</f>
        <v>4.3159999999999998</v>
      </c>
      <c r="AS5" s="8">
        <f>SUMPRODUCT(MAX((Raw_Data!$B$2:$B$34=$A5)*Raw_Data!$O$2:$O$34))</f>
        <v>7.7480000000000002</v>
      </c>
      <c r="AT5" s="8">
        <f>SUMPRODUCT(MAX((Raw_Data!$B$2:$B$34=$A5)*Raw_Data!$P$2:$P$34))</f>
        <v>5.3869999999999996</v>
      </c>
      <c r="AU5" s="8">
        <f>SUMPRODUCT(MAX((Raw_Data!$B$2:$B$34=$A5)*Raw_Data!$Q$2:$Q$34))</f>
        <v>7.3390000000000004</v>
      </c>
      <c r="AV5" s="8">
        <f>SUMPRODUCT(MAX((Raw_Data!$B$2:$B$34=$A5)*Raw_Data!$R$2:$R$34))</f>
        <v>93.039000000000001</v>
      </c>
    </row>
    <row r="6" spans="1:48" ht="15" customHeight="1" x14ac:dyDescent="0.25">
      <c r="A6" s="6" t="s">
        <v>52</v>
      </c>
      <c r="B6" s="6" t="s">
        <v>18</v>
      </c>
      <c r="C6" s="10">
        <f>COUNTIF(Raw_Data!$B$2:$B$34,$A6)</f>
        <v>9</v>
      </c>
      <c r="D6" s="8">
        <f>AVERAGEIF(Raw_Data!$B$2:$B$34,$A6,Raw_Data!$D$2:$D$34)</f>
        <v>3.3127777777777774</v>
      </c>
      <c r="E6" s="8">
        <f>AVERAGEIF(Raw_Data!$B$2:$B$34,$A6,Raw_Data!$E$2:$E$34)</f>
        <v>3.6304444444444437</v>
      </c>
      <c r="F6" s="8">
        <f>AVERAGEIF(Raw_Data!$B$2:$B$34,$A6,Raw_Data!$F$2:$F$34)</f>
        <v>2.0500000000000003</v>
      </c>
      <c r="G6" s="8">
        <f>AVERAGEIF(Raw_Data!$B$2:$B$34,$A6,Raw_Data!$G$2:$G$34)</f>
        <v>3.7487777777777782</v>
      </c>
      <c r="H6" s="8">
        <f>AVERAGEIF(Raw_Data!$B$2:$B$34,$A6,Raw_Data!$H$2:$H$34)</f>
        <v>5.772222222222223</v>
      </c>
      <c r="I6" s="8">
        <f>AVERAGEIF(Raw_Data!$B$2:$B$34,$A6,Raw_Data!$I$2:$I$34)</f>
        <v>12.331777777777779</v>
      </c>
      <c r="J6" s="8">
        <f>AVERAGEIF(Raw_Data!$B$2:$B$34,$A6,Raw_Data!$J$2:$J$34)</f>
        <v>3.4182222222222216</v>
      </c>
      <c r="K6" s="8">
        <f>AVERAGEIF(Raw_Data!$B$2:$B$34,$A6,Raw_Data!$K$2:$K$34)</f>
        <v>6.3920000000000003</v>
      </c>
      <c r="L6" s="8">
        <f>AVERAGEIF(Raw_Data!$B$2:$B$34,$A6,Raw_Data!$L$2:$L$34)</f>
        <v>0.8703333333333334</v>
      </c>
      <c r="M6" s="8">
        <f>AVERAGEIF(Raw_Data!$B$2:$B$34,$A6,Raw_Data!$M$2:$M$34)</f>
        <v>2.0175222222222224</v>
      </c>
      <c r="N6" s="8">
        <f>AVERAGEIF(Raw_Data!$B$2:$B$34,$A6,Raw_Data!$N$2:$N$34)</f>
        <v>1.1774355634497731</v>
      </c>
      <c r="O6" s="8">
        <f>AVERAGEIF(Raw_Data!$B$2:$B$34,$A6,Raw_Data!$O$2:$O$34)</f>
        <v>2.8312222222222219</v>
      </c>
      <c r="P6" s="8">
        <f>AVERAGEIF(Raw_Data!$B$2:$B$34,$A6,Raw_Data!$P$2:$P$34)</f>
        <v>1.203111111111111</v>
      </c>
      <c r="Q6" s="8">
        <f>AVERAGEIF(Raw_Data!$B$2:$B$34,$A6,Raw_Data!$Q$2:$Q$34)</f>
        <v>2.3713333333333333</v>
      </c>
      <c r="R6" s="8">
        <f>AVERAGEIF(Raw_Data!$B$2:$B$34,$A6,Raw_Data!$R$2:$R$34)</f>
        <v>51.127180007894218</v>
      </c>
      <c r="S6" s="8">
        <f>SQRT(SUMPRODUCT((Raw_Data!$B$2:$B$34=$A6)*(Raw_Data!$D$2:$D$34-D6)^2)/($C6-1))</f>
        <v>0.58939773875070522</v>
      </c>
      <c r="T6" s="8">
        <f>SQRT(SUMPRODUCT((Raw_Data!$B$2:$B$34=$A6)*(Raw_Data!$E$2:$E$34-E6)^2)/($C6-1))</f>
        <v>0.71840919939667947</v>
      </c>
      <c r="U6" s="8">
        <f>SQRT(SUMPRODUCT((Raw_Data!$B$2:$B$34=$A6)*(Raw_Data!$F$2:$F$34-F6)^2)/($C6-1))</f>
        <v>1.2860729955955066</v>
      </c>
      <c r="V6" s="8">
        <f>SQRT(SUMPRODUCT((Raw_Data!$B$2:$B$34=$A6)*(Raw_Data!$G$2:$G$34-G6)^2)/($C6-1))</f>
        <v>1.0552046931493644</v>
      </c>
      <c r="W6" s="8">
        <f>SQRT(SUMPRODUCT((Raw_Data!$B$2:$B$34=$A6)*(Raw_Data!$H$2:$H$34-H6)^2)/($C6-1))</f>
        <v>0.93336471673427024</v>
      </c>
      <c r="X6" s="8">
        <f>SQRT(SUMPRODUCT((Raw_Data!$B$2:$B$34=$A6)*(Raw_Data!$I$2:$I$34-I6)^2)/($C6-1))</f>
        <v>2.7005908509888061</v>
      </c>
      <c r="Y6" s="8">
        <f>SQRT(SUMPRODUCT((Raw_Data!$B$2:$B$34=$A6)*(Raw_Data!$J$2:$J$34-J6)^2)/($C6-1))</f>
        <v>1.0810242571026998</v>
      </c>
      <c r="Z6" s="8">
        <f>SQRT(SUMPRODUCT((Raw_Data!$B$2:$B$34=$A6)*(Raw_Data!$K$2:$K$34-K6)^2)/($C6-1))</f>
        <v>1.5949177094759464</v>
      </c>
      <c r="AA6" s="8">
        <f>SQRT(SUMPRODUCT((Raw_Data!$B$2:$B$34=$A6)*(Raw_Data!$L$2:$L$34-L6)^2)/($C6-1))</f>
        <v>0.57456766355234445</v>
      </c>
      <c r="AB6" s="8">
        <f>SQRT(SUMPRODUCT((Raw_Data!$B$2:$B$34=$A6)*(Raw_Data!$M$2:$M$34-M6)^2)/($C6-1))</f>
        <v>1.158242862893808</v>
      </c>
      <c r="AC6" s="8">
        <f>SQRT(SUMPRODUCT((Raw_Data!$B$2:$B$34=$A6)*(Raw_Data!$N$2:$N$34-N6)^2)/($C6-1))</f>
        <v>0.66540310107826472</v>
      </c>
      <c r="AD6" s="8">
        <f>SQRT(SUMPRODUCT((Raw_Data!$B$2:$B$34=$A6)*(Raw_Data!$O$2:$O$34-O6)^2)/($C6-1))</f>
        <v>0.76687446459276787</v>
      </c>
      <c r="AE6" s="8">
        <f>SQRT(SUMPRODUCT((Raw_Data!$B$2:$B$34=$A6)*(Raw_Data!$P$2:$P$34-P6)^2)/($C6-1))</f>
        <v>0.66208127228544322</v>
      </c>
      <c r="AF6" s="8">
        <f>SQRT(SUMPRODUCT((Raw_Data!$B$2:$B$34=$A6)*(Raw_Data!$Q$2:$Q$34-Q6)^2)/($C6-1))</f>
        <v>1.4356598657063586</v>
      </c>
      <c r="AG6" s="8">
        <f>SQRT(SUMPRODUCT((Raw_Data!$B$2:$B$34=$A6)*(Raw_Data!$R$2:$R$34-R6)^2)/($C6-1))</f>
        <v>9.720309058592548</v>
      </c>
      <c r="AH6" s="8">
        <f>SUMPRODUCT(MAX((Raw_Data!$B$2:$B$34=$A6)*Raw_Data!$D$2:$D$34))</f>
        <v>4.3520000000000003</v>
      </c>
      <c r="AI6" s="8">
        <f>SUMPRODUCT(MAX((Raw_Data!$B$2:$B$34=$A6)*Raw_Data!$E$2:$E$34))</f>
        <v>4.3540000000000001</v>
      </c>
      <c r="AJ6" s="8">
        <f>SUMPRODUCT(MAX((Raw_Data!$B$2:$B$34=$A6)*Raw_Data!$F$2:$F$34))</f>
        <v>3.7330000000000001</v>
      </c>
      <c r="AK6" s="8">
        <f>SUMPRODUCT(MAX((Raw_Data!$B$2:$B$34=$A6)*Raw_Data!$G$2:$G$34))</f>
        <v>6.1479999999999997</v>
      </c>
      <c r="AL6" s="8">
        <f>SUMPRODUCT(MAX((Raw_Data!$B$2:$B$34=$A6)*Raw_Data!$H$2:$H$34))</f>
        <v>7.4470000000000001</v>
      </c>
      <c r="AM6" s="8">
        <f>SUMPRODUCT(MAX((Raw_Data!$B$2:$B$34=$A6)*Raw_Data!$I$2:$I$34))</f>
        <v>14.781000000000001</v>
      </c>
      <c r="AN6" s="8">
        <f>SUMPRODUCT(MAX((Raw_Data!$B$2:$B$34=$A6)*Raw_Data!$J$2:$J$34))</f>
        <v>5.52</v>
      </c>
      <c r="AO6" s="8">
        <f>SUMPRODUCT(MAX((Raw_Data!$B$2:$B$34=$A6)*Raw_Data!$K$2:$K$34))</f>
        <v>8.3119999999999994</v>
      </c>
      <c r="AP6" s="8">
        <f>SUMPRODUCT(MAX((Raw_Data!$B$2:$B$34=$A6)*Raw_Data!$L$2:$L$34))</f>
        <v>1.9359999999999999</v>
      </c>
      <c r="AQ6" s="8">
        <f>SUMPRODUCT(MAX((Raw_Data!$B$2:$B$34=$A6)*Raw_Data!$M$2:$M$34))</f>
        <v>3.3069999999999999</v>
      </c>
      <c r="AR6" s="8">
        <f>SUMPRODUCT(MAX((Raw_Data!$B$2:$B$34=$A6)*Raw_Data!$N$2:$N$34))</f>
        <v>1.9670000000000001</v>
      </c>
      <c r="AS6" s="8">
        <f>SUMPRODUCT(MAX((Raw_Data!$B$2:$B$34=$A6)*Raw_Data!$O$2:$O$34))</f>
        <v>3.6469999999999998</v>
      </c>
      <c r="AT6" s="8">
        <f>SUMPRODUCT(MAX((Raw_Data!$B$2:$B$34=$A6)*Raw_Data!$P$2:$P$34))</f>
        <v>2.2730000000000001</v>
      </c>
      <c r="AU6" s="8">
        <f>SUMPRODUCT(MAX((Raw_Data!$B$2:$B$34=$A6)*Raw_Data!$Q$2:$Q$34))</f>
        <v>3.8839999999999999</v>
      </c>
      <c r="AV6" s="8">
        <f>SUMPRODUCT(MAX((Raw_Data!$B$2:$B$34=$A6)*Raw_Data!$R$2:$R$34))</f>
        <v>64.308999999999997</v>
      </c>
    </row>
    <row r="7" spans="1:48" ht="15" customHeight="1" x14ac:dyDescent="0.25">
      <c r="A7" s="6" t="s">
        <v>65</v>
      </c>
      <c r="B7" s="6" t="s">
        <v>18</v>
      </c>
      <c r="C7" s="10">
        <f>COUNTIF(Raw_Data!$B$2:$B$34,$A7)</f>
        <v>15</v>
      </c>
      <c r="D7" s="8">
        <f>AVERAGEIF(Raw_Data!$B$2:$B$34,$A7,Raw_Data!$D$2:$D$34)</f>
        <v>6.1028666666666664</v>
      </c>
      <c r="E7" s="8">
        <f>AVERAGEIF(Raw_Data!$B$2:$B$34,$A7,Raw_Data!$E$2:$E$34)</f>
        <v>7.3476799999999995</v>
      </c>
      <c r="F7" s="8">
        <f>AVERAGEIF(Raw_Data!$B$2:$B$34,$A7,Raw_Data!$F$2:$F$34)</f>
        <v>5.9378000000000002</v>
      </c>
      <c r="G7" s="8">
        <f>AVERAGEIF(Raw_Data!$B$2:$B$34,$A7,Raw_Data!$G$2:$G$34)</f>
        <v>6.7560000000000002</v>
      </c>
      <c r="H7" s="8">
        <f>AVERAGEIF(Raw_Data!$B$2:$B$34,$A7,Raw_Data!$H$2:$H$34)</f>
        <v>7.3126666666666669</v>
      </c>
      <c r="I7" s="8">
        <f>AVERAGEIF(Raw_Data!$B$2:$B$34,$A7,Raw_Data!$I$2:$I$34)</f>
        <v>16.397066666666671</v>
      </c>
      <c r="J7" s="8">
        <f>AVERAGEIF(Raw_Data!$B$2:$B$34,$A7,Raw_Data!$J$2:$J$34)</f>
        <v>6.3691666666666675</v>
      </c>
      <c r="K7" s="8">
        <f>AVERAGEIF(Raw_Data!$B$2:$B$34,$A7,Raw_Data!$K$2:$K$34)</f>
        <v>11.444466666666667</v>
      </c>
      <c r="L7" s="8">
        <f>AVERAGEIF(Raw_Data!$B$2:$B$34,$A7,Raw_Data!$L$2:$L$34)</f>
        <v>3.2146666666666666</v>
      </c>
      <c r="M7" s="8">
        <f>AVERAGEIF(Raw_Data!$B$2:$B$34,$A7,Raw_Data!$M$2:$M$34)</f>
        <v>6.8411999999999988</v>
      </c>
      <c r="N7" s="8">
        <f>AVERAGEIF(Raw_Data!$B$2:$B$34,$A7,Raw_Data!$N$2:$N$34)</f>
        <v>3.3355333333333332</v>
      </c>
      <c r="O7" s="8">
        <f>AVERAGEIF(Raw_Data!$B$2:$B$34,$A7,Raw_Data!$O$2:$O$34)</f>
        <v>5.179266666666666</v>
      </c>
      <c r="P7" s="8">
        <f>AVERAGEIF(Raw_Data!$B$2:$B$34,$A7,Raw_Data!$P$2:$P$34)</f>
        <v>3.5108666666666664</v>
      </c>
      <c r="Q7" s="8">
        <f>AVERAGEIF(Raw_Data!$B$2:$B$34,$A7,Raw_Data!$Q$2:$Q$34)</f>
        <v>5.4470666666666663</v>
      </c>
      <c r="R7" s="8">
        <f>AVERAGEIF(Raw_Data!$B$2:$B$34,$A7,Raw_Data!$R$2:$R$34)</f>
        <v>95.196313333333336</v>
      </c>
      <c r="S7" s="8">
        <f>SQRT(SUMPRODUCT((Raw_Data!$B$2:$B$34=$A7)*(Raw_Data!$D$2:$D$34-D7)^2)/($C7-1))</f>
        <v>2.0328379131038417</v>
      </c>
      <c r="T7" s="8">
        <f>SQRT(SUMPRODUCT((Raw_Data!$B$2:$B$34=$A7)*(Raw_Data!$E$2:$E$34-E7)^2)/($C7-1))</f>
        <v>3.5146600638712457</v>
      </c>
      <c r="U7" s="8">
        <f>SQRT(SUMPRODUCT((Raw_Data!$B$2:$B$34=$A7)*(Raw_Data!$F$2:$F$34-F7)^2)/($C7-1))</f>
        <v>1.7993914526861572</v>
      </c>
      <c r="V7" s="8">
        <f>SQRT(SUMPRODUCT((Raw_Data!$B$2:$B$34=$A7)*(Raw_Data!$G$2:$G$34-G7)^2)/($C7-1))</f>
        <v>2.7221771748783312</v>
      </c>
      <c r="W7" s="8">
        <f>SQRT(SUMPRODUCT((Raw_Data!$B$2:$B$34=$A7)*(Raw_Data!$H$2:$H$34-H7)^2)/($C7-1))</f>
        <v>1.320584755037743</v>
      </c>
      <c r="X7" s="8">
        <f>SQRT(SUMPRODUCT((Raw_Data!$B$2:$B$34=$A7)*(Raw_Data!$I$2:$I$34-I7)^2)/($C7-1))</f>
        <v>2.9562262253146483</v>
      </c>
      <c r="Y7" s="8">
        <f>SQRT(SUMPRODUCT((Raw_Data!$B$2:$B$34=$A7)*(Raw_Data!$J$2:$J$34-J7)^2)/($C7-1))</f>
        <v>1.5454003603628168</v>
      </c>
      <c r="Z7" s="8">
        <f>SQRT(SUMPRODUCT((Raw_Data!$B$2:$B$34=$A7)*(Raw_Data!$K$2:$K$34-K7)^2)/($C7-1))</f>
        <v>2.0999167965376517</v>
      </c>
      <c r="AA7" s="8">
        <f>SQRT(SUMPRODUCT((Raw_Data!$B$2:$B$34=$A7)*(Raw_Data!$L$2:$L$34-L7)^2)/($C7-1))</f>
        <v>1.2736406011714532</v>
      </c>
      <c r="AB7" s="8">
        <f>SQRT(SUMPRODUCT((Raw_Data!$B$2:$B$34=$A7)*(Raw_Data!$M$2:$M$34-M7)^2)/($C7-1))</f>
        <v>3.7527896899696978</v>
      </c>
      <c r="AC7" s="8">
        <f>SQRT(SUMPRODUCT((Raw_Data!$B$2:$B$34=$A7)*(Raw_Data!$N$2:$N$34-N7)^2)/($C7-1))</f>
        <v>1.9493018115163574</v>
      </c>
      <c r="AD7" s="8">
        <f>SQRT(SUMPRODUCT((Raw_Data!$B$2:$B$34=$A7)*(Raw_Data!$O$2:$O$34-O7)^2)/($C7-1))</f>
        <v>2.1672585535868207</v>
      </c>
      <c r="AE7" s="8">
        <f>SQRT(SUMPRODUCT((Raw_Data!$B$2:$B$34=$A7)*(Raw_Data!$P$2:$P$34-P7)^2)/($C7-1))</f>
        <v>1.9254840158355238</v>
      </c>
      <c r="AF7" s="8">
        <f>SQRT(SUMPRODUCT((Raw_Data!$B$2:$B$34=$A7)*(Raw_Data!$Q$2:$Q$34-Q7)^2)/($C7-1))</f>
        <v>2.125498780678706</v>
      </c>
      <c r="AG7" s="8">
        <f>SQRT(SUMPRODUCT((Raw_Data!$B$2:$B$34=$A7)*(Raw_Data!$R$2:$R$34-R7)^2)/($C7-1))</f>
        <v>27.600253110145481</v>
      </c>
      <c r="AH7" s="8">
        <f>SUMPRODUCT(MAX((Raw_Data!$B$2:$B$34=$A7)*Raw_Data!$D$2:$D$34))</f>
        <v>11.138</v>
      </c>
      <c r="AI7" s="8">
        <f>SUMPRODUCT(MAX((Raw_Data!$B$2:$B$34=$A7)*Raw_Data!$E$2:$E$34))</f>
        <v>15.7972</v>
      </c>
      <c r="AJ7" s="8">
        <f>SUMPRODUCT(MAX((Raw_Data!$B$2:$B$34=$A7)*Raw_Data!$F$2:$F$34))</f>
        <v>9.5459999999999994</v>
      </c>
      <c r="AK7" s="8">
        <f>SUMPRODUCT(MAX((Raw_Data!$B$2:$B$34=$A7)*Raw_Data!$G$2:$G$34))</f>
        <v>10.612</v>
      </c>
      <c r="AL7" s="8">
        <f>SUMPRODUCT(MAX((Raw_Data!$B$2:$B$34=$A7)*Raw_Data!$H$2:$H$34))</f>
        <v>9.9830000000000005</v>
      </c>
      <c r="AM7" s="8">
        <f>SUMPRODUCT(MAX((Raw_Data!$B$2:$B$34=$A7)*Raw_Data!$I$2:$I$34))</f>
        <v>23.15</v>
      </c>
      <c r="AN7" s="8">
        <f>SUMPRODUCT(MAX((Raw_Data!$B$2:$B$34=$A7)*Raw_Data!$J$2:$J$34))</f>
        <v>9.4369999999999994</v>
      </c>
      <c r="AO7" s="8">
        <f>SUMPRODUCT(MAX((Raw_Data!$B$2:$B$34=$A7)*Raw_Data!$K$2:$K$34))</f>
        <v>14.618</v>
      </c>
      <c r="AP7" s="8">
        <f>SUMPRODUCT(MAX((Raw_Data!$B$2:$B$34=$A7)*Raw_Data!$L$2:$L$34))</f>
        <v>5.476</v>
      </c>
      <c r="AQ7" s="8">
        <f>SUMPRODUCT(MAX((Raw_Data!$B$2:$B$34=$A7)*Raw_Data!$M$2:$M$34))</f>
        <v>14.612</v>
      </c>
      <c r="AR7" s="8">
        <f>SUMPRODUCT(MAX((Raw_Data!$B$2:$B$34=$A7)*Raw_Data!$N$2:$N$34))</f>
        <v>6.7489999999999997</v>
      </c>
      <c r="AS7" s="8">
        <f>SUMPRODUCT(MAX((Raw_Data!$B$2:$B$34=$A7)*Raw_Data!$O$2:$O$34))</f>
        <v>9.4779999999999998</v>
      </c>
      <c r="AT7" s="8">
        <f>SUMPRODUCT(MAX((Raw_Data!$B$2:$B$34=$A7)*Raw_Data!$P$2:$P$34))</f>
        <v>6.8460000000000001</v>
      </c>
      <c r="AU7" s="8">
        <f>SUMPRODUCT(MAX((Raw_Data!$B$2:$B$34=$A7)*Raw_Data!$Q$2:$Q$34))</f>
        <v>10.176</v>
      </c>
      <c r="AV7" s="8">
        <f>SUMPRODUCT(MAX((Raw_Data!$B$2:$B$34=$A7)*Raw_Data!$R$2:$R$34))</f>
        <v>145.173</v>
      </c>
    </row>
    <row r="8" spans="1:48" ht="15" customHeight="1" x14ac:dyDescent="0.25">
      <c r="A8" s="6" t="s">
        <v>40</v>
      </c>
      <c r="B8" s="6" t="s">
        <v>19</v>
      </c>
      <c r="C8" s="10">
        <f>COUNTIF(Raw_Data!$C$2:$C$34,$A8)</f>
        <v>3</v>
      </c>
      <c r="D8" s="8">
        <f>AVERAGEIF(Raw_Data!$C$2:$C$34,$A8,Raw_Data!$D$2:$D$34)</f>
        <v>1.83</v>
      </c>
      <c r="E8" s="8">
        <f>AVERAGEIF(Raw_Data!$C$2:$C$34,$A8,Raw_Data!$E$2:$E$34)</f>
        <v>2.4656666666666669</v>
      </c>
      <c r="F8" s="8">
        <f>AVERAGEIF(Raw_Data!$C$2:$C$34,$A8,Raw_Data!$F$2:$F$34)</f>
        <v>1.9063333333333334</v>
      </c>
      <c r="G8" s="8">
        <f>AVERAGEIF(Raw_Data!$C$2:$C$34,$A8,Raw_Data!$G$2:$G$34)</f>
        <v>3.0326666666666671</v>
      </c>
      <c r="H8" s="8">
        <f>AVERAGEIF(Raw_Data!$C$2:$C$34,$A8,Raw_Data!$H$2:$H$34)</f>
        <v>4.4896666666666674</v>
      </c>
      <c r="I8" s="8">
        <f>AVERAGEIF(Raw_Data!$C$2:$C$34,$A8,Raw_Data!$I$2:$I$34)</f>
        <v>7.6759999999999993</v>
      </c>
      <c r="J8" s="8">
        <f>AVERAGEIF(Raw_Data!$C$2:$C$34,$A8,Raw_Data!$J$2:$J$34)</f>
        <v>2.7520000000000002</v>
      </c>
      <c r="K8" s="8">
        <f>AVERAGEIF(Raw_Data!$C$2:$C$34,$A8,Raw_Data!$K$2:$K$34)</f>
        <v>4.1206666666666658</v>
      </c>
      <c r="L8" s="8">
        <f>AVERAGEIF(Raw_Data!$C$2:$C$34,$A8,Raw_Data!$L$2:$L$34)</f>
        <v>0.5</v>
      </c>
      <c r="M8" s="8">
        <f>AVERAGEIF(Raw_Data!$C$2:$C$34,$A8,Raw_Data!$M$2:$M$34)</f>
        <v>0.5</v>
      </c>
      <c r="N8" s="8">
        <f>AVERAGEIF(Raw_Data!$C$2:$C$34,$A8,Raw_Data!$N$2:$N$34)</f>
        <v>0.5</v>
      </c>
      <c r="O8" s="8">
        <f>AVERAGEIF(Raw_Data!$C$2:$C$34,$A8,Raw_Data!$O$2:$O$34)</f>
        <v>1.43</v>
      </c>
      <c r="P8" s="8">
        <f>AVERAGEIF(Raw_Data!$C$2:$C$34,$A8,Raw_Data!$P$2:$P$34)</f>
        <v>0.5</v>
      </c>
      <c r="Q8" s="8">
        <f>AVERAGEIF(Raw_Data!$C$2:$C$34,$A8,Raw_Data!$Q$2:$Q$34)</f>
        <v>1.9633333333333336</v>
      </c>
      <c r="R8" s="8">
        <f>AVERAGEIF(Raw_Data!$C$2:$C$34,$A8,Raw_Data!$R$2:$R$34)</f>
        <v>33.666333333333334</v>
      </c>
      <c r="S8" s="8">
        <f>SQRT(SUMPRODUCT((Raw_Data!$C$2:$C$34=$A8)*(Raw_Data!$D$2:$D$34-D8)^2)/($C8-1))</f>
        <v>0.65043293274556757</v>
      </c>
      <c r="T8" s="8">
        <f>SQRT(SUMPRODUCT((Raw_Data!$C$2:$C$34=$A8)*(Raw_Data!$E$2:$E$34-E8)^2)/($C8-1))</f>
        <v>0.54216448918509341</v>
      </c>
      <c r="U8" s="8">
        <f>SQRT(SUMPRODUCT((Raw_Data!$C$2:$C$34=$A8)*(Raw_Data!$F$2:$F$34-F8)^2)/($C8-1))</f>
        <v>0.28746014216467186</v>
      </c>
      <c r="V8" s="8">
        <f>SQRT(SUMPRODUCT((Raw_Data!$C$2:$C$34=$A8)*(Raw_Data!$G$2:$G$34-G8)^2)/($C8-1))</f>
        <v>1.0831677309324412</v>
      </c>
      <c r="W8" s="8">
        <f>SQRT(SUMPRODUCT((Raw_Data!$C$2:$C$34=$A8)*(Raw_Data!$H$2:$H$34-H8)^2)/($C8-1))</f>
        <v>0.72031544016030469</v>
      </c>
      <c r="X8" s="8">
        <f>SQRT(SUMPRODUCT((Raw_Data!$C$2:$C$34=$A8)*(Raw_Data!$I$2:$I$34-I8)^2)/($C8-1))</f>
        <v>1.1092515494692803</v>
      </c>
      <c r="Y8" s="8">
        <f>SQRT(SUMPRODUCT((Raw_Data!$C$2:$C$34=$A8)*(Raw_Data!$J$2:$J$34-J8)^2)/($C8-1))</f>
        <v>5.1739733281106141E-2</v>
      </c>
      <c r="Z8" s="8">
        <f>SQRT(SUMPRODUCT((Raw_Data!$C$2:$C$34=$A8)*(Raw_Data!$K$2:$K$34-K8)^2)/($C8-1))</f>
        <v>1.0476174556264959</v>
      </c>
      <c r="AA8" s="8">
        <f>SQRT(SUMPRODUCT((Raw_Data!$C$2:$C$34=$A8)*(Raw_Data!$L$2:$L$34-L8)^2)/($C8-1))</f>
        <v>0</v>
      </c>
      <c r="AB8" s="8">
        <f>SQRT(SUMPRODUCT((Raw_Data!$C$2:$C$34=$A8)*(Raw_Data!$M$2:$M$34-M8)^2)/($C8-1))</f>
        <v>0</v>
      </c>
      <c r="AC8" s="8">
        <f>SQRT(SUMPRODUCT((Raw_Data!$C$2:$C$34=$A8)*(Raw_Data!$N$2:$N$34-N8)^2)/($C8-1))</f>
        <v>0</v>
      </c>
      <c r="AD8" s="8">
        <f>SQRT(SUMPRODUCT((Raw_Data!$C$2:$C$34=$A8)*(Raw_Data!$O$2:$O$34-O8)^2)/($C8-1))</f>
        <v>0.12509596316428448</v>
      </c>
      <c r="AE8" s="8">
        <f>SQRT(SUMPRODUCT((Raw_Data!$C$2:$C$34=$A8)*(Raw_Data!$P$2:$P$34-P8)^2)/($C8-1))</f>
        <v>0</v>
      </c>
      <c r="AF8" s="8">
        <f>SQRT(SUMPRODUCT((Raw_Data!$C$2:$C$34=$A8)*(Raw_Data!$Q$2:$Q$34-Q8)^2)/($C8-1))</f>
        <v>0.29510054783638301</v>
      </c>
      <c r="AG8" s="8">
        <f>SQRT(SUMPRODUCT((Raw_Data!$C$2:$C$34=$A8)*(Raw_Data!$R$2:$R$34-R8)^2)/($C8-1))</f>
        <v>2.9342558397885679</v>
      </c>
      <c r="AH8" s="8">
        <f>SUMPRODUCT(MAX((Raw_Data!$C$2:$C$34=$A8)*Raw_Data!$D$2:$D$34))</f>
        <v>2.2709999999999999</v>
      </c>
      <c r="AI8" s="8">
        <f>SUMPRODUCT(MAX((Raw_Data!$C$2:$C$34=$A8)*Raw_Data!$E$2:$E$34))</f>
        <v>2.887</v>
      </c>
      <c r="AJ8" s="8">
        <f>SUMPRODUCT(MAX((Raw_Data!$C$2:$C$34=$A8)*Raw_Data!$F$2:$F$34))</f>
        <v>2.2130000000000001</v>
      </c>
      <c r="AK8" s="8">
        <f>SUMPRODUCT(MAX((Raw_Data!$C$2:$C$34=$A8)*Raw_Data!$G$2:$G$34))</f>
        <v>3.8130000000000002</v>
      </c>
      <c r="AL8" s="8">
        <f>SUMPRODUCT(MAX((Raw_Data!$C$2:$C$34=$A8)*Raw_Data!$H$2:$H$34))</f>
        <v>5.1340000000000003</v>
      </c>
      <c r="AM8" s="8">
        <f>SUMPRODUCT(MAX((Raw_Data!$C$2:$C$34=$A8)*Raw_Data!$I$2:$I$34))</f>
        <v>8.5429999999999993</v>
      </c>
      <c r="AN8" s="8">
        <f>SUMPRODUCT(MAX((Raw_Data!$C$2:$C$34=$A8)*Raw_Data!$J$2:$J$34))</f>
        <v>2.8090000000000002</v>
      </c>
      <c r="AO8" s="8">
        <f>SUMPRODUCT(MAX((Raw_Data!$C$2:$C$34=$A8)*Raw_Data!$K$2:$K$34))</f>
        <v>5.3289999999999997</v>
      </c>
      <c r="AP8" s="8">
        <f>SUMPRODUCT(MAX((Raw_Data!$C$2:$C$34=$A8)*Raw_Data!$L$2:$L$34))</f>
        <v>0.5</v>
      </c>
      <c r="AQ8" s="8">
        <f>SUMPRODUCT(MAX((Raw_Data!$C$2:$C$34=$A8)*Raw_Data!$M$2:$M$34))</f>
        <v>0.5</v>
      </c>
      <c r="AR8" s="8">
        <f>SUMPRODUCT(MAX((Raw_Data!$C$2:$C$34=$A8)*Raw_Data!$N$2:$N$34))</f>
        <v>0.5</v>
      </c>
      <c r="AS8" s="8">
        <f>SUMPRODUCT(MAX((Raw_Data!$C$2:$C$34=$A8)*Raw_Data!$O$2:$O$34))</f>
        <v>1.542</v>
      </c>
      <c r="AT8" s="8">
        <f>SUMPRODUCT(MAX((Raw_Data!$C$2:$C$34=$A8)*Raw_Data!$P$2:$P$34))</f>
        <v>0.5</v>
      </c>
      <c r="AU8" s="8">
        <f>SUMPRODUCT(MAX((Raw_Data!$C$2:$C$34=$A8)*Raw_Data!$Q$2:$Q$34))</f>
        <v>2.2160000000000002</v>
      </c>
      <c r="AV8" s="8">
        <f>SUMPRODUCT(MAX((Raw_Data!$C$2:$C$34=$A8)*Raw_Data!$R$2:$R$34))</f>
        <v>36.054999999999993</v>
      </c>
    </row>
    <row r="9" spans="1:48" ht="15" customHeight="1" x14ac:dyDescent="0.25">
      <c r="A9" s="6" t="s">
        <v>44</v>
      </c>
      <c r="B9" s="6" t="s">
        <v>19</v>
      </c>
      <c r="C9" s="10">
        <f>COUNTIF(Raw_Data!$C$2:$C$34,$A9)</f>
        <v>3</v>
      </c>
      <c r="D9" s="8">
        <f>AVERAGEIF(Raw_Data!$C$2:$C$34,$A9,Raw_Data!$D$2:$D$34)</f>
        <v>0.5</v>
      </c>
      <c r="E9" s="8">
        <f>AVERAGEIF(Raw_Data!$C$2:$C$34,$A9,Raw_Data!$E$2:$E$34)</f>
        <v>0.5</v>
      </c>
      <c r="F9" s="8">
        <f>AVERAGEIF(Raw_Data!$C$2:$C$34,$A9,Raw_Data!$F$2:$F$34)</f>
        <v>0.5</v>
      </c>
      <c r="G9" s="8">
        <f>AVERAGEIF(Raw_Data!$C$2:$C$34,$A9,Raw_Data!$G$2:$G$34)</f>
        <v>0.5</v>
      </c>
      <c r="H9" s="8">
        <f>AVERAGEIF(Raw_Data!$C$2:$C$34,$A9,Raw_Data!$H$2:$H$34)</f>
        <v>2.8270000000000004</v>
      </c>
      <c r="I9" s="8">
        <f>AVERAGEIF(Raw_Data!$C$2:$C$34,$A9,Raw_Data!$I$2:$I$34)</f>
        <v>5.8826666666666663</v>
      </c>
      <c r="J9" s="8">
        <f>AVERAGEIF(Raw_Data!$C$2:$C$34,$A9,Raw_Data!$J$2:$J$34)</f>
        <v>1.421</v>
      </c>
      <c r="K9" s="8">
        <f>AVERAGEIF(Raw_Data!$C$2:$C$34,$A9,Raw_Data!$K$2:$K$34)</f>
        <v>2.4376666666666669</v>
      </c>
      <c r="L9" s="8">
        <f>AVERAGEIF(Raw_Data!$C$2:$C$34,$A9,Raw_Data!$L$2:$L$34)</f>
        <v>0.5</v>
      </c>
      <c r="M9" s="8">
        <f>AVERAGEIF(Raw_Data!$C$2:$C$34,$A9,Raw_Data!$M$2:$M$34)</f>
        <v>0.5</v>
      </c>
      <c r="N9" s="8">
        <f>AVERAGEIF(Raw_Data!$C$2:$C$34,$A9,Raw_Data!$N$2:$N$34)</f>
        <v>0.5</v>
      </c>
      <c r="O9" s="8">
        <f>AVERAGEIF(Raw_Data!$C$2:$C$34,$A9,Raw_Data!$O$2:$O$34)</f>
        <v>0.5</v>
      </c>
      <c r="P9" s="8">
        <f>AVERAGEIF(Raw_Data!$C$2:$C$34,$A9,Raw_Data!$P$2:$P$34)</f>
        <v>0.5</v>
      </c>
      <c r="Q9" s="8">
        <f>AVERAGEIF(Raw_Data!$C$2:$C$34,$A9,Raw_Data!$Q$2:$Q$34)</f>
        <v>0.5</v>
      </c>
      <c r="R9" s="8">
        <f>AVERAGEIF(Raw_Data!$C$2:$C$34,$A9,Raw_Data!$R$2:$R$34)</f>
        <v>17.568333333333332</v>
      </c>
      <c r="S9" s="8">
        <f>SQRT(SUMPRODUCT((Raw_Data!$C$2:$C$34=$A9)*(Raw_Data!$D$2:$D$34-D9)^2)/($C9-1))</f>
        <v>0</v>
      </c>
      <c r="T9" s="8">
        <f>SQRT(SUMPRODUCT((Raw_Data!$C$2:$C$34=$A9)*(Raw_Data!$E$2:$E$34-E9)^2)/($C9-1))</f>
        <v>0</v>
      </c>
      <c r="U9" s="8">
        <f>SQRT(SUMPRODUCT((Raw_Data!$C$2:$C$34=$A9)*(Raw_Data!$F$2:$F$34-F9)^2)/($C9-1))</f>
        <v>0</v>
      </c>
      <c r="V9" s="8">
        <f>SQRT(SUMPRODUCT((Raw_Data!$C$2:$C$34=$A9)*(Raw_Data!$G$2:$G$34-G9)^2)/($C9-1))</f>
        <v>0</v>
      </c>
      <c r="W9" s="8">
        <f>SQRT(SUMPRODUCT((Raw_Data!$C$2:$C$34=$A9)*(Raw_Data!$H$2:$H$34-H9)^2)/($C9-1))</f>
        <v>0.12957237359869575</v>
      </c>
      <c r="X9" s="8">
        <f>SQRT(SUMPRODUCT((Raw_Data!$C$2:$C$34=$A9)*(Raw_Data!$I$2:$I$34-I9)^2)/($C9-1))</f>
        <v>0.26946675738081927</v>
      </c>
      <c r="Y9" s="8">
        <f>SQRT(SUMPRODUCT((Raw_Data!$C$2:$C$34=$A9)*(Raw_Data!$J$2:$J$34-J9)^2)/($C9-1))</f>
        <v>4.7696960070847387E-2</v>
      </c>
      <c r="Z9" s="8">
        <f>SQRT(SUMPRODUCT((Raw_Data!$C$2:$C$34=$A9)*(Raw_Data!$K$2:$K$34-K9)^2)/($C9-1))</f>
        <v>0.47378511303473142</v>
      </c>
      <c r="AA9" s="8">
        <f>SQRT(SUMPRODUCT((Raw_Data!$C$2:$C$34=$A9)*(Raw_Data!$L$2:$L$34-L9)^2)/($C9-1))</f>
        <v>0</v>
      </c>
      <c r="AB9" s="8">
        <f>SQRT(SUMPRODUCT((Raw_Data!$C$2:$C$34=$A9)*(Raw_Data!$M$2:$M$34-M9)^2)/($C9-1))</f>
        <v>0</v>
      </c>
      <c r="AC9" s="8">
        <f>SQRT(SUMPRODUCT((Raw_Data!$C$2:$C$34=$A9)*(Raw_Data!$N$2:$N$34-N9)^2)/($C9-1))</f>
        <v>0</v>
      </c>
      <c r="AD9" s="8">
        <f>SQRT(SUMPRODUCT((Raw_Data!$C$2:$C$34=$A9)*(Raw_Data!$O$2:$O$34-O9)^2)/($C9-1))</f>
        <v>0</v>
      </c>
      <c r="AE9" s="8">
        <f>SQRT(SUMPRODUCT((Raw_Data!$C$2:$C$34=$A9)*(Raw_Data!$P$2:$P$34-P9)^2)/($C9-1))</f>
        <v>0</v>
      </c>
      <c r="AF9" s="8">
        <f>SQRT(SUMPRODUCT((Raw_Data!$C$2:$C$34=$A9)*(Raw_Data!$Q$2:$Q$34-Q9)^2)/($C9-1))</f>
        <v>0</v>
      </c>
      <c r="AG9" s="8">
        <f>SQRT(SUMPRODUCT((Raw_Data!$C$2:$C$34=$A9)*(Raw_Data!$R$2:$R$34-R9)^2)/($C9-1))</f>
        <v>0.53012294171572316</v>
      </c>
      <c r="AH9" s="8">
        <f>SUMPRODUCT(MAX((Raw_Data!$C$2:$C$34=$A9)*Raw_Data!$D$2:$D$34))</f>
        <v>0.5</v>
      </c>
      <c r="AI9" s="8">
        <f>SUMPRODUCT(MAX((Raw_Data!$C$2:$C$34=$A9)*Raw_Data!$E$2:$E$34))</f>
        <v>0.5</v>
      </c>
      <c r="AJ9" s="8">
        <f>SUMPRODUCT(MAX((Raw_Data!$C$2:$C$34=$A9)*Raw_Data!$F$2:$F$34))</f>
        <v>0.5</v>
      </c>
      <c r="AK9" s="8">
        <f>SUMPRODUCT(MAX((Raw_Data!$C$2:$C$34=$A9)*Raw_Data!$G$2:$G$34))</f>
        <v>0.5</v>
      </c>
      <c r="AL9" s="8">
        <f>SUMPRODUCT(MAX((Raw_Data!$C$2:$C$34=$A9)*Raw_Data!$H$2:$H$34))</f>
        <v>2.9590000000000001</v>
      </c>
      <c r="AM9" s="8">
        <f>SUMPRODUCT(MAX((Raw_Data!$C$2:$C$34=$A9)*Raw_Data!$I$2:$I$34))</f>
        <v>6.1379999999999999</v>
      </c>
      <c r="AN9" s="8">
        <f>SUMPRODUCT(MAX((Raw_Data!$C$2:$C$34=$A9)*Raw_Data!$J$2:$J$34))</f>
        <v>1.4710000000000001</v>
      </c>
      <c r="AO9" s="8">
        <f>SUMPRODUCT(MAX((Raw_Data!$C$2:$C$34=$A9)*Raw_Data!$K$2:$K$34))</f>
        <v>2.9359999999999999</v>
      </c>
      <c r="AP9" s="8">
        <f>SUMPRODUCT(MAX((Raw_Data!$C$2:$C$34=$A9)*Raw_Data!$L$2:$L$34))</f>
        <v>0.5</v>
      </c>
      <c r="AQ9" s="8">
        <f>SUMPRODUCT(MAX((Raw_Data!$C$2:$C$34=$A9)*Raw_Data!$M$2:$M$34))</f>
        <v>0.5</v>
      </c>
      <c r="AR9" s="8">
        <f>SUMPRODUCT(MAX((Raw_Data!$C$2:$C$34=$A9)*Raw_Data!$N$2:$N$34))</f>
        <v>0.5</v>
      </c>
      <c r="AS9" s="8">
        <f>SUMPRODUCT(MAX((Raw_Data!$C$2:$C$34=$A9)*Raw_Data!$O$2:$O$34))</f>
        <v>0.5</v>
      </c>
      <c r="AT9" s="8">
        <f>SUMPRODUCT(MAX((Raw_Data!$C$2:$C$34=$A9)*Raw_Data!$P$2:$P$34))</f>
        <v>0.5</v>
      </c>
      <c r="AU9" s="8">
        <f>SUMPRODUCT(MAX((Raw_Data!$C$2:$C$34=$A9)*Raw_Data!$Q$2:$Q$34))</f>
        <v>0.5</v>
      </c>
      <c r="AV9" s="8">
        <f>SUMPRODUCT(MAX((Raw_Data!$C$2:$C$34=$A9)*Raw_Data!$R$2:$R$34))</f>
        <v>18.082999999999998</v>
      </c>
    </row>
    <row r="10" spans="1:48" ht="15" customHeight="1" x14ac:dyDescent="0.25">
      <c r="A10" s="6" t="s">
        <v>48</v>
      </c>
      <c r="B10" s="6" t="s">
        <v>19</v>
      </c>
      <c r="C10" s="10">
        <f>COUNTIF(Raw_Data!$C$2:$C$34,$A10)</f>
        <v>3</v>
      </c>
      <c r="D10" s="8">
        <f>AVERAGEIF(Raw_Data!$C$2:$C$34,$A10,Raw_Data!$D$2:$D$34)</f>
        <v>5.7290000000000001</v>
      </c>
      <c r="E10" s="8">
        <f>AVERAGEIF(Raw_Data!$C$2:$C$34,$A10,Raw_Data!$E$2:$E$34)</f>
        <v>6.8069999999999995</v>
      </c>
      <c r="F10" s="8">
        <f>AVERAGEIF(Raw_Data!$C$2:$C$34,$A10,Raw_Data!$F$2:$F$34)</f>
        <v>3.4243333333333332</v>
      </c>
      <c r="G10" s="8">
        <f>AVERAGEIF(Raw_Data!$C$2:$C$34,$A10,Raw_Data!$G$2:$G$34)</f>
        <v>4.2326666666666668</v>
      </c>
      <c r="H10" s="8">
        <f>AVERAGEIF(Raw_Data!$C$2:$C$34,$A10,Raw_Data!$H$2:$H$34)</f>
        <v>7.4006666666666661</v>
      </c>
      <c r="I10" s="8">
        <f>AVERAGEIF(Raw_Data!$C$2:$C$34,$A10,Raw_Data!$I$2:$I$34)</f>
        <v>13.231999999999999</v>
      </c>
      <c r="J10" s="8">
        <f>AVERAGEIF(Raw_Data!$C$2:$C$34,$A10,Raw_Data!$J$2:$J$34)</f>
        <v>6.0990000000000002</v>
      </c>
      <c r="K10" s="8">
        <f>AVERAGEIF(Raw_Data!$C$2:$C$34,$A10,Raw_Data!$K$2:$K$34)</f>
        <v>12.004333333333335</v>
      </c>
      <c r="L10" s="8">
        <f>AVERAGEIF(Raw_Data!$C$2:$C$34,$A10,Raw_Data!$L$2:$L$34)</f>
        <v>2.7869999999999995</v>
      </c>
      <c r="M10" s="8">
        <f>AVERAGEIF(Raw_Data!$C$2:$C$34,$A10,Raw_Data!$M$2:$M$34)</f>
        <v>3.784333333333334</v>
      </c>
      <c r="N10" s="8">
        <f>AVERAGEIF(Raw_Data!$C$2:$C$34,$A10,Raw_Data!$N$2:$N$34)</f>
        <v>3.8403333333333336</v>
      </c>
      <c r="O10" s="8">
        <f>AVERAGEIF(Raw_Data!$C$2:$C$34,$A10,Raw_Data!$O$2:$O$34)</f>
        <v>6.8616666666666672</v>
      </c>
      <c r="P10" s="8">
        <f>AVERAGEIF(Raw_Data!$C$2:$C$34,$A10,Raw_Data!$P$2:$P$34)</f>
        <v>5.355666666666667</v>
      </c>
      <c r="Q10" s="8">
        <f>AVERAGEIF(Raw_Data!$C$2:$C$34,$A10,Raw_Data!$Q$2:$Q$34)</f>
        <v>7.2276666666666669</v>
      </c>
      <c r="R10" s="8">
        <f>AVERAGEIF(Raw_Data!$C$2:$C$34,$A10,Raw_Data!$R$2:$R$34)</f>
        <v>88.785666666666657</v>
      </c>
      <c r="S10" s="8">
        <f>SQRT(SUMPRODUCT((Raw_Data!$C$2:$C$34=$A10)*(Raw_Data!$D$2:$D$34-D10)^2)/($C10-1))</f>
        <v>0.43254248346260732</v>
      </c>
      <c r="T10" s="8">
        <f>SQRT(SUMPRODUCT((Raw_Data!$C$2:$C$34=$A10)*(Raw_Data!$E$2:$E$34-E10)^2)/($C10-1))</f>
        <v>1.5967366720909244</v>
      </c>
      <c r="U10" s="8">
        <f>SQRT(SUMPRODUCT((Raw_Data!$C$2:$C$34=$A10)*(Raw_Data!$F$2:$F$34-F10)^2)/($C10-1))</f>
        <v>0.55737360301088301</v>
      </c>
      <c r="V10" s="8">
        <f>SQRT(SUMPRODUCT((Raw_Data!$C$2:$C$34=$A10)*(Raw_Data!$G$2:$G$34-G10)^2)/($C10-1))</f>
        <v>0.93524132358088918</v>
      </c>
      <c r="W10" s="8">
        <f>SQRT(SUMPRODUCT((Raw_Data!$C$2:$C$34=$A10)*(Raw_Data!$H$2:$H$34-H10)^2)/($C10-1))</f>
        <v>4.827352621606746E-2</v>
      </c>
      <c r="X10" s="8">
        <f>SQRT(SUMPRODUCT((Raw_Data!$C$2:$C$34=$A10)*(Raw_Data!$I$2:$I$34-I10)^2)/($C10-1))</f>
        <v>0.51680557272537231</v>
      </c>
      <c r="Y10" s="8">
        <f>SQRT(SUMPRODUCT((Raw_Data!$C$2:$C$34=$A10)*(Raw_Data!$J$2:$J$34-J10)^2)/($C10-1))</f>
        <v>0.40618099413931208</v>
      </c>
      <c r="Z10" s="8">
        <f>SQRT(SUMPRODUCT((Raw_Data!$C$2:$C$34=$A10)*(Raw_Data!$K$2:$K$34-K10)^2)/($C10-1))</f>
        <v>0.77901048345534674</v>
      </c>
      <c r="AA10" s="8">
        <f>SQRT(SUMPRODUCT((Raw_Data!$C$2:$C$34=$A10)*(Raw_Data!$L$2:$L$34-L10)^2)/($C10-1))</f>
        <v>0.43310622253668901</v>
      </c>
      <c r="AB10" s="8">
        <f>SQRT(SUMPRODUCT((Raw_Data!$C$2:$C$34=$A10)*(Raw_Data!$M$2:$M$34-M10)^2)/($C10-1))</f>
        <v>7.657893531078451E-2</v>
      </c>
      <c r="AC10" s="8">
        <f>SQRT(SUMPRODUCT((Raw_Data!$C$2:$C$34=$A10)*(Raw_Data!$N$2:$N$34-N10)^2)/($C10-1))</f>
        <v>0.41292412539513035</v>
      </c>
      <c r="AD10" s="8">
        <f>SQRT(SUMPRODUCT((Raw_Data!$C$2:$C$34=$A10)*(Raw_Data!$O$2:$O$34-O10)^2)/($C10-1))</f>
        <v>1.2962138455260128</v>
      </c>
      <c r="AE10" s="8">
        <f>SQRT(SUMPRODUCT((Raw_Data!$C$2:$C$34=$A10)*(Raw_Data!$P$2:$P$34-P10)^2)/($C10-1))</f>
        <v>5.0003333222229385E-2</v>
      </c>
      <c r="AF10" s="8">
        <f>SQRT(SUMPRODUCT((Raw_Data!$C$2:$C$34=$A10)*(Raw_Data!$Q$2:$Q$34-Q10)^2)/($C10-1))</f>
        <v>0.10127849393298348</v>
      </c>
      <c r="AG10" s="8">
        <f>SQRT(SUMPRODUCT((Raw_Data!$C$2:$C$34=$A10)*(Raw_Data!$R$2:$R$34-R10)^2)/($C10-1))</f>
        <v>4.274657218226201</v>
      </c>
      <c r="AH10" s="8">
        <f>SUMPRODUCT(MAX((Raw_Data!$C$2:$C$34=$A10)*Raw_Data!$D$2:$D$34))</f>
        <v>6.0979999999999999</v>
      </c>
      <c r="AI10" s="8">
        <f>SUMPRODUCT(MAX((Raw_Data!$C$2:$C$34=$A10)*Raw_Data!$E$2:$E$34))</f>
        <v>7.9909999999999997</v>
      </c>
      <c r="AJ10" s="8">
        <f>SUMPRODUCT(MAX((Raw_Data!$C$2:$C$34=$A10)*Raw_Data!$F$2:$F$34))</f>
        <v>4.0670000000000002</v>
      </c>
      <c r="AK10" s="8">
        <f>SUMPRODUCT(MAX((Raw_Data!$C$2:$C$34=$A10)*Raw_Data!$G$2:$G$34))</f>
        <v>5.2720000000000002</v>
      </c>
      <c r="AL10" s="8">
        <f>SUMPRODUCT(MAX((Raw_Data!$C$2:$C$34=$A10)*Raw_Data!$H$2:$H$34))</f>
        <v>7.431</v>
      </c>
      <c r="AM10" s="8">
        <f>SUMPRODUCT(MAX((Raw_Data!$C$2:$C$34=$A10)*Raw_Data!$I$2:$I$34))</f>
        <v>13.555999999999999</v>
      </c>
      <c r="AN10" s="8">
        <f>SUMPRODUCT(MAX((Raw_Data!$C$2:$C$34=$A10)*Raw_Data!$J$2:$J$34))</f>
        <v>6.47</v>
      </c>
      <c r="AO10" s="8">
        <f>SUMPRODUCT(MAX((Raw_Data!$C$2:$C$34=$A10)*Raw_Data!$K$2:$K$34))</f>
        <v>12.711</v>
      </c>
      <c r="AP10" s="8">
        <f>SUMPRODUCT(MAX((Raw_Data!$C$2:$C$34=$A10)*Raw_Data!$L$2:$L$34))</f>
        <v>3.2869999999999999</v>
      </c>
      <c r="AQ10" s="8">
        <f>SUMPRODUCT(MAX((Raw_Data!$C$2:$C$34=$A10)*Raw_Data!$M$2:$M$34))</f>
        <v>3.8319999999999999</v>
      </c>
      <c r="AR10" s="8">
        <f>SUMPRODUCT(MAX((Raw_Data!$C$2:$C$34=$A10)*Raw_Data!$N$2:$N$34))</f>
        <v>4.3159999999999998</v>
      </c>
      <c r="AS10" s="8">
        <f>SUMPRODUCT(MAX((Raw_Data!$C$2:$C$34=$A10)*Raw_Data!$O$2:$O$34))</f>
        <v>7.7480000000000002</v>
      </c>
      <c r="AT10" s="8">
        <f>SUMPRODUCT(MAX((Raw_Data!$C$2:$C$34=$A10)*Raw_Data!$P$2:$P$34))</f>
        <v>5.3869999999999996</v>
      </c>
      <c r="AU10" s="8">
        <f>SUMPRODUCT(MAX((Raw_Data!$C$2:$C$34=$A10)*Raw_Data!$Q$2:$Q$34))</f>
        <v>7.3390000000000004</v>
      </c>
      <c r="AV10" s="8">
        <f>SUMPRODUCT(MAX((Raw_Data!$C$2:$C$34=$A10)*Raw_Data!$R$2:$R$34))</f>
        <v>93.039000000000001</v>
      </c>
    </row>
    <row r="11" spans="1:48" ht="15" customHeight="1" x14ac:dyDescent="0.25">
      <c r="A11" s="6" t="s">
        <v>53</v>
      </c>
      <c r="B11" s="6" t="s">
        <v>19</v>
      </c>
      <c r="C11" s="10">
        <f>COUNTIF(Raw_Data!$C$2:$C$34,$A11)</f>
        <v>3</v>
      </c>
      <c r="D11" s="8">
        <f>AVERAGEIF(Raw_Data!$C$2:$C$34,$A11,Raw_Data!$D$2:$D$34)</f>
        <v>3.1116666666666664</v>
      </c>
      <c r="E11" s="8">
        <f>AVERAGEIF(Raw_Data!$C$2:$C$34,$A11,Raw_Data!$E$2:$E$34)</f>
        <v>3.66</v>
      </c>
      <c r="F11" s="8">
        <f>AVERAGEIF(Raw_Data!$C$2:$C$34,$A11,Raw_Data!$F$2:$F$34)</f>
        <v>0.5</v>
      </c>
      <c r="G11" s="8">
        <f>AVERAGEIF(Raw_Data!$C$2:$C$34,$A11,Raw_Data!$G$2:$G$34)</f>
        <v>4.3803333333333336</v>
      </c>
      <c r="H11" s="8">
        <f>AVERAGEIF(Raw_Data!$C$2:$C$34,$A11,Raw_Data!$H$2:$H$34)</f>
        <v>5.2546666666666662</v>
      </c>
      <c r="I11" s="8">
        <f>AVERAGEIF(Raw_Data!$C$2:$C$34,$A11,Raw_Data!$I$2:$I$34)</f>
        <v>9.2416666666666671</v>
      </c>
      <c r="J11" s="8">
        <f>AVERAGEIF(Raw_Data!$C$2:$C$34,$A11,Raw_Data!$J$2:$J$34)</f>
        <v>2.5743333333333331</v>
      </c>
      <c r="K11" s="8">
        <f>AVERAGEIF(Raw_Data!$C$2:$C$34,$A11,Raw_Data!$K$2:$K$34)</f>
        <v>5.001666666666666</v>
      </c>
      <c r="L11" s="8">
        <f>AVERAGEIF(Raw_Data!$C$2:$C$34,$A11,Raw_Data!$L$2:$L$34)</f>
        <v>0.5</v>
      </c>
      <c r="M11" s="8">
        <f>AVERAGEIF(Raw_Data!$C$2:$C$34,$A11,Raw_Data!$M$2:$M$34)</f>
        <v>0.5</v>
      </c>
      <c r="N11" s="8">
        <f>AVERAGEIF(Raw_Data!$C$2:$C$34,$A11,Raw_Data!$N$2:$N$34)</f>
        <v>1.3769733570159859</v>
      </c>
      <c r="O11" s="8">
        <f>AVERAGEIF(Raw_Data!$C$2:$C$34,$A11,Raw_Data!$O$2:$O$34)</f>
        <v>3.2746666666666666</v>
      </c>
      <c r="P11" s="8">
        <f>AVERAGEIF(Raw_Data!$C$2:$C$34,$A11,Raw_Data!$P$2:$P$34)</f>
        <v>0.5</v>
      </c>
      <c r="Q11" s="8">
        <f>AVERAGEIF(Raw_Data!$C$2:$C$34,$A11,Raw_Data!$Q$2:$Q$34)</f>
        <v>0.5</v>
      </c>
      <c r="R11" s="8">
        <f>AVERAGEIF(Raw_Data!$C$2:$C$34,$A11,Raw_Data!$R$2:$R$34)</f>
        <v>40.375973357015987</v>
      </c>
      <c r="S11" s="8">
        <f>SQRT(SUMPRODUCT((Raw_Data!$C$2:$C$34=$A11)*(Raw_Data!$D$2:$D$34-D11)^2)/($C11-1))</f>
        <v>0.29564562119763127</v>
      </c>
      <c r="T11" s="8">
        <f>SQRT(SUMPRODUCT((Raw_Data!$C$2:$C$34=$A11)*(Raw_Data!$E$2:$E$34-E11)^2)/($C11-1))</f>
        <v>0.5530126580829775</v>
      </c>
      <c r="U11" s="8">
        <f>SQRT(SUMPRODUCT((Raw_Data!$C$2:$C$34=$A11)*(Raw_Data!$F$2:$F$34-F11)^2)/($C11-1))</f>
        <v>0</v>
      </c>
      <c r="V11" s="8">
        <f>SQRT(SUMPRODUCT((Raw_Data!$C$2:$C$34=$A11)*(Raw_Data!$G$2:$G$34-G11)^2)/($C11-1))</f>
        <v>1.5632198608427839</v>
      </c>
      <c r="W11" s="8">
        <f>SQRT(SUMPRODUCT((Raw_Data!$C$2:$C$34=$A11)*(Raw_Data!$H$2:$H$34-H11)^2)/($C11-1))</f>
        <v>0.26097956497268771</v>
      </c>
      <c r="X11" s="8">
        <f>SQRT(SUMPRODUCT((Raw_Data!$C$2:$C$34=$A11)*(Raw_Data!$I$2:$I$34-I11)^2)/($C11-1))</f>
        <v>2.370908335076102</v>
      </c>
      <c r="Y11" s="8">
        <f>SQRT(SUMPRODUCT((Raw_Data!$C$2:$C$34=$A11)*(Raw_Data!$J$2:$J$34-J11)^2)/($C11-1))</f>
        <v>0.70817111868060056</v>
      </c>
      <c r="Z11" s="8">
        <f>SQRT(SUMPRODUCT((Raw_Data!$C$2:$C$34=$A11)*(Raw_Data!$K$2:$K$34-K11)^2)/($C11-1))</f>
        <v>1.3857620045784675</v>
      </c>
      <c r="AA11" s="8">
        <f>SQRT(SUMPRODUCT((Raw_Data!$C$2:$C$34=$A11)*(Raw_Data!$L$2:$L$34-L11)^2)/($C11-1))</f>
        <v>0</v>
      </c>
      <c r="AB11" s="8">
        <f>SQRT(SUMPRODUCT((Raw_Data!$C$2:$C$34=$A11)*(Raw_Data!$M$2:$M$34-M11)^2)/($C11-1))</f>
        <v>0</v>
      </c>
      <c r="AC11" s="8">
        <f>SQRT(SUMPRODUCT((Raw_Data!$C$2:$C$34=$A11)*(Raw_Data!$N$2:$N$34-N11)^2)/($C11-1))</f>
        <v>0.76610703308594907</v>
      </c>
      <c r="AD11" s="8">
        <f>SQRT(SUMPRODUCT((Raw_Data!$C$2:$C$34=$A11)*(Raw_Data!$O$2:$O$34-O11)^2)/($C11-1))</f>
        <v>0.3666392413985895</v>
      </c>
      <c r="AE11" s="8">
        <f>SQRT(SUMPRODUCT((Raw_Data!$C$2:$C$34=$A11)*(Raw_Data!$P$2:$P$34-P11)^2)/($C11-1))</f>
        <v>0</v>
      </c>
      <c r="AF11" s="8">
        <f>SQRT(SUMPRODUCT((Raw_Data!$C$2:$C$34=$A11)*(Raw_Data!$Q$2:$Q$34-Q11)^2)/($C11-1))</f>
        <v>0</v>
      </c>
      <c r="AG11" s="8">
        <f>SQRT(SUMPRODUCT((Raw_Data!$C$2:$C$34=$A11)*(Raw_Data!$R$2:$R$34-R11)^2)/($C11-1))</f>
        <v>3.2294025549333187</v>
      </c>
      <c r="AH11" s="8">
        <f>SUMPRODUCT(MAX((Raw_Data!$C$2:$C$34=$A11)*Raw_Data!$D$2:$D$34))</f>
        <v>3.4529999999999998</v>
      </c>
      <c r="AI11" s="8">
        <f>SUMPRODUCT(MAX((Raw_Data!$C$2:$C$34=$A11)*Raw_Data!$E$2:$E$34))</f>
        <v>4.0430000000000001</v>
      </c>
      <c r="AJ11" s="8">
        <f>SUMPRODUCT(MAX((Raw_Data!$C$2:$C$34=$A11)*Raw_Data!$F$2:$F$34))</f>
        <v>0.5</v>
      </c>
      <c r="AK11" s="8">
        <f>SUMPRODUCT(MAX((Raw_Data!$C$2:$C$34=$A11)*Raw_Data!$G$2:$G$34))</f>
        <v>6.1479999999999997</v>
      </c>
      <c r="AL11" s="8">
        <f>SUMPRODUCT(MAX((Raw_Data!$C$2:$C$34=$A11)*Raw_Data!$H$2:$H$34))</f>
        <v>5.556</v>
      </c>
      <c r="AM11" s="8">
        <f>SUMPRODUCT(MAX((Raw_Data!$C$2:$C$34=$A11)*Raw_Data!$I$2:$I$34))</f>
        <v>11.814</v>
      </c>
      <c r="AN11" s="8">
        <f>SUMPRODUCT(MAX((Raw_Data!$C$2:$C$34=$A11)*Raw_Data!$J$2:$J$34))</f>
        <v>3.3919999999999999</v>
      </c>
      <c r="AO11" s="8">
        <f>SUMPRODUCT(MAX((Raw_Data!$C$2:$C$34=$A11)*Raw_Data!$K$2:$K$34))</f>
        <v>6.601</v>
      </c>
      <c r="AP11" s="8">
        <f>SUMPRODUCT(MAX((Raw_Data!$C$2:$C$34=$A11)*Raw_Data!$L$2:$L$34))</f>
        <v>0.5</v>
      </c>
      <c r="AQ11" s="8">
        <f>SUMPRODUCT(MAX((Raw_Data!$C$2:$C$34=$A11)*Raw_Data!$M$2:$M$34))</f>
        <v>0.5</v>
      </c>
      <c r="AR11" s="8">
        <f>SUMPRODUCT(MAX((Raw_Data!$C$2:$C$34=$A11)*Raw_Data!$N$2:$N$34))</f>
        <v>1.9159999999999999</v>
      </c>
      <c r="AS11" s="8">
        <f>SUMPRODUCT(MAX((Raw_Data!$C$2:$C$34=$A11)*Raw_Data!$O$2:$O$34))</f>
        <v>3.6469999999999998</v>
      </c>
      <c r="AT11" s="8">
        <f>SUMPRODUCT(MAX((Raw_Data!$C$2:$C$34=$A11)*Raw_Data!$P$2:$P$34))</f>
        <v>0.5</v>
      </c>
      <c r="AU11" s="8">
        <f>SUMPRODUCT(MAX((Raw_Data!$C$2:$C$34=$A11)*Raw_Data!$Q$2:$Q$34))</f>
        <v>0.5</v>
      </c>
      <c r="AV11" s="8">
        <f>SUMPRODUCT(MAX((Raw_Data!$C$2:$C$34=$A11)*Raw_Data!$R$2:$R$34))</f>
        <v>43.72</v>
      </c>
    </row>
    <row r="12" spans="1:48" ht="15" customHeight="1" x14ac:dyDescent="0.25">
      <c r="A12" s="6" t="s">
        <v>57</v>
      </c>
      <c r="B12" s="6" t="s">
        <v>19</v>
      </c>
      <c r="C12" s="10">
        <f>COUNTIF(Raw_Data!$C$2:$C$34,$A12)</f>
        <v>3</v>
      </c>
      <c r="D12" s="8">
        <f>AVERAGEIF(Raw_Data!$C$2:$C$34,$A12,Raw_Data!$D$2:$D$34)</f>
        <v>3.2749999999999999</v>
      </c>
      <c r="E12" s="8">
        <f>AVERAGEIF(Raw_Data!$C$2:$C$34,$A12,Raw_Data!$E$2:$E$34)</f>
        <v>3.0049999999999994</v>
      </c>
      <c r="F12" s="8">
        <f>AVERAGEIF(Raw_Data!$C$2:$C$34,$A12,Raw_Data!$F$2:$F$34)</f>
        <v>2.234</v>
      </c>
      <c r="G12" s="8">
        <f>AVERAGEIF(Raw_Data!$C$2:$C$34,$A12,Raw_Data!$G$2:$G$34)</f>
        <v>3.0563333333333333</v>
      </c>
      <c r="H12" s="8">
        <f>AVERAGEIF(Raw_Data!$C$2:$C$34,$A12,Raw_Data!$H$2:$H$34)</f>
        <v>5.9289999999999994</v>
      </c>
      <c r="I12" s="8">
        <f>AVERAGEIF(Raw_Data!$C$2:$C$34,$A12,Raw_Data!$I$2:$I$34)</f>
        <v>13.360333333333335</v>
      </c>
      <c r="J12" s="8">
        <f>AVERAGEIF(Raw_Data!$C$2:$C$34,$A12,Raw_Data!$J$2:$J$34)</f>
        <v>3.294</v>
      </c>
      <c r="K12" s="8">
        <f>AVERAGEIF(Raw_Data!$C$2:$C$34,$A12,Raw_Data!$K$2:$K$34)</f>
        <v>6.5209999999999999</v>
      </c>
      <c r="L12" s="8">
        <f>AVERAGEIF(Raw_Data!$C$2:$C$34,$A12,Raw_Data!$L$2:$L$34)</f>
        <v>0.5</v>
      </c>
      <c r="M12" s="8">
        <f>AVERAGEIF(Raw_Data!$C$2:$C$34,$A12,Raw_Data!$M$2:$M$34)</f>
        <v>2.6125666666666665</v>
      </c>
      <c r="N12" s="8">
        <f>AVERAGEIF(Raw_Data!$C$2:$C$34,$A12,Raw_Data!$N$2:$N$34)</f>
        <v>0.5</v>
      </c>
      <c r="O12" s="8">
        <f>AVERAGEIF(Raw_Data!$C$2:$C$34,$A12,Raw_Data!$O$2:$O$34)</f>
        <v>1.9316666666666666</v>
      </c>
      <c r="P12" s="8">
        <f>AVERAGEIF(Raw_Data!$C$2:$C$34,$A12,Raw_Data!$P$2:$P$34)</f>
        <v>1.2693333333333334</v>
      </c>
      <c r="Q12" s="8">
        <f>AVERAGEIF(Raw_Data!$C$2:$C$34,$A12,Raw_Data!$Q$2:$Q$34)</f>
        <v>3.4523333333333337</v>
      </c>
      <c r="R12" s="8">
        <f>AVERAGEIF(Raw_Data!$C$2:$C$34,$A12,Raw_Data!$R$2:$R$34)</f>
        <v>50.940566666666662</v>
      </c>
      <c r="S12" s="8">
        <f>SQRT(SUMPRODUCT((Raw_Data!$C$2:$C$34=$A12)*(Raw_Data!$D$2:$D$34-D12)^2)/($C12-1))</f>
        <v>1.0088543006797366</v>
      </c>
      <c r="T12" s="8">
        <f>SQRT(SUMPRODUCT((Raw_Data!$C$2:$C$34=$A12)*(Raw_Data!$E$2:$E$34-E12)^2)/($C12-1))</f>
        <v>0.76797330682778286</v>
      </c>
      <c r="U12" s="8">
        <f>SQRT(SUMPRODUCT((Raw_Data!$C$2:$C$34=$A12)*(Raw_Data!$F$2:$F$34-F12)^2)/($C12-1))</f>
        <v>0.21656407827707713</v>
      </c>
      <c r="V12" s="8">
        <f>SQRT(SUMPRODUCT((Raw_Data!$C$2:$C$34=$A12)*(Raw_Data!$G$2:$G$34-G12)^2)/($C12-1))</f>
        <v>0.60653139517533083</v>
      </c>
      <c r="W12" s="8">
        <f>SQRT(SUMPRODUCT((Raw_Data!$C$2:$C$34=$A12)*(Raw_Data!$H$2:$H$34-H12)^2)/($C12-1))</f>
        <v>0.36762344865364588</v>
      </c>
      <c r="X12" s="8">
        <f>SQRT(SUMPRODUCT((Raw_Data!$C$2:$C$34=$A12)*(Raw_Data!$I$2:$I$34-I12)^2)/($C12-1))</f>
        <v>0.98582672581612119</v>
      </c>
      <c r="Y12" s="8">
        <f>SQRT(SUMPRODUCT((Raw_Data!$C$2:$C$34=$A12)*(Raw_Data!$J$2:$J$34-J12)^2)/($C12-1))</f>
        <v>0.72200207755933765</v>
      </c>
      <c r="Z12" s="8">
        <f>SQRT(SUMPRODUCT((Raw_Data!$C$2:$C$34=$A12)*(Raw_Data!$K$2:$K$34-K12)^2)/($C12-1))</f>
        <v>1.4160858024851464</v>
      </c>
      <c r="AA12" s="8">
        <f>SQRT(SUMPRODUCT((Raw_Data!$C$2:$C$34=$A12)*(Raw_Data!$L$2:$L$34-L12)^2)/($C12-1))</f>
        <v>0</v>
      </c>
      <c r="AB12" s="8">
        <f>SQRT(SUMPRODUCT((Raw_Data!$C$2:$C$34=$A12)*(Raw_Data!$M$2:$M$34-M12)^2)/($C12-1))</f>
        <v>5.663800255423318E-2</v>
      </c>
      <c r="AC12" s="8">
        <f>SQRT(SUMPRODUCT((Raw_Data!$C$2:$C$34=$A12)*(Raw_Data!$N$2:$N$34-N12)^2)/($C12-1))</f>
        <v>0</v>
      </c>
      <c r="AD12" s="8">
        <f>SQRT(SUMPRODUCT((Raw_Data!$C$2:$C$34=$A12)*(Raw_Data!$O$2:$O$34-O12)^2)/($C12-1))</f>
        <v>0.53920898855020327</v>
      </c>
      <c r="AE12" s="8">
        <f>SQRT(SUMPRODUCT((Raw_Data!$C$2:$C$34=$A12)*(Raw_Data!$P$2:$P$34-P12)^2)/($C12-1))</f>
        <v>8.1989836768549151E-2</v>
      </c>
      <c r="AF12" s="8">
        <f>SQRT(SUMPRODUCT((Raw_Data!$C$2:$C$34=$A12)*(Raw_Data!$Q$2:$Q$34-Q12)^2)/($C12-1))</f>
        <v>0.44944669687665212</v>
      </c>
      <c r="AG12" s="8">
        <f>SQRT(SUMPRODUCT((Raw_Data!$C$2:$C$34=$A12)*(Raw_Data!$R$2:$R$34-R12)^2)/($C12-1))</f>
        <v>1.7378055597026183</v>
      </c>
      <c r="AH12" s="8">
        <f>SUMPRODUCT(MAX((Raw_Data!$C$2:$C$34=$A12)*Raw_Data!$D$2:$D$34))</f>
        <v>4.3520000000000003</v>
      </c>
      <c r="AI12" s="8">
        <f>SUMPRODUCT(MAX((Raw_Data!$C$2:$C$34=$A12)*Raw_Data!$E$2:$E$34))</f>
        <v>3.5459999999999998</v>
      </c>
      <c r="AJ12" s="8">
        <f>SUMPRODUCT(MAX((Raw_Data!$C$2:$C$34=$A12)*Raw_Data!$F$2:$F$34))</f>
        <v>2.3639999999999999</v>
      </c>
      <c r="AK12" s="8">
        <f>SUMPRODUCT(MAX((Raw_Data!$C$2:$C$34=$A12)*Raw_Data!$G$2:$G$34))</f>
        <v>3.4119999999999999</v>
      </c>
      <c r="AL12" s="8">
        <f>SUMPRODUCT(MAX((Raw_Data!$C$2:$C$34=$A12)*Raw_Data!$H$2:$H$34))</f>
        <v>6.3019999999999996</v>
      </c>
      <c r="AM12" s="8">
        <f>SUMPRODUCT(MAX((Raw_Data!$C$2:$C$34=$A12)*Raw_Data!$I$2:$I$34))</f>
        <v>13.930999999999999</v>
      </c>
      <c r="AN12" s="8">
        <f>SUMPRODUCT(MAX((Raw_Data!$C$2:$C$34=$A12)*Raw_Data!$J$2:$J$34))</f>
        <v>4.1269999999999998</v>
      </c>
      <c r="AO12" s="8">
        <f>SUMPRODUCT(MAX((Raw_Data!$C$2:$C$34=$A12)*Raw_Data!$K$2:$K$34))</f>
        <v>8.1560000000000006</v>
      </c>
      <c r="AP12" s="8">
        <f>SUMPRODUCT(MAX((Raw_Data!$C$2:$C$34=$A12)*Raw_Data!$L$2:$L$34))</f>
        <v>0.5</v>
      </c>
      <c r="AQ12" s="8">
        <f>SUMPRODUCT(MAX((Raw_Data!$C$2:$C$34=$A12)*Raw_Data!$M$2:$M$34))</f>
        <v>2.673</v>
      </c>
      <c r="AR12" s="8">
        <f>SUMPRODUCT(MAX((Raw_Data!$C$2:$C$34=$A12)*Raw_Data!$N$2:$N$34))</f>
        <v>0.5</v>
      </c>
      <c r="AS12" s="8">
        <f>SUMPRODUCT(MAX((Raw_Data!$C$2:$C$34=$A12)*Raw_Data!$O$2:$O$34))</f>
        <v>2.4369999999999998</v>
      </c>
      <c r="AT12" s="8">
        <f>SUMPRODUCT(MAX((Raw_Data!$C$2:$C$34=$A12)*Raw_Data!$P$2:$P$34))</f>
        <v>1.3640000000000001</v>
      </c>
      <c r="AU12" s="8">
        <f>SUMPRODUCT(MAX((Raw_Data!$C$2:$C$34=$A12)*Raw_Data!$Q$2:$Q$34))</f>
        <v>3.8839999999999999</v>
      </c>
      <c r="AV12" s="8">
        <f>SUMPRODUCT(MAX((Raw_Data!$C$2:$C$34=$A12)*Raw_Data!$R$2:$R$34))</f>
        <v>52.597699999999996</v>
      </c>
    </row>
    <row r="13" spans="1:48" ht="15" customHeight="1" x14ac:dyDescent="0.25">
      <c r="A13" s="6" t="s">
        <v>61</v>
      </c>
      <c r="B13" s="6" t="s">
        <v>19</v>
      </c>
      <c r="C13" s="10">
        <f>COUNTIF(Raw_Data!$C$2:$C$34,$A13)</f>
        <v>3</v>
      </c>
      <c r="D13" s="8">
        <f>AVERAGEIF(Raw_Data!$C$2:$C$34,$A13,Raw_Data!$D$2:$D$34)</f>
        <v>3.5516666666666663</v>
      </c>
      <c r="E13" s="8">
        <f>AVERAGEIF(Raw_Data!$C$2:$C$34,$A13,Raw_Data!$E$2:$E$34)</f>
        <v>4.2263333333333337</v>
      </c>
      <c r="F13" s="8">
        <f>AVERAGEIF(Raw_Data!$C$2:$C$34,$A13,Raw_Data!$F$2:$F$34)</f>
        <v>3.4160000000000004</v>
      </c>
      <c r="G13" s="8">
        <f>AVERAGEIF(Raw_Data!$C$2:$C$34,$A13,Raw_Data!$G$2:$G$34)</f>
        <v>3.8096666666666663</v>
      </c>
      <c r="H13" s="8">
        <f>AVERAGEIF(Raw_Data!$C$2:$C$34,$A13,Raw_Data!$H$2:$H$34)</f>
        <v>6.133</v>
      </c>
      <c r="I13" s="8">
        <f>AVERAGEIF(Raw_Data!$C$2:$C$34,$A13,Raw_Data!$I$2:$I$34)</f>
        <v>14.393333333333333</v>
      </c>
      <c r="J13" s="8">
        <f>AVERAGEIF(Raw_Data!$C$2:$C$34,$A13,Raw_Data!$J$2:$J$34)</f>
        <v>4.386333333333333</v>
      </c>
      <c r="K13" s="8">
        <f>AVERAGEIF(Raw_Data!$C$2:$C$34,$A13,Raw_Data!$K$2:$K$34)</f>
        <v>7.6533333333333333</v>
      </c>
      <c r="L13" s="8">
        <f>AVERAGEIF(Raw_Data!$C$2:$C$34,$A13,Raw_Data!$L$2:$L$34)</f>
        <v>1.611</v>
      </c>
      <c r="M13" s="8">
        <f>AVERAGEIF(Raw_Data!$C$2:$C$34,$A13,Raw_Data!$M$2:$M$34)</f>
        <v>2.94</v>
      </c>
      <c r="N13" s="8">
        <f>AVERAGEIF(Raw_Data!$C$2:$C$34,$A13,Raw_Data!$N$2:$N$34)</f>
        <v>1.6553333333333333</v>
      </c>
      <c r="O13" s="8">
        <f>AVERAGEIF(Raw_Data!$C$2:$C$34,$A13,Raw_Data!$O$2:$O$34)</f>
        <v>3.2873333333333332</v>
      </c>
      <c r="P13" s="8">
        <f>AVERAGEIF(Raw_Data!$C$2:$C$34,$A13,Raw_Data!$P$2:$P$34)</f>
        <v>1.84</v>
      </c>
      <c r="Q13" s="8">
        <f>AVERAGEIF(Raw_Data!$C$2:$C$34,$A13,Raw_Data!$Q$2:$Q$34)</f>
        <v>3.1616666666666666</v>
      </c>
      <c r="R13" s="8">
        <f>AVERAGEIF(Raw_Data!$C$2:$C$34,$A13,Raw_Data!$R$2:$R$34)</f>
        <v>62.065000000000005</v>
      </c>
      <c r="S13" s="8">
        <f>SQRT(SUMPRODUCT((Raw_Data!$C$2:$C$34=$A13)*(Raw_Data!$D$2:$D$34-D13)^2)/($C13-1))</f>
        <v>0.3687198575251045</v>
      </c>
      <c r="T13" s="8">
        <f>SQRT(SUMPRODUCT((Raw_Data!$C$2:$C$34=$A13)*(Raw_Data!$E$2:$E$34-E13)^2)/($C13-1))</f>
        <v>0.21939538129444161</v>
      </c>
      <c r="U13" s="8">
        <f>SQRT(SUMPRODUCT((Raw_Data!$C$2:$C$34=$A13)*(Raw_Data!$F$2:$F$34-F13)^2)/($C13-1))</f>
        <v>0.33995146712435298</v>
      </c>
      <c r="V13" s="8">
        <f>SQRT(SUMPRODUCT((Raw_Data!$C$2:$C$34=$A13)*(Raw_Data!$G$2:$G$34-G13)^2)/($C13-1))</f>
        <v>0.56499321529849644</v>
      </c>
      <c r="W13" s="8">
        <f>SQRT(SUMPRODUCT((Raw_Data!$C$2:$C$34=$A13)*(Raw_Data!$H$2:$H$34-H13)^2)/($C13-1))</f>
        <v>1.6271189262005408</v>
      </c>
      <c r="X13" s="8">
        <f>SQRT(SUMPRODUCT((Raw_Data!$C$2:$C$34=$A13)*(Raw_Data!$I$2:$I$34-I13)^2)/($C13-1))</f>
        <v>0.5427857158523367</v>
      </c>
      <c r="Y13" s="8">
        <f>SQRT(SUMPRODUCT((Raw_Data!$C$2:$C$34=$A13)*(Raw_Data!$J$2:$J$34-J13)^2)/($C13-1))</f>
        <v>1.0744451281165237</v>
      </c>
      <c r="Z13" s="8">
        <f>SQRT(SUMPRODUCT((Raw_Data!$C$2:$C$34=$A13)*(Raw_Data!$K$2:$K$34-K13)^2)/($C13-1))</f>
        <v>0.96874678494090094</v>
      </c>
      <c r="AA13" s="8">
        <f>SQRT(SUMPRODUCT((Raw_Data!$C$2:$C$34=$A13)*(Raw_Data!$L$2:$L$34-L13)^2)/($C13-1))</f>
        <v>0.29358303765715071</v>
      </c>
      <c r="AB13" s="8">
        <f>SQRT(SUMPRODUCT((Raw_Data!$C$2:$C$34=$A13)*(Raw_Data!$M$2:$M$34-M13)^2)/($C13-1))</f>
        <v>0.31784115529616364</v>
      </c>
      <c r="AC13" s="8">
        <f>SQRT(SUMPRODUCT((Raw_Data!$C$2:$C$34=$A13)*(Raw_Data!$N$2:$N$34-N13)^2)/($C13-1))</f>
        <v>0.30568665874279388</v>
      </c>
      <c r="AD13" s="8">
        <f>SQRT(SUMPRODUCT((Raw_Data!$C$2:$C$34=$A13)*(Raw_Data!$O$2:$O$34-O13)^2)/($C13-1))</f>
        <v>0.32618144234970403</v>
      </c>
      <c r="AE13" s="8">
        <f>SQRT(SUMPRODUCT((Raw_Data!$C$2:$C$34=$A13)*(Raw_Data!$P$2:$P$34-P13)^2)/($C13-1))</f>
        <v>0.62459346778524671</v>
      </c>
      <c r="AF13" s="8">
        <f>SQRT(SUMPRODUCT((Raw_Data!$C$2:$C$34=$A13)*(Raw_Data!$Q$2:$Q$34-Q13)^2)/($C13-1))</f>
        <v>0.31600685646569976</v>
      </c>
      <c r="AG13" s="8">
        <f>SQRT(SUMPRODUCT((Raw_Data!$C$2:$C$34=$A13)*(Raw_Data!$R$2:$R$34-R13)^2)/($C13-1))</f>
        <v>3.405856867221519</v>
      </c>
      <c r="AH13" s="8">
        <f>SUMPRODUCT(MAX((Raw_Data!$C$2:$C$34=$A13)*Raw_Data!$D$2:$D$34))</f>
        <v>3.956</v>
      </c>
      <c r="AI13" s="8">
        <f>SUMPRODUCT(MAX((Raw_Data!$C$2:$C$34=$A13)*Raw_Data!$E$2:$E$34))</f>
        <v>4.3540000000000001</v>
      </c>
      <c r="AJ13" s="8">
        <f>SUMPRODUCT(MAX((Raw_Data!$C$2:$C$34=$A13)*Raw_Data!$F$2:$F$34))</f>
        <v>3.7330000000000001</v>
      </c>
      <c r="AK13" s="8">
        <f>SUMPRODUCT(MAX((Raw_Data!$C$2:$C$34=$A13)*Raw_Data!$G$2:$G$34))</f>
        <v>4.3929999999999998</v>
      </c>
      <c r="AL13" s="8">
        <f>SUMPRODUCT(MAX((Raw_Data!$C$2:$C$34=$A13)*Raw_Data!$H$2:$H$34))</f>
        <v>7.4470000000000001</v>
      </c>
      <c r="AM13" s="8">
        <f>SUMPRODUCT(MAX((Raw_Data!$C$2:$C$34=$A13)*Raw_Data!$I$2:$I$34))</f>
        <v>14.781000000000001</v>
      </c>
      <c r="AN13" s="8">
        <f>SUMPRODUCT(MAX((Raw_Data!$C$2:$C$34=$A13)*Raw_Data!$J$2:$J$34))</f>
        <v>5.52</v>
      </c>
      <c r="AO13" s="8">
        <f>SUMPRODUCT(MAX((Raw_Data!$C$2:$C$34=$A13)*Raw_Data!$K$2:$K$34))</f>
        <v>8.3119999999999994</v>
      </c>
      <c r="AP13" s="8">
        <f>SUMPRODUCT(MAX((Raw_Data!$C$2:$C$34=$A13)*Raw_Data!$L$2:$L$34))</f>
        <v>1.9359999999999999</v>
      </c>
      <c r="AQ13" s="8">
        <f>SUMPRODUCT(MAX((Raw_Data!$C$2:$C$34=$A13)*Raw_Data!$M$2:$M$34))</f>
        <v>3.3069999999999999</v>
      </c>
      <c r="AR13" s="8">
        <f>SUMPRODUCT(MAX((Raw_Data!$C$2:$C$34=$A13)*Raw_Data!$N$2:$N$34))</f>
        <v>1.9670000000000001</v>
      </c>
      <c r="AS13" s="8">
        <f>SUMPRODUCT(MAX((Raw_Data!$C$2:$C$34=$A13)*Raw_Data!$O$2:$O$34))</f>
        <v>3.625</v>
      </c>
      <c r="AT13" s="8">
        <f>SUMPRODUCT(MAX((Raw_Data!$C$2:$C$34=$A13)*Raw_Data!$P$2:$P$34))</f>
        <v>2.2730000000000001</v>
      </c>
      <c r="AU13" s="8">
        <f>SUMPRODUCT(MAX((Raw_Data!$C$2:$C$34=$A13)*Raw_Data!$Q$2:$Q$34))</f>
        <v>3.508</v>
      </c>
      <c r="AV13" s="8">
        <f>SUMPRODUCT(MAX((Raw_Data!$C$2:$C$34=$A13)*Raw_Data!$R$2:$R$34))</f>
        <v>64.308999999999997</v>
      </c>
    </row>
    <row r="14" spans="1:48" ht="15" customHeight="1" x14ac:dyDescent="0.25">
      <c r="A14" s="6" t="s">
        <v>66</v>
      </c>
      <c r="B14" s="6" t="s">
        <v>19</v>
      </c>
      <c r="C14" s="10">
        <f>COUNTIF(Raw_Data!$C$2:$C$34,$A14)</f>
        <v>3</v>
      </c>
      <c r="D14" s="8">
        <f>AVERAGEIF(Raw_Data!$C$2:$C$34,$A14,Raw_Data!$D$2:$D$34)</f>
        <v>4.1109999999999998</v>
      </c>
      <c r="E14" s="8">
        <f>AVERAGEIF(Raw_Data!$C$2:$C$34,$A14,Raw_Data!$E$2:$E$34)</f>
        <v>4.1580000000000004</v>
      </c>
      <c r="F14" s="8">
        <f>AVERAGEIF(Raw_Data!$C$2:$C$34,$A14,Raw_Data!$F$2:$F$34)</f>
        <v>4.8386666666666658</v>
      </c>
      <c r="G14" s="8">
        <f>AVERAGEIF(Raw_Data!$C$2:$C$34,$A14,Raw_Data!$G$2:$G$34)</f>
        <v>4.0270000000000001</v>
      </c>
      <c r="H14" s="8">
        <f>AVERAGEIF(Raw_Data!$C$2:$C$34,$A14,Raw_Data!$H$2:$H$34)</f>
        <v>6.0986666666666665</v>
      </c>
      <c r="I14" s="8">
        <f>AVERAGEIF(Raw_Data!$C$2:$C$34,$A14,Raw_Data!$I$2:$I$34)</f>
        <v>14.029666666666666</v>
      </c>
      <c r="J14" s="8">
        <f>AVERAGEIF(Raw_Data!$C$2:$C$34,$A14,Raw_Data!$J$2:$J$34)</f>
        <v>5.5881666666666669</v>
      </c>
      <c r="K14" s="8">
        <f>AVERAGEIF(Raw_Data!$C$2:$C$34,$A14,Raw_Data!$K$2:$K$34)</f>
        <v>11.009</v>
      </c>
      <c r="L14" s="8">
        <f>AVERAGEIF(Raw_Data!$C$2:$C$34,$A14,Raw_Data!$L$2:$L$34)</f>
        <v>2.2913333333333337</v>
      </c>
      <c r="M14" s="8">
        <f>AVERAGEIF(Raw_Data!$C$2:$C$34,$A14,Raw_Data!$M$2:$M$34)</f>
        <v>3.4736666666666665</v>
      </c>
      <c r="N14" s="8">
        <f>AVERAGEIF(Raw_Data!$C$2:$C$34,$A14,Raw_Data!$N$2:$N$34)</f>
        <v>1.5573333333333335</v>
      </c>
      <c r="O14" s="8">
        <f>AVERAGEIF(Raw_Data!$C$2:$C$34,$A14,Raw_Data!$O$2:$O$34)</f>
        <v>2.6923333333333335</v>
      </c>
      <c r="P14" s="8">
        <f>AVERAGEIF(Raw_Data!$C$2:$C$34,$A14,Raw_Data!$P$2:$P$34)</f>
        <v>0.5</v>
      </c>
      <c r="Q14" s="8">
        <f>AVERAGEIF(Raw_Data!$C$2:$C$34,$A14,Raw_Data!$Q$2:$Q$34)</f>
        <v>2.8649999999999998</v>
      </c>
      <c r="R14" s="8">
        <f>AVERAGEIF(Raw_Data!$C$2:$C$34,$A14,Raw_Data!$R$2:$R$34)</f>
        <v>67.239833333333323</v>
      </c>
      <c r="S14" s="8">
        <f>SQRT(SUMPRODUCT((Raw_Data!$C$2:$C$34=$A14)*(Raw_Data!$D$2:$D$34-D14)^2)/($C14-1))</f>
        <v>0.22095022063804323</v>
      </c>
      <c r="T14" s="8">
        <f>SQRT(SUMPRODUCT((Raw_Data!$C$2:$C$34=$A14)*(Raw_Data!$E$2:$E$34-E14)^2)/($C14-1))</f>
        <v>1.0463866398229673</v>
      </c>
      <c r="U14" s="8">
        <f>SQRT(SUMPRODUCT((Raw_Data!$C$2:$C$34=$A14)*(Raw_Data!$F$2:$F$34-F14)^2)/($C14-1))</f>
        <v>0.41852279906037798</v>
      </c>
      <c r="V14" s="8">
        <f>SQRT(SUMPRODUCT((Raw_Data!$C$2:$C$34=$A14)*(Raw_Data!$G$2:$G$34-G14)^2)/($C14-1))</f>
        <v>1.6393367561303567</v>
      </c>
      <c r="W14" s="8">
        <f>SQRT(SUMPRODUCT((Raw_Data!$C$2:$C$34=$A14)*(Raw_Data!$H$2:$H$34-H14)^2)/($C14-1))</f>
        <v>0.45243378889439018</v>
      </c>
      <c r="X14" s="8">
        <f>SQRT(SUMPRODUCT((Raw_Data!$C$2:$C$34=$A14)*(Raw_Data!$I$2:$I$34-I14)^2)/($C14-1))</f>
        <v>0.49873874256301037</v>
      </c>
      <c r="Y14" s="8">
        <f>SQRT(SUMPRODUCT((Raw_Data!$C$2:$C$34=$A14)*(Raw_Data!$J$2:$J$34-J14)^2)/($C14-1))</f>
        <v>0.53419339506711749</v>
      </c>
      <c r="Z14" s="8">
        <f>SQRT(SUMPRODUCT((Raw_Data!$C$2:$C$34=$A14)*(Raw_Data!$K$2:$K$34-K14)^2)/($C14-1))</f>
        <v>1.0470057306433431</v>
      </c>
      <c r="AA14" s="8">
        <f>SQRT(SUMPRODUCT((Raw_Data!$C$2:$C$34=$A14)*(Raw_Data!$L$2:$L$34-L14)^2)/($C14-1))</f>
        <v>0.39727110810293437</v>
      </c>
      <c r="AB14" s="8">
        <f>SQRT(SUMPRODUCT((Raw_Data!$C$2:$C$34=$A14)*(Raw_Data!$M$2:$M$34-M14)^2)/($C14-1))</f>
        <v>1.0160976002989741</v>
      </c>
      <c r="AC14" s="8">
        <f>SQRT(SUMPRODUCT((Raw_Data!$C$2:$C$34=$A14)*(Raw_Data!$N$2:$N$34-N14)^2)/($C14-1))</f>
        <v>0.98390311176118017</v>
      </c>
      <c r="AD14" s="8">
        <f>SQRT(SUMPRODUCT((Raw_Data!$C$2:$C$34=$A14)*(Raw_Data!$O$2:$O$34-O14)^2)/($C14-1))</f>
        <v>0.32126676350555361</v>
      </c>
      <c r="AE14" s="8">
        <f>SQRT(SUMPRODUCT((Raw_Data!$C$2:$C$34=$A14)*(Raw_Data!$P$2:$P$34-P14)^2)/($C14-1))</f>
        <v>0</v>
      </c>
      <c r="AF14" s="8">
        <f>SQRT(SUMPRODUCT((Raw_Data!$C$2:$C$34=$A14)*(Raw_Data!$Q$2:$Q$34-Q14)^2)/($C14-1))</f>
        <v>0.86855569769589325</v>
      </c>
      <c r="AG14" s="8">
        <f>SQRT(SUMPRODUCT((Raw_Data!$C$2:$C$34=$A14)*(Raw_Data!$R$2:$R$34-R14)^2)/($C14-1))</f>
        <v>0.67009371235173165</v>
      </c>
      <c r="AH14" s="8">
        <f>SUMPRODUCT(MAX((Raw_Data!$C$2:$C$34=$A14)*Raw_Data!$D$2:$D$34))</f>
        <v>4.3639999999999999</v>
      </c>
      <c r="AI14" s="8">
        <f>SUMPRODUCT(MAX((Raw_Data!$C$2:$C$34=$A14)*Raw_Data!$E$2:$E$34))</f>
        <v>5.3230000000000004</v>
      </c>
      <c r="AJ14" s="8">
        <f>SUMPRODUCT(MAX((Raw_Data!$C$2:$C$34=$A14)*Raw_Data!$F$2:$F$34))</f>
        <v>5.1859999999999999</v>
      </c>
      <c r="AK14" s="8">
        <f>SUMPRODUCT(MAX((Raw_Data!$C$2:$C$34=$A14)*Raw_Data!$G$2:$G$34))</f>
        <v>5.3319999999999999</v>
      </c>
      <c r="AL14" s="8">
        <f>SUMPRODUCT(MAX((Raw_Data!$C$2:$C$34=$A14)*Raw_Data!$H$2:$H$34))</f>
        <v>6.6210000000000004</v>
      </c>
      <c r="AM14" s="8">
        <f>SUMPRODUCT(MAX((Raw_Data!$C$2:$C$34=$A14)*Raw_Data!$I$2:$I$34))</f>
        <v>14.465999999999999</v>
      </c>
      <c r="AN14" s="8">
        <f>SUMPRODUCT(MAX((Raw_Data!$C$2:$C$34=$A14)*Raw_Data!$J$2:$J$34))</f>
        <v>6.1980000000000004</v>
      </c>
      <c r="AO14" s="8">
        <f>SUMPRODUCT(MAX((Raw_Data!$C$2:$C$34=$A14)*Raw_Data!$K$2:$K$34))</f>
        <v>12.205</v>
      </c>
      <c r="AP14" s="8">
        <f>SUMPRODUCT(MAX((Raw_Data!$C$2:$C$34=$A14)*Raw_Data!$L$2:$L$34))</f>
        <v>2.5369999999999999</v>
      </c>
      <c r="AQ14" s="8">
        <f>SUMPRODUCT(MAX((Raw_Data!$C$2:$C$34=$A14)*Raw_Data!$M$2:$M$34))</f>
        <v>4.6310000000000002</v>
      </c>
      <c r="AR14" s="8">
        <f>SUMPRODUCT(MAX((Raw_Data!$C$2:$C$34=$A14)*Raw_Data!$N$2:$N$34))</f>
        <v>2.4460000000000002</v>
      </c>
      <c r="AS14" s="8">
        <f>SUMPRODUCT(MAX((Raw_Data!$C$2:$C$34=$A14)*Raw_Data!$O$2:$O$34))</f>
        <v>2.9769999999999999</v>
      </c>
      <c r="AT14" s="8">
        <f>SUMPRODUCT(MAX((Raw_Data!$C$2:$C$34=$A14)*Raw_Data!$P$2:$P$34))</f>
        <v>0.5</v>
      </c>
      <c r="AU14" s="8">
        <f>SUMPRODUCT(MAX((Raw_Data!$C$2:$C$34=$A14)*Raw_Data!$Q$2:$Q$34))</f>
        <v>3.702</v>
      </c>
      <c r="AV14" s="8">
        <f>SUMPRODUCT(MAX((Raw_Data!$C$2:$C$34=$A14)*Raw_Data!$R$2:$R$34))</f>
        <v>67.934999999999988</v>
      </c>
    </row>
    <row r="15" spans="1:48" ht="15" customHeight="1" x14ac:dyDescent="0.25">
      <c r="A15" s="6" t="s">
        <v>70</v>
      </c>
      <c r="B15" s="6" t="s">
        <v>19</v>
      </c>
      <c r="C15" s="10">
        <f>COUNTIF(Raw_Data!$C$2:$C$34,$A15)</f>
        <v>3</v>
      </c>
      <c r="D15" s="8">
        <f>AVERAGEIF(Raw_Data!$C$2:$C$34,$A15,Raw_Data!$D$2:$D$34)</f>
        <v>4.7663333333333329</v>
      </c>
      <c r="E15" s="8">
        <f>AVERAGEIF(Raw_Data!$C$2:$C$34,$A15,Raw_Data!$E$2:$E$34)</f>
        <v>4.9413333333333327</v>
      </c>
      <c r="F15" s="8">
        <f>AVERAGEIF(Raw_Data!$C$2:$C$34,$A15,Raw_Data!$F$2:$F$34)</f>
        <v>4.8496666666666668</v>
      </c>
      <c r="G15" s="8">
        <f>AVERAGEIF(Raw_Data!$C$2:$C$34,$A15,Raw_Data!$G$2:$G$34)</f>
        <v>4.112333333333333</v>
      </c>
      <c r="H15" s="8">
        <f>AVERAGEIF(Raw_Data!$C$2:$C$34,$A15,Raw_Data!$H$2:$H$34)</f>
        <v>6.5249999999999995</v>
      </c>
      <c r="I15" s="8">
        <f>AVERAGEIF(Raw_Data!$C$2:$C$34,$A15,Raw_Data!$I$2:$I$34)</f>
        <v>14.811333333333332</v>
      </c>
      <c r="J15" s="8">
        <f>AVERAGEIF(Raw_Data!$C$2:$C$34,$A15,Raw_Data!$J$2:$J$34)</f>
        <v>4.8053333333333335</v>
      </c>
      <c r="K15" s="8">
        <f>AVERAGEIF(Raw_Data!$C$2:$C$34,$A15,Raw_Data!$K$2:$K$34)</f>
        <v>9.4696666666666669</v>
      </c>
      <c r="L15" s="8">
        <f>AVERAGEIF(Raw_Data!$C$2:$C$34,$A15,Raw_Data!$L$2:$L$34)</f>
        <v>1.9803333333333333</v>
      </c>
      <c r="M15" s="8">
        <f>AVERAGEIF(Raw_Data!$C$2:$C$34,$A15,Raw_Data!$M$2:$M$34)</f>
        <v>4.8163333333333327</v>
      </c>
      <c r="N15" s="8">
        <f>AVERAGEIF(Raw_Data!$C$2:$C$34,$A15,Raw_Data!$N$2:$N$34)</f>
        <v>1.8836666666666666</v>
      </c>
      <c r="O15" s="8">
        <f>AVERAGEIF(Raw_Data!$C$2:$C$34,$A15,Raw_Data!$O$2:$O$34)</f>
        <v>3.9233333333333333</v>
      </c>
      <c r="P15" s="8">
        <f>AVERAGEIF(Raw_Data!$C$2:$C$34,$A15,Raw_Data!$P$2:$P$34)</f>
        <v>3.3506666666666667</v>
      </c>
      <c r="Q15" s="8">
        <f>AVERAGEIF(Raw_Data!$C$2:$C$34,$A15,Raw_Data!$Q$2:$Q$34)</f>
        <v>5.3006666666666673</v>
      </c>
      <c r="R15" s="8">
        <f>AVERAGEIF(Raw_Data!$C$2:$C$34,$A15,Raw_Data!$R$2:$R$34)</f>
        <v>75.536000000000001</v>
      </c>
      <c r="S15" s="8">
        <f>SQRT(SUMPRODUCT((Raw_Data!$C$2:$C$34=$A15)*(Raw_Data!$D$2:$D$34-D15)^2)/($C15-1))</f>
        <v>1.1271478755395554</v>
      </c>
      <c r="T15" s="8">
        <f>SQRT(SUMPRODUCT((Raw_Data!$C$2:$C$34=$A15)*(Raw_Data!$E$2:$E$34-E15)^2)/($C15-1))</f>
        <v>1.2181725384087976</v>
      </c>
      <c r="U15" s="8">
        <f>SQRT(SUMPRODUCT((Raw_Data!$C$2:$C$34=$A15)*(Raw_Data!$F$2:$F$34-F15)^2)/($C15-1))</f>
        <v>0.57300116346595065</v>
      </c>
      <c r="V15" s="8">
        <f>SQRT(SUMPRODUCT((Raw_Data!$C$2:$C$34=$A15)*(Raw_Data!$G$2:$G$34-G15)^2)/($C15-1))</f>
        <v>1.101960223117574</v>
      </c>
      <c r="W15" s="8">
        <f>SQRT(SUMPRODUCT((Raw_Data!$C$2:$C$34=$A15)*(Raw_Data!$H$2:$H$34-H15)^2)/($C15-1))</f>
        <v>0.13981416237277278</v>
      </c>
      <c r="X15" s="8">
        <f>SQRT(SUMPRODUCT((Raw_Data!$C$2:$C$34=$A15)*(Raw_Data!$I$2:$I$34-I15)^2)/($C15-1))</f>
        <v>2.0590518044316739</v>
      </c>
      <c r="Y15" s="8">
        <f>SQRT(SUMPRODUCT((Raw_Data!$C$2:$C$34=$A15)*(Raw_Data!$J$2:$J$34-J15)^2)/($C15-1))</f>
        <v>1.4319191085160272</v>
      </c>
      <c r="Z15" s="8">
        <f>SQRT(SUMPRODUCT((Raw_Data!$C$2:$C$34=$A15)*(Raw_Data!$K$2:$K$34-K15)^2)/($C15-1))</f>
        <v>2.8855876928856858</v>
      </c>
      <c r="AA15" s="8">
        <f>SQRT(SUMPRODUCT((Raw_Data!$C$2:$C$34=$A15)*(Raw_Data!$L$2:$L$34-L15)^2)/($C15-1))</f>
        <v>0.37088722454855916</v>
      </c>
      <c r="AB15" s="8">
        <f>SQRT(SUMPRODUCT((Raw_Data!$C$2:$C$34=$A15)*(Raw_Data!$M$2:$M$34-M15)^2)/($C15-1))</f>
        <v>0.57061925426095905</v>
      </c>
      <c r="AC15" s="8">
        <f>SQRT(SUMPRODUCT((Raw_Data!$C$2:$C$34=$A15)*(Raw_Data!$N$2:$N$34-N15)^2)/($C15-1))</f>
        <v>1.1989747008729306</v>
      </c>
      <c r="AD15" s="8">
        <f>SQRT(SUMPRODUCT((Raw_Data!$C$2:$C$34=$A15)*(Raw_Data!$O$2:$O$34-O15)^2)/($C15-1))</f>
        <v>0.67767273320780241</v>
      </c>
      <c r="AE15" s="8">
        <f>SQRT(SUMPRODUCT((Raw_Data!$C$2:$C$34=$A15)*(Raw_Data!$P$2:$P$34-P15)^2)/($C15-1))</f>
        <v>0.26420509709945672</v>
      </c>
      <c r="AF15" s="8">
        <f>SQRT(SUMPRODUCT((Raw_Data!$C$2:$C$34=$A15)*(Raw_Data!$Q$2:$Q$34-Q15)^2)/($C15-1))</f>
        <v>0.54951008483314778</v>
      </c>
      <c r="AG15" s="8">
        <f>SQRT(SUMPRODUCT((Raw_Data!$C$2:$C$34=$A15)*(Raw_Data!$R$2:$R$34-R15)^2)/($C15-1))</f>
        <v>6.8286236534165514</v>
      </c>
      <c r="AH15" s="8">
        <f>SUMPRODUCT(MAX((Raw_Data!$C$2:$C$34=$A15)*Raw_Data!$D$2:$D$34))</f>
        <v>5.4359999999999999</v>
      </c>
      <c r="AI15" s="8">
        <f>SUMPRODUCT(MAX((Raw_Data!$C$2:$C$34=$A15)*Raw_Data!$E$2:$E$34))</f>
        <v>6.3419999999999996</v>
      </c>
      <c r="AJ15" s="8">
        <f>SUMPRODUCT(MAX((Raw_Data!$C$2:$C$34=$A15)*Raw_Data!$F$2:$F$34))</f>
        <v>5.26</v>
      </c>
      <c r="AK15" s="8">
        <f>SUMPRODUCT(MAX((Raw_Data!$C$2:$C$34=$A15)*Raw_Data!$G$2:$G$34))</f>
        <v>5.3780000000000001</v>
      </c>
      <c r="AL15" s="8">
        <f>SUMPRODUCT(MAX((Raw_Data!$C$2:$C$34=$A15)*Raw_Data!$H$2:$H$34))</f>
        <v>6.6390000000000002</v>
      </c>
      <c r="AM15" s="8">
        <f>SUMPRODUCT(MAX((Raw_Data!$C$2:$C$34=$A15)*Raw_Data!$I$2:$I$34))</f>
        <v>17.181999999999999</v>
      </c>
      <c r="AN15" s="8">
        <f>SUMPRODUCT(MAX((Raw_Data!$C$2:$C$34=$A15)*Raw_Data!$J$2:$J$34))</f>
        <v>6.4020000000000001</v>
      </c>
      <c r="AO15" s="8">
        <f>SUMPRODUCT(MAX((Raw_Data!$C$2:$C$34=$A15)*Raw_Data!$K$2:$K$34))</f>
        <v>12.689</v>
      </c>
      <c r="AP15" s="8">
        <f>SUMPRODUCT(MAX((Raw_Data!$C$2:$C$34=$A15)*Raw_Data!$L$2:$L$34))</f>
        <v>2.407</v>
      </c>
      <c r="AQ15" s="8">
        <f>SUMPRODUCT(MAX((Raw_Data!$C$2:$C$34=$A15)*Raw_Data!$M$2:$M$34))</f>
        <v>5.4749999999999996</v>
      </c>
      <c r="AR15" s="8">
        <f>SUMPRODUCT(MAX((Raw_Data!$C$2:$C$34=$A15)*Raw_Data!$N$2:$N$34))</f>
        <v>2.6160000000000001</v>
      </c>
      <c r="AS15" s="8">
        <f>SUMPRODUCT(MAX((Raw_Data!$C$2:$C$34=$A15)*Raw_Data!$O$2:$O$34))</f>
        <v>4.3639999999999999</v>
      </c>
      <c r="AT15" s="8">
        <f>SUMPRODUCT(MAX((Raw_Data!$C$2:$C$34=$A15)*Raw_Data!$P$2:$P$34))</f>
        <v>3.645</v>
      </c>
      <c r="AU15" s="8">
        <f>SUMPRODUCT(MAX((Raw_Data!$C$2:$C$34=$A15)*Raw_Data!$Q$2:$Q$34))</f>
        <v>5.8360000000000003</v>
      </c>
      <c r="AV15" s="8">
        <f>SUMPRODUCT(MAX((Raw_Data!$C$2:$C$34=$A15)*Raw_Data!$R$2:$R$34))</f>
        <v>83.316999999999993</v>
      </c>
    </row>
    <row r="16" spans="1:48" ht="15" customHeight="1" x14ac:dyDescent="0.25">
      <c r="A16" s="6" t="s">
        <v>74</v>
      </c>
      <c r="B16" s="6" t="s">
        <v>19</v>
      </c>
      <c r="C16" s="10">
        <f>COUNTIF(Raw_Data!$C$2:$C$34,$A16)</f>
        <v>3</v>
      </c>
      <c r="D16" s="8">
        <f>AVERAGEIF(Raw_Data!$C$2:$C$34,$A16,Raw_Data!$D$2:$D$34)</f>
        <v>5.4953333333333338</v>
      </c>
      <c r="E16" s="8">
        <f>AVERAGEIF(Raw_Data!$C$2:$C$34,$A16,Raw_Data!$E$2:$E$34)</f>
        <v>5.8893333333333331</v>
      </c>
      <c r="F16" s="8">
        <f>AVERAGEIF(Raw_Data!$C$2:$C$34,$A16,Raw_Data!$F$2:$F$34)</f>
        <v>5.2126666666666663</v>
      </c>
      <c r="G16" s="8">
        <f>AVERAGEIF(Raw_Data!$C$2:$C$34,$A16,Raw_Data!$G$2:$G$34)</f>
        <v>6.944</v>
      </c>
      <c r="H16" s="8">
        <f>AVERAGEIF(Raw_Data!$C$2:$C$34,$A16,Raw_Data!$H$2:$H$34)</f>
        <v>7.4319999999999995</v>
      </c>
      <c r="I16" s="8">
        <f>AVERAGEIF(Raw_Data!$C$2:$C$34,$A16,Raw_Data!$I$2:$I$34)</f>
        <v>15.013666666666666</v>
      </c>
      <c r="J16" s="8">
        <f>AVERAGEIF(Raw_Data!$C$2:$C$34,$A16,Raw_Data!$J$2:$J$34)</f>
        <v>6.1423333333333332</v>
      </c>
      <c r="K16" s="8">
        <f>AVERAGEIF(Raw_Data!$C$2:$C$34,$A16,Raw_Data!$K$2:$K$34)</f>
        <v>12.096666666666666</v>
      </c>
      <c r="L16" s="8">
        <f>AVERAGEIF(Raw_Data!$C$2:$C$34,$A16,Raw_Data!$L$2:$L$34)</f>
        <v>3.1776666666666666</v>
      </c>
      <c r="M16" s="8">
        <f>AVERAGEIF(Raw_Data!$C$2:$C$34,$A16,Raw_Data!$M$2:$M$34)</f>
        <v>5.1403333333333334</v>
      </c>
      <c r="N16" s="8">
        <f>AVERAGEIF(Raw_Data!$C$2:$C$34,$A16,Raw_Data!$N$2:$N$34)</f>
        <v>2.9703333333333339</v>
      </c>
      <c r="O16" s="8">
        <f>AVERAGEIF(Raw_Data!$C$2:$C$34,$A16,Raw_Data!$O$2:$O$34)</f>
        <v>4.7450000000000001</v>
      </c>
      <c r="P16" s="8">
        <f>AVERAGEIF(Raw_Data!$C$2:$C$34,$A16,Raw_Data!$P$2:$P$34)</f>
        <v>3.3426666666666662</v>
      </c>
      <c r="Q16" s="8">
        <f>AVERAGEIF(Raw_Data!$C$2:$C$34,$A16,Raw_Data!$Q$2:$Q$34)</f>
        <v>4.6823333333333332</v>
      </c>
      <c r="R16" s="8">
        <f>AVERAGEIF(Raw_Data!$C$2:$C$34,$A16,Raw_Data!$R$2:$R$34)</f>
        <v>88.284333333333322</v>
      </c>
      <c r="S16" s="8">
        <f>SQRT(SUMPRODUCT((Raw_Data!$C$2:$C$34=$A16)*(Raw_Data!$D$2:$D$34-D16)^2)/($C16-1))</f>
        <v>0.56269204129197814</v>
      </c>
      <c r="T16" s="8">
        <f>SQRT(SUMPRODUCT((Raw_Data!$C$2:$C$34=$A16)*(Raw_Data!$E$2:$E$34-E16)^2)/($C16-1))</f>
        <v>1.5003204102235408</v>
      </c>
      <c r="U16" s="8">
        <f>SQRT(SUMPRODUCT((Raw_Data!$C$2:$C$34=$A16)*(Raw_Data!$F$2:$F$34-F16)^2)/($C16-1))</f>
        <v>0.90070213352324979</v>
      </c>
      <c r="V16" s="8">
        <f>SQRT(SUMPRODUCT((Raw_Data!$C$2:$C$34=$A16)*(Raw_Data!$G$2:$G$34-G16)^2)/($C16-1))</f>
        <v>1.4129723988811669</v>
      </c>
      <c r="W16" s="8">
        <f>SQRT(SUMPRODUCT((Raw_Data!$C$2:$C$34=$A16)*(Raw_Data!$H$2:$H$34-H16)^2)/($C16-1))</f>
        <v>0.16204011848921832</v>
      </c>
      <c r="X16" s="8">
        <f>SQRT(SUMPRODUCT((Raw_Data!$C$2:$C$34=$A16)*(Raw_Data!$I$2:$I$34-I16)^2)/($C16-1))</f>
        <v>1.1055136061276374</v>
      </c>
      <c r="Y16" s="8">
        <f>SQRT(SUMPRODUCT((Raw_Data!$C$2:$C$34=$A16)*(Raw_Data!$J$2:$J$34-J16)^2)/($C16-1))</f>
        <v>0.51773963855719374</v>
      </c>
      <c r="Z16" s="8">
        <f>SQRT(SUMPRODUCT((Raw_Data!$C$2:$C$34=$A16)*(Raw_Data!$K$2:$K$34-K16)^2)/($C16-1))</f>
        <v>1.0519545300693049</v>
      </c>
      <c r="AA16" s="8">
        <f>SQRT(SUMPRODUCT((Raw_Data!$C$2:$C$34=$A16)*(Raw_Data!$L$2:$L$34-L16)^2)/($C16-1))</f>
        <v>0.92122328093320205</v>
      </c>
      <c r="AB16" s="8">
        <f>SQRT(SUMPRODUCT((Raw_Data!$C$2:$C$34=$A16)*(Raw_Data!$M$2:$M$34-M16)^2)/($C16-1))</f>
        <v>1.1261284710606219</v>
      </c>
      <c r="AC16" s="8">
        <f>SQRT(SUMPRODUCT((Raw_Data!$C$2:$C$34=$A16)*(Raw_Data!$N$2:$N$34-N16)^2)/($C16-1))</f>
        <v>0.44372551575645652</v>
      </c>
      <c r="AD16" s="8">
        <f>SQRT(SUMPRODUCT((Raw_Data!$C$2:$C$34=$A16)*(Raw_Data!$O$2:$O$34-O16)^2)/($C16-1))</f>
        <v>0.40454542390193926</v>
      </c>
      <c r="AE16" s="8">
        <f>SQRT(SUMPRODUCT((Raw_Data!$C$2:$C$34=$A16)*(Raw_Data!$P$2:$P$34-P16)^2)/($C16-1))</f>
        <v>0.8775724091682312</v>
      </c>
      <c r="AF16" s="8">
        <f>SQRT(SUMPRODUCT((Raw_Data!$C$2:$C$34=$A16)*(Raw_Data!$Q$2:$Q$34-Q16)^2)/($C16-1))</f>
        <v>0.64901566493678176</v>
      </c>
      <c r="AG16" s="8">
        <f>SQRT(SUMPRODUCT((Raw_Data!$C$2:$C$34=$A16)*(Raw_Data!$R$2:$R$34-R16)^2)/($C16-1))</f>
        <v>3.9111662369852391</v>
      </c>
      <c r="AH16" s="8">
        <f>SUMPRODUCT(MAX((Raw_Data!$C$2:$C$34=$A16)*Raw_Data!$D$2:$D$34))</f>
        <v>5.9470000000000001</v>
      </c>
      <c r="AI16" s="8">
        <f>SUMPRODUCT(MAX((Raw_Data!$C$2:$C$34=$A16)*Raw_Data!$E$2:$E$34))</f>
        <v>7.3520000000000003</v>
      </c>
      <c r="AJ16" s="8">
        <f>SUMPRODUCT(MAX((Raw_Data!$C$2:$C$34=$A16)*Raw_Data!$F$2:$F$34))</f>
        <v>6.2350000000000003</v>
      </c>
      <c r="AK16" s="8">
        <f>SUMPRODUCT(MAX((Raw_Data!$C$2:$C$34=$A16)*Raw_Data!$G$2:$G$34))</f>
        <v>7.915</v>
      </c>
      <c r="AL16" s="8">
        <f>SUMPRODUCT(MAX((Raw_Data!$C$2:$C$34=$A16)*Raw_Data!$H$2:$H$34))</f>
        <v>7.5309999999999997</v>
      </c>
      <c r="AM16" s="8">
        <f>SUMPRODUCT(MAX((Raw_Data!$C$2:$C$34=$A16)*Raw_Data!$I$2:$I$34))</f>
        <v>15.909000000000001</v>
      </c>
      <c r="AN16" s="8">
        <f>SUMPRODUCT(MAX((Raw_Data!$C$2:$C$34=$A16)*Raw_Data!$J$2:$J$34))</f>
        <v>6.7140000000000004</v>
      </c>
      <c r="AO16" s="8">
        <f>SUMPRODUCT(MAX((Raw_Data!$C$2:$C$34=$A16)*Raw_Data!$K$2:$K$34))</f>
        <v>13.2</v>
      </c>
      <c r="AP16" s="8">
        <f>SUMPRODUCT(MAX((Raw_Data!$C$2:$C$34=$A16)*Raw_Data!$L$2:$L$34))</f>
        <v>4.234</v>
      </c>
      <c r="AQ16" s="8">
        <f>SUMPRODUCT(MAX((Raw_Data!$C$2:$C$34=$A16)*Raw_Data!$M$2:$M$34))</f>
        <v>6.3550000000000004</v>
      </c>
      <c r="AR16" s="8">
        <f>SUMPRODUCT(MAX((Raw_Data!$C$2:$C$34=$A16)*Raw_Data!$N$2:$N$34))</f>
        <v>3.4220000000000002</v>
      </c>
      <c r="AS16" s="8">
        <f>SUMPRODUCT(MAX((Raw_Data!$C$2:$C$34=$A16)*Raw_Data!$O$2:$O$34))</f>
        <v>5.1529999999999996</v>
      </c>
      <c r="AT16" s="8">
        <f>SUMPRODUCT(MAX((Raw_Data!$C$2:$C$34=$A16)*Raw_Data!$P$2:$P$34))</f>
        <v>4.3559999999999999</v>
      </c>
      <c r="AU16" s="8">
        <f>SUMPRODUCT(MAX((Raw_Data!$C$2:$C$34=$A16)*Raw_Data!$Q$2:$Q$34))</f>
        <v>5.3929999999999998</v>
      </c>
      <c r="AV16" s="8">
        <f>SUMPRODUCT(MAX((Raw_Data!$C$2:$C$34=$A16)*Raw_Data!$R$2:$R$34))</f>
        <v>92.578999999999979</v>
      </c>
    </row>
    <row r="17" spans="1:48" ht="15" customHeight="1" x14ac:dyDescent="0.25">
      <c r="A17" s="6" t="s">
        <v>78</v>
      </c>
      <c r="B17" s="6" t="s">
        <v>19</v>
      </c>
      <c r="C17" s="10">
        <f>COUNTIF(Raw_Data!$C$2:$C$34,$A17)</f>
        <v>3</v>
      </c>
      <c r="D17" s="8">
        <f>AVERAGEIF(Raw_Data!$C$2:$C$34,$A17,Raw_Data!$D$2:$D$34)</f>
        <v>7.1149999999999993</v>
      </c>
      <c r="E17" s="8">
        <f>AVERAGEIF(Raw_Data!$C$2:$C$34,$A17,Raw_Data!$E$2:$E$34)</f>
        <v>9.2973333333333343</v>
      </c>
      <c r="F17" s="8">
        <f>AVERAGEIF(Raw_Data!$C$2:$C$34,$A17,Raw_Data!$F$2:$F$34)</f>
        <v>5.55</v>
      </c>
      <c r="G17" s="8">
        <f>AVERAGEIF(Raw_Data!$C$2:$C$34,$A17,Raw_Data!$G$2:$G$34)</f>
        <v>8.2313333333333336</v>
      </c>
      <c r="H17" s="8">
        <f>AVERAGEIF(Raw_Data!$C$2:$C$34,$A17,Raw_Data!$H$2:$H$34)</f>
        <v>7.3569999999999993</v>
      </c>
      <c r="I17" s="8">
        <f>AVERAGEIF(Raw_Data!$C$2:$C$34,$A17,Raw_Data!$I$2:$I$34)</f>
        <v>16.916</v>
      </c>
      <c r="J17" s="8">
        <f>AVERAGEIF(Raw_Data!$C$2:$C$34,$A17,Raw_Data!$J$2:$J$34)</f>
        <v>7.0643333333333338</v>
      </c>
      <c r="K17" s="8">
        <f>AVERAGEIF(Raw_Data!$C$2:$C$34,$A17,Raw_Data!$K$2:$K$34)</f>
        <v>10.976666666666667</v>
      </c>
      <c r="L17" s="8">
        <f>AVERAGEIF(Raw_Data!$C$2:$C$34,$A17,Raw_Data!$L$2:$L$34)</f>
        <v>3.3540000000000005</v>
      </c>
      <c r="M17" s="8">
        <f>AVERAGEIF(Raw_Data!$C$2:$C$34,$A17,Raw_Data!$M$2:$M$34)</f>
        <v>7.2586666666666666</v>
      </c>
      <c r="N17" s="8">
        <f>AVERAGEIF(Raw_Data!$C$2:$C$34,$A17,Raw_Data!$N$2:$N$34)</f>
        <v>3.742666666666667</v>
      </c>
      <c r="O17" s="8">
        <f>AVERAGEIF(Raw_Data!$C$2:$C$34,$A17,Raw_Data!$O$2:$O$34)</f>
        <v>5.8973333333333331</v>
      </c>
      <c r="P17" s="8">
        <f>AVERAGEIF(Raw_Data!$C$2:$C$34,$A17,Raw_Data!$P$2:$P$34)</f>
        <v>4.4453333333333331</v>
      </c>
      <c r="Q17" s="8">
        <f>AVERAGEIF(Raw_Data!$C$2:$C$34,$A17,Raw_Data!$Q$2:$Q$34)</f>
        <v>5.6109999999999998</v>
      </c>
      <c r="R17" s="8">
        <f>AVERAGEIF(Raw_Data!$C$2:$C$34,$A17,Raw_Data!$R$2:$R$34)</f>
        <v>102.81666666666666</v>
      </c>
      <c r="S17" s="8">
        <f>SQRT(SUMPRODUCT((Raw_Data!$C$2:$C$34=$A17)*(Raw_Data!$D$2:$D$34-D17)^2)/($C17-1))</f>
        <v>0.397287049877038</v>
      </c>
      <c r="T17" s="8">
        <f>SQRT(SUMPRODUCT((Raw_Data!$C$2:$C$34=$A17)*(Raw_Data!$E$2:$E$34-E17)^2)/($C17-1))</f>
        <v>0.89392244257168885</v>
      </c>
      <c r="U17" s="8">
        <f>SQRT(SUMPRODUCT((Raw_Data!$C$2:$C$34=$A17)*(Raw_Data!$F$2:$F$34-F17)^2)/($C17-1))</f>
        <v>0.5302820004488179</v>
      </c>
      <c r="V17" s="8">
        <f>SQRT(SUMPRODUCT((Raw_Data!$C$2:$C$34=$A17)*(Raw_Data!$G$2:$G$34-G17)^2)/($C17-1))</f>
        <v>0.54601495706009129</v>
      </c>
      <c r="W17" s="8">
        <f>SQRT(SUMPRODUCT((Raw_Data!$C$2:$C$34=$A17)*(Raw_Data!$H$2:$H$34-H17)^2)/($C17-1))</f>
        <v>1.3197105743305995</v>
      </c>
      <c r="X17" s="8">
        <f>SQRT(SUMPRODUCT((Raw_Data!$C$2:$C$34=$A17)*(Raw_Data!$I$2:$I$34-I17)^2)/($C17-1))</f>
        <v>1.0699172865226536</v>
      </c>
      <c r="Y17" s="8">
        <f>SQRT(SUMPRODUCT((Raw_Data!$C$2:$C$34=$A17)*(Raw_Data!$J$2:$J$34-J17)^2)/($C17-1))</f>
        <v>1.5195006855323669</v>
      </c>
      <c r="Z17" s="8">
        <f>SQRT(SUMPRODUCT((Raw_Data!$C$2:$C$34=$A17)*(Raw_Data!$K$2:$K$34-K17)^2)/($C17-1))</f>
        <v>1.86817727567095</v>
      </c>
      <c r="AA17" s="8">
        <f>SQRT(SUMPRODUCT((Raw_Data!$C$2:$C$34=$A17)*(Raw_Data!$L$2:$L$34-L17)^2)/($C17-1))</f>
        <v>0.48285505071397972</v>
      </c>
      <c r="AB17" s="8">
        <f>SQRT(SUMPRODUCT((Raw_Data!$C$2:$C$34=$A17)*(Raw_Data!$M$2:$M$34-M17)^2)/($C17-1))</f>
        <v>0.62162394848761482</v>
      </c>
      <c r="AC17" s="8">
        <f>SQRT(SUMPRODUCT((Raw_Data!$C$2:$C$34=$A17)*(Raw_Data!$N$2:$N$34-N17)^2)/($C17-1))</f>
        <v>0.59042555274423314</v>
      </c>
      <c r="AD17" s="8">
        <f>SQRT(SUMPRODUCT((Raw_Data!$C$2:$C$34=$A17)*(Raw_Data!$O$2:$O$34-O17)^2)/($C17-1))</f>
        <v>0.55250731518535867</v>
      </c>
      <c r="AE17" s="8">
        <f>SQRT(SUMPRODUCT((Raw_Data!$C$2:$C$34=$A17)*(Raw_Data!$P$2:$P$34-P17)^2)/($C17-1))</f>
        <v>0.88920432597538179</v>
      </c>
      <c r="AF17" s="8">
        <f>SQRT(SUMPRODUCT((Raw_Data!$C$2:$C$34=$A17)*(Raw_Data!$Q$2:$Q$34-Q17)^2)/($C17-1))</f>
        <v>1.037412164956629</v>
      </c>
      <c r="AG17" s="8">
        <f>SQRT(SUMPRODUCT((Raw_Data!$C$2:$C$34=$A17)*(Raw_Data!$R$2:$R$34-R17)^2)/($C17-1))</f>
        <v>6.5669056893892801</v>
      </c>
      <c r="AH17" s="8">
        <f>SUMPRODUCT(MAX((Raw_Data!$C$2:$C$34=$A17)*Raw_Data!$D$2:$D$34))</f>
        <v>7.5430000000000001</v>
      </c>
      <c r="AI17" s="8">
        <f>SUMPRODUCT(MAX((Raw_Data!$C$2:$C$34=$A17)*Raw_Data!$E$2:$E$34))</f>
        <v>9.9260000000000002</v>
      </c>
      <c r="AJ17" s="8">
        <f>SUMPRODUCT(MAX((Raw_Data!$C$2:$C$34=$A17)*Raw_Data!$F$2:$F$34))</f>
        <v>5.9630000000000001</v>
      </c>
      <c r="AK17" s="8">
        <f>SUMPRODUCT(MAX((Raw_Data!$C$2:$C$34=$A17)*Raw_Data!$G$2:$G$34))</f>
        <v>8.8559999999999999</v>
      </c>
      <c r="AL17" s="8">
        <f>SUMPRODUCT(MAX((Raw_Data!$C$2:$C$34=$A17)*Raw_Data!$H$2:$H$34))</f>
        <v>8.2110000000000003</v>
      </c>
      <c r="AM17" s="8">
        <f>SUMPRODUCT(MAX((Raw_Data!$C$2:$C$34=$A17)*Raw_Data!$I$2:$I$34))</f>
        <v>18.024999999999999</v>
      </c>
      <c r="AN17" s="8">
        <f>SUMPRODUCT(MAX((Raw_Data!$C$2:$C$34=$A17)*Raw_Data!$J$2:$J$34))</f>
        <v>8.1509999999999998</v>
      </c>
      <c r="AO17" s="8">
        <f>SUMPRODUCT(MAX((Raw_Data!$C$2:$C$34=$A17)*Raw_Data!$K$2:$K$34))</f>
        <v>12.987</v>
      </c>
      <c r="AP17" s="8">
        <f>SUMPRODUCT(MAX((Raw_Data!$C$2:$C$34=$A17)*Raw_Data!$L$2:$L$34))</f>
        <v>3.6539999999999999</v>
      </c>
      <c r="AQ17" s="8">
        <f>SUMPRODUCT(MAX((Raw_Data!$C$2:$C$34=$A17)*Raw_Data!$M$2:$M$34))</f>
        <v>7.6289999999999996</v>
      </c>
      <c r="AR17" s="8">
        <f>SUMPRODUCT(MAX((Raw_Data!$C$2:$C$34=$A17)*Raw_Data!$N$2:$N$34))</f>
        <v>4.2930000000000001</v>
      </c>
      <c r="AS17" s="8">
        <f>SUMPRODUCT(MAX((Raw_Data!$C$2:$C$34=$A17)*Raw_Data!$O$2:$O$34))</f>
        <v>6.4749999999999996</v>
      </c>
      <c r="AT17" s="8">
        <f>SUMPRODUCT(MAX((Raw_Data!$C$2:$C$34=$A17)*Raw_Data!$P$2:$P$34))</f>
        <v>5.4669999999999996</v>
      </c>
      <c r="AU17" s="8">
        <f>SUMPRODUCT(MAX((Raw_Data!$C$2:$C$34=$A17)*Raw_Data!$Q$2:$Q$34))</f>
        <v>6.5389999999999997</v>
      </c>
      <c r="AV17" s="8">
        <f>SUMPRODUCT(MAX((Raw_Data!$C$2:$C$34=$A17)*Raw_Data!$R$2:$R$34))</f>
        <v>109.85799999999999</v>
      </c>
    </row>
    <row r="18" spans="1:48" ht="15" customHeight="1" x14ac:dyDescent="0.25">
      <c r="A18" s="6" t="s">
        <v>82</v>
      </c>
      <c r="B18" s="6" t="s">
        <v>19</v>
      </c>
      <c r="C18" s="10">
        <f>COUNTIF(Raw_Data!$C$2:$C$34,$A18)</f>
        <v>3</v>
      </c>
      <c r="D18" s="8">
        <f>AVERAGEIF(Raw_Data!$C$2:$C$34,$A18,Raw_Data!$D$2:$D$34)</f>
        <v>9.0266666666666655</v>
      </c>
      <c r="E18" s="8">
        <f>AVERAGEIF(Raw_Data!$C$2:$C$34,$A18,Raw_Data!$E$2:$E$34)</f>
        <v>12.452399999999999</v>
      </c>
      <c r="F18" s="8">
        <f>AVERAGEIF(Raw_Data!$C$2:$C$34,$A18,Raw_Data!$F$2:$F$34)</f>
        <v>9.2379999999999995</v>
      </c>
      <c r="G18" s="8">
        <f>AVERAGEIF(Raw_Data!$C$2:$C$34,$A18,Raw_Data!$G$2:$G$34)</f>
        <v>10.465333333333334</v>
      </c>
      <c r="H18" s="8">
        <f>AVERAGEIF(Raw_Data!$C$2:$C$34,$A18,Raw_Data!$H$2:$H$34)</f>
        <v>9.1506666666666678</v>
      </c>
      <c r="I18" s="8">
        <f>AVERAGEIF(Raw_Data!$C$2:$C$34,$A18,Raw_Data!$I$2:$I$34)</f>
        <v>21.214666666666666</v>
      </c>
      <c r="J18" s="8">
        <f>AVERAGEIF(Raw_Data!$C$2:$C$34,$A18,Raw_Data!$J$2:$J$34)</f>
        <v>8.2456666666666667</v>
      </c>
      <c r="K18" s="8">
        <f>AVERAGEIF(Raw_Data!$C$2:$C$34,$A18,Raw_Data!$K$2:$K$34)</f>
        <v>13.670333333333334</v>
      </c>
      <c r="L18" s="8">
        <f>AVERAGEIF(Raw_Data!$C$2:$C$34,$A18,Raw_Data!$L$2:$L$34)</f>
        <v>5.2700000000000005</v>
      </c>
      <c r="M18" s="8">
        <f>AVERAGEIF(Raw_Data!$C$2:$C$34,$A18,Raw_Data!$M$2:$M$34)</f>
        <v>13.517000000000001</v>
      </c>
      <c r="N18" s="8">
        <f>AVERAGEIF(Raw_Data!$C$2:$C$34,$A18,Raw_Data!$N$2:$N$34)</f>
        <v>6.5236666666666663</v>
      </c>
      <c r="O18" s="8">
        <f>AVERAGEIF(Raw_Data!$C$2:$C$34,$A18,Raw_Data!$O$2:$O$34)</f>
        <v>8.6383333333333336</v>
      </c>
      <c r="P18" s="8">
        <f>AVERAGEIF(Raw_Data!$C$2:$C$34,$A18,Raw_Data!$P$2:$P$34)</f>
        <v>5.9156666666666666</v>
      </c>
      <c r="Q18" s="8">
        <f>AVERAGEIF(Raw_Data!$C$2:$C$34,$A18,Raw_Data!$Q$2:$Q$34)</f>
        <v>8.7763333333333335</v>
      </c>
      <c r="R18" s="8">
        <f>AVERAGEIF(Raw_Data!$C$2:$C$34,$A18,Raw_Data!$R$2:$R$34)</f>
        <v>142.10473333333334</v>
      </c>
      <c r="S18" s="8">
        <f>SQRT(SUMPRODUCT((Raw_Data!$C$2:$C$34=$A18)*(Raw_Data!$D$2:$D$34-D18)^2)/($C18-1))</f>
        <v>1.8945480551660159</v>
      </c>
      <c r="T18" s="8">
        <f>SQRT(SUMPRODUCT((Raw_Data!$C$2:$C$34=$A18)*(Raw_Data!$E$2:$E$34-E18)^2)/($C18-1))</f>
        <v>2.9857898921390977</v>
      </c>
      <c r="U18" s="8">
        <f>SQRT(SUMPRODUCT((Raw_Data!$C$2:$C$34=$A18)*(Raw_Data!$F$2:$F$34-F18)^2)/($C18-1))</f>
        <v>0.35948435292791225</v>
      </c>
      <c r="V18" s="8">
        <f>SQRT(SUMPRODUCT((Raw_Data!$C$2:$C$34=$A18)*(Raw_Data!$G$2:$G$34-G18)^2)/($C18-1))</f>
        <v>0.25316858678227327</v>
      </c>
      <c r="W18" s="8">
        <f>SQRT(SUMPRODUCT((Raw_Data!$C$2:$C$34=$A18)*(Raw_Data!$H$2:$H$34-H18)^2)/($C18-1))</f>
        <v>1.4080036695027942</v>
      </c>
      <c r="X18" s="8">
        <f>SQRT(SUMPRODUCT((Raw_Data!$C$2:$C$34=$A18)*(Raw_Data!$I$2:$I$34-I18)^2)/($C18-1))</f>
        <v>2.0130477722432043</v>
      </c>
      <c r="Y18" s="8">
        <f>SQRT(SUMPRODUCT((Raw_Data!$C$2:$C$34=$A18)*(Raw_Data!$J$2:$J$34-J18)^2)/($C18-1))</f>
        <v>1.0667227068612222</v>
      </c>
      <c r="Z18" s="8">
        <f>SQRT(SUMPRODUCT((Raw_Data!$C$2:$C$34=$A18)*(Raw_Data!$K$2:$K$34-K18)^2)/($C18-1))</f>
        <v>1.5217740743399906</v>
      </c>
      <c r="AA18" s="8">
        <f>SQRT(SUMPRODUCT((Raw_Data!$C$2:$C$34=$A18)*(Raw_Data!$L$2:$L$34-L18)^2)/($C18-1))</f>
        <v>0.21444812892632098</v>
      </c>
      <c r="AB18" s="8">
        <f>SQRT(SUMPRODUCT((Raw_Data!$C$2:$C$34=$A18)*(Raw_Data!$M$2:$M$34-M18)^2)/($C18-1))</f>
        <v>0.98006377343517825</v>
      </c>
      <c r="AC18" s="8">
        <f>SQRT(SUMPRODUCT((Raw_Data!$C$2:$C$34=$A18)*(Raw_Data!$N$2:$N$34-N18)^2)/($C18-1))</f>
        <v>0.21792276919434841</v>
      </c>
      <c r="AD18" s="8">
        <f>SQRT(SUMPRODUCT((Raw_Data!$C$2:$C$34=$A18)*(Raw_Data!$O$2:$O$34-O18)^2)/($C18-1))</f>
        <v>1.0956095715780021</v>
      </c>
      <c r="AE18" s="8">
        <f>SQRT(SUMPRODUCT((Raw_Data!$C$2:$C$34=$A18)*(Raw_Data!$P$2:$P$34-P18)^2)/($C18-1))</f>
        <v>0.81145075841564995</v>
      </c>
      <c r="AF18" s="8">
        <f>SQRT(SUMPRODUCT((Raw_Data!$C$2:$C$34=$A18)*(Raw_Data!$Q$2:$Q$34-Q18)^2)/($C18-1))</f>
        <v>1.2223364239575512</v>
      </c>
      <c r="AG18" s="8">
        <f>SQRT(SUMPRODUCT((Raw_Data!$C$2:$C$34=$A18)*(Raw_Data!$R$2:$R$34-R18)^2)/($C18-1))</f>
        <v>3.925618857369277</v>
      </c>
      <c r="AH18" s="8">
        <f>SUMPRODUCT(MAX((Raw_Data!$C$2:$C$34=$A18)*Raw_Data!$D$2:$D$34))</f>
        <v>11.138</v>
      </c>
      <c r="AI18" s="8">
        <f>SUMPRODUCT(MAX((Raw_Data!$C$2:$C$34=$A18)*Raw_Data!$E$2:$E$34))</f>
        <v>15.7972</v>
      </c>
      <c r="AJ18" s="8">
        <f>SUMPRODUCT(MAX((Raw_Data!$C$2:$C$34=$A18)*Raw_Data!$F$2:$F$34))</f>
        <v>9.5459999999999994</v>
      </c>
      <c r="AK18" s="8">
        <f>SUMPRODUCT(MAX((Raw_Data!$C$2:$C$34=$A18)*Raw_Data!$G$2:$G$34))</f>
        <v>10.612</v>
      </c>
      <c r="AL18" s="8">
        <f>SUMPRODUCT(MAX((Raw_Data!$C$2:$C$34=$A18)*Raw_Data!$H$2:$H$34))</f>
        <v>9.9830000000000005</v>
      </c>
      <c r="AM18" s="8">
        <f>SUMPRODUCT(MAX((Raw_Data!$C$2:$C$34=$A18)*Raw_Data!$I$2:$I$34))</f>
        <v>23.15</v>
      </c>
      <c r="AN18" s="8">
        <f>SUMPRODUCT(MAX((Raw_Data!$C$2:$C$34=$A18)*Raw_Data!$J$2:$J$34))</f>
        <v>9.4369999999999994</v>
      </c>
      <c r="AO18" s="8">
        <f>SUMPRODUCT(MAX((Raw_Data!$C$2:$C$34=$A18)*Raw_Data!$K$2:$K$34))</f>
        <v>14.618</v>
      </c>
      <c r="AP18" s="8">
        <f>SUMPRODUCT(MAX((Raw_Data!$C$2:$C$34=$A18)*Raw_Data!$L$2:$L$34))</f>
        <v>5.476</v>
      </c>
      <c r="AQ18" s="8">
        <f>SUMPRODUCT(MAX((Raw_Data!$C$2:$C$34=$A18)*Raw_Data!$M$2:$M$34))</f>
        <v>14.612</v>
      </c>
      <c r="AR18" s="8">
        <f>SUMPRODUCT(MAX((Raw_Data!$C$2:$C$34=$A18)*Raw_Data!$N$2:$N$34))</f>
        <v>6.7489999999999997</v>
      </c>
      <c r="AS18" s="8">
        <f>SUMPRODUCT(MAX((Raw_Data!$C$2:$C$34=$A18)*Raw_Data!$O$2:$O$34))</f>
        <v>9.4779999999999998</v>
      </c>
      <c r="AT18" s="8">
        <f>SUMPRODUCT(MAX((Raw_Data!$C$2:$C$34=$A18)*Raw_Data!$P$2:$P$34))</f>
        <v>6.8460000000000001</v>
      </c>
      <c r="AU18" s="8">
        <f>SUMPRODUCT(MAX((Raw_Data!$C$2:$C$34=$A18)*Raw_Data!$Q$2:$Q$34))</f>
        <v>10.176</v>
      </c>
      <c r="AV18" s="8">
        <f>SUMPRODUCT(MAX((Raw_Data!$C$2:$C$34=$A18)*Raw_Data!$R$2:$R$34))</f>
        <v>145.173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4"/>
  <sheetViews>
    <sheetView zoomScaleNormal="100" workbookViewId="0">
      <selection activeCell="L4" sqref="L4"/>
    </sheetView>
  </sheetViews>
  <sheetFormatPr defaultColWidth="8.7109375" defaultRowHeight="15" x14ac:dyDescent="0.25"/>
  <cols>
    <col min="1" max="1" width="26" style="1" customWidth="1"/>
    <col min="2" max="2" width="14" style="1" customWidth="1"/>
    <col min="3" max="4" width="10" style="1" customWidth="1"/>
    <col min="5" max="5" width="14" style="1" customWidth="1"/>
    <col min="6" max="6" width="15" style="1" customWidth="1"/>
    <col min="7" max="7" width="18" style="1" customWidth="1"/>
    <col min="8" max="8" width="10" style="1" customWidth="1"/>
    <col min="9" max="10" width="14" style="1" customWidth="1"/>
    <col min="11" max="11" width="20" style="1" customWidth="1"/>
    <col min="12" max="12" width="30" style="1" customWidth="1"/>
    <col min="13" max="13" width="38" style="1" customWidth="1"/>
  </cols>
  <sheetData>
    <row r="1" spans="1:13" ht="15.75" customHeight="1" x14ac:dyDescent="0.25">
      <c r="A1" s="9" t="s">
        <v>150</v>
      </c>
    </row>
    <row r="3" spans="1:13" ht="23.25" customHeight="1" x14ac:dyDescent="0.25">
      <c r="A3" s="5" t="s">
        <v>19</v>
      </c>
      <c r="B3" s="5" t="s">
        <v>151</v>
      </c>
      <c r="C3" s="5" t="s">
        <v>152</v>
      </c>
      <c r="D3" s="5" t="s">
        <v>153</v>
      </c>
      <c r="E3" s="5" t="s">
        <v>154</v>
      </c>
      <c r="F3" s="5" t="s">
        <v>155</v>
      </c>
      <c r="G3" s="5" t="s">
        <v>156</v>
      </c>
      <c r="H3" s="5" t="s">
        <v>36</v>
      </c>
      <c r="I3" s="5" t="s">
        <v>157</v>
      </c>
      <c r="J3" s="5" t="s">
        <v>158</v>
      </c>
      <c r="K3" s="5" t="s">
        <v>159</v>
      </c>
      <c r="L3" s="5" t="s">
        <v>160</v>
      </c>
      <c r="M3" s="5" t="s">
        <v>161</v>
      </c>
    </row>
    <row r="4" spans="1:13" ht="15" customHeight="1" x14ac:dyDescent="0.25">
      <c r="A4" s="6" t="s">
        <v>40</v>
      </c>
      <c r="B4" s="8">
        <f>Zone_Site_Means!$D$8+Zone_Site_Means!$E$8</f>
        <v>4.2956666666666674</v>
      </c>
      <c r="C4" s="8">
        <f>Zone_Site_Means!$F$8+Zone_Site_Means!$G$8</f>
        <v>4.9390000000000001</v>
      </c>
      <c r="D4" s="8">
        <f>Zone_Site_Means!$H$8+Zone_Site_Means!$I$8</f>
        <v>12.165666666666667</v>
      </c>
      <c r="E4" s="8">
        <f t="shared" ref="E4:E14" si="0">IF((C4+D4)=0,"n/a",B4/(C4+D4))</f>
        <v>0.25114003975523252</v>
      </c>
      <c r="F4" s="8">
        <f t="shared" ref="F4:F14" si="1">IF((B4+C4+D4)=0,"n/a",(C4+D4)/(B4+C4+D4))</f>
        <v>0.79927103939190969</v>
      </c>
      <c r="G4" s="8">
        <f t="shared" ref="G4:G14" si="2">IF(D4=0,"undefined (DDE nd)",C4/D4)</f>
        <v>0.40597857358139028</v>
      </c>
      <c r="H4" s="8">
        <f>Zone_Site_Means!$J$8+Zone_Site_Means!$K$8+Zone_Site_Means!$L$8+Zone_Site_Means!$M$8</f>
        <v>7.8726666666666656</v>
      </c>
      <c r="I4" s="11">
        <f>IF(H4=0,"n/a",Zone_Site_Means!$J$8/H4*100)</f>
        <v>34.956389194682032</v>
      </c>
      <c r="J4" s="11">
        <f>IF(H4=0,"n/a",Zone_Site_Means!$K$8/H4*100)</f>
        <v>52.341434499110839</v>
      </c>
      <c r="K4" s="14">
        <f>IF(Zone_Site_Means!$L$8=0,"undefined (γ-HCH nd)",Zone_Site_Means!$J$8/Zone_Site_Means!$L$8)</f>
        <v>5.5040000000000004</v>
      </c>
      <c r="L4" s="10" t="str">
        <f t="shared" ref="L4:L14" si="3">IF(E4="n/a","n/a",IF(E4&gt;1,"Fresh DDT input (ratio &gt; 1)","Aged DDT residue (ratio &lt; 1)"))</f>
        <v>Aged DDT residue (ratio &lt; 1)</v>
      </c>
      <c r="M4" s="10" t="str">
        <f t="shared" ref="M4:M14" si="4">IF(H4=0,"no HCH detected",IF(J4&gt;10,"Weathered technical HCH (β-enriched, no γ)","Technical HCH"))</f>
        <v>Weathered technical HCH (β-enriched, no γ)</v>
      </c>
    </row>
    <row r="5" spans="1:13" ht="15" customHeight="1" x14ac:dyDescent="0.25">
      <c r="A5" s="6" t="s">
        <v>44</v>
      </c>
      <c r="B5" s="8">
        <f>Zone_Site_Means!$D$9+Zone_Site_Means!$E$9</f>
        <v>1</v>
      </c>
      <c r="C5" s="8">
        <f>Zone_Site_Means!$F$9+Zone_Site_Means!$G$9</f>
        <v>1</v>
      </c>
      <c r="D5" s="8">
        <f>Zone_Site_Means!$H$9+Zone_Site_Means!$I$9</f>
        <v>8.7096666666666671</v>
      </c>
      <c r="E5" s="8">
        <f t="shared" si="0"/>
        <v>0.1029901472759106</v>
      </c>
      <c r="F5" s="8">
        <f t="shared" si="1"/>
        <v>0.90662641227551433</v>
      </c>
      <c r="G5" s="8">
        <f t="shared" si="2"/>
        <v>0.11481495656167476</v>
      </c>
      <c r="H5" s="8">
        <f>Zone_Site_Means!$J$9+Zone_Site_Means!$K$9+Zone_Site_Means!$L$9+Zone_Site_Means!$M$9</f>
        <v>4.8586666666666671</v>
      </c>
      <c r="I5" s="11">
        <f>IF(H5=0,"n/a",Zone_Site_Means!$J$9/H5*100)</f>
        <v>29.246706915477493</v>
      </c>
      <c r="J5" s="11">
        <f>IF(H5=0,"n/a",Zone_Site_Means!$K$9/H5*100)</f>
        <v>50.171514818880347</v>
      </c>
      <c r="K5" s="14">
        <f>IF(Zone_Site_Means!$L$9=0,"undefined (γ-HCH nd)",Zone_Site_Means!$J$9/Zone_Site_Means!$L$9)</f>
        <v>2.8420000000000001</v>
      </c>
      <c r="L5" s="10" t="str">
        <f t="shared" si="3"/>
        <v>Aged DDT residue (ratio &lt; 1)</v>
      </c>
      <c r="M5" s="10" t="str">
        <f t="shared" si="4"/>
        <v>Weathered technical HCH (β-enriched, no γ)</v>
      </c>
    </row>
    <row r="6" spans="1:13" ht="15" customHeight="1" x14ac:dyDescent="0.25">
      <c r="A6" s="6" t="s">
        <v>48</v>
      </c>
      <c r="B6" s="8">
        <f>Zone_Site_Means!$D$10+Zone_Site_Means!$E$10</f>
        <v>12.536</v>
      </c>
      <c r="C6" s="8">
        <f>Zone_Site_Means!$F$10+Zone_Site_Means!$G$10</f>
        <v>7.657</v>
      </c>
      <c r="D6" s="8">
        <f>Zone_Site_Means!$H$10+Zone_Site_Means!$I$10</f>
        <v>20.632666666666665</v>
      </c>
      <c r="E6" s="8">
        <f t="shared" si="0"/>
        <v>0.44313000035348599</v>
      </c>
      <c r="F6" s="8">
        <f t="shared" si="1"/>
        <v>0.69293826596013952</v>
      </c>
      <c r="G6" s="8">
        <f t="shared" si="2"/>
        <v>0.37111053668939226</v>
      </c>
      <c r="H6" s="8">
        <f>Zone_Site_Means!$J$10+Zone_Site_Means!$K$10+Zone_Site_Means!$L$10+Zone_Site_Means!$M$10</f>
        <v>24.674666666666667</v>
      </c>
      <c r="I6" s="11">
        <f>IF(H6=0,"n/a",Zone_Site_Means!$J$10/H6*100)</f>
        <v>24.717659137577002</v>
      </c>
      <c r="J6" s="11">
        <f>IF(H6=0,"n/a",Zone_Site_Means!$K$10/H6*100)</f>
        <v>48.650437695882417</v>
      </c>
      <c r="K6" s="14">
        <f>IF(Zone_Site_Means!$L$10=0,"undefined (γ-HCH nd)",Zone_Site_Means!$J$10/Zone_Site_Means!$L$10)</f>
        <v>2.1883745963401511</v>
      </c>
      <c r="L6" s="10" t="str">
        <f t="shared" si="3"/>
        <v>Aged DDT residue (ratio &lt; 1)</v>
      </c>
      <c r="M6" s="10" t="str">
        <f t="shared" si="4"/>
        <v>Weathered technical HCH (β-enriched, no γ)</v>
      </c>
    </row>
    <row r="7" spans="1:13" ht="15" customHeight="1" x14ac:dyDescent="0.25">
      <c r="A7" s="6" t="s">
        <v>53</v>
      </c>
      <c r="B7" s="8">
        <f>Zone_Site_Means!$D$11+Zone_Site_Means!$E$11</f>
        <v>6.7716666666666665</v>
      </c>
      <c r="C7" s="8">
        <f>Zone_Site_Means!$F$11+Zone_Site_Means!$G$11</f>
        <v>4.8803333333333336</v>
      </c>
      <c r="D7" s="8">
        <f>Zone_Site_Means!$H$11+Zone_Site_Means!$I$11</f>
        <v>14.496333333333332</v>
      </c>
      <c r="E7" s="8">
        <f t="shared" si="0"/>
        <v>0.34947531395148806</v>
      </c>
      <c r="F7" s="8">
        <f t="shared" si="1"/>
        <v>0.7410287462553381</v>
      </c>
      <c r="G7" s="8">
        <f t="shared" si="2"/>
        <v>0.3366598450182805</v>
      </c>
      <c r="H7" s="8">
        <f>Zone_Site_Means!$J$11+Zone_Site_Means!$K$11+Zone_Site_Means!$L$11+Zone_Site_Means!$M$11</f>
        <v>8.5759999999999987</v>
      </c>
      <c r="I7" s="11">
        <f>IF(H7=0,"n/a",Zone_Site_Means!$J$11/H7*100)</f>
        <v>30.017879353233834</v>
      </c>
      <c r="J7" s="11">
        <f>IF(H7=0,"n/a",Zone_Site_Means!$K$11/H7*100)</f>
        <v>58.321672885572141</v>
      </c>
      <c r="K7" s="14">
        <f>IF(Zone_Site_Means!$L$11=0,"undefined (γ-HCH nd)",Zone_Site_Means!$J$11/Zone_Site_Means!$L$11)</f>
        <v>5.1486666666666663</v>
      </c>
      <c r="L7" s="10" t="str">
        <f t="shared" si="3"/>
        <v>Aged DDT residue (ratio &lt; 1)</v>
      </c>
      <c r="M7" s="10" t="str">
        <f t="shared" si="4"/>
        <v>Weathered technical HCH (β-enriched, no γ)</v>
      </c>
    </row>
    <row r="8" spans="1:13" ht="15" customHeight="1" x14ac:dyDescent="0.25">
      <c r="A8" s="6" t="s">
        <v>57</v>
      </c>
      <c r="B8" s="8">
        <f>Zone_Site_Means!$D$12+Zone_Site_Means!$E$12</f>
        <v>6.2799999999999994</v>
      </c>
      <c r="C8" s="8">
        <f>Zone_Site_Means!$F$12+Zone_Site_Means!$G$12</f>
        <v>5.2903333333333329</v>
      </c>
      <c r="D8" s="8">
        <f>Zone_Site_Means!$H$12+Zone_Site_Means!$I$12</f>
        <v>19.289333333333335</v>
      </c>
      <c r="E8" s="8">
        <f t="shared" si="0"/>
        <v>0.25549573495707828</v>
      </c>
      <c r="F8" s="8">
        <f t="shared" si="1"/>
        <v>0.79649812592488578</v>
      </c>
      <c r="G8" s="8">
        <f t="shared" si="2"/>
        <v>0.27426211377618021</v>
      </c>
      <c r="H8" s="8">
        <f>Zone_Site_Means!$J$12+Zone_Site_Means!$K$12+Zone_Site_Means!$L$12+Zone_Site_Means!$M$12</f>
        <v>12.927566666666666</v>
      </c>
      <c r="I8" s="11">
        <f>IF(H8=0,"n/a",Zone_Site_Means!$J$12/H8*100)</f>
        <v>25.480433285975451</v>
      </c>
      <c r="J8" s="11">
        <f>IF(H8=0,"n/a",Zone_Site_Means!$K$12/H8*100)</f>
        <v>50.442594249497851</v>
      </c>
      <c r="K8" s="14">
        <f>IF(Zone_Site_Means!$L$12=0,"undefined (γ-HCH nd)",Zone_Site_Means!$J$12/Zone_Site_Means!$L$12)</f>
        <v>6.5880000000000001</v>
      </c>
      <c r="L8" s="10" t="str">
        <f t="shared" si="3"/>
        <v>Aged DDT residue (ratio &lt; 1)</v>
      </c>
      <c r="M8" s="10" t="str">
        <f t="shared" si="4"/>
        <v>Weathered technical HCH (β-enriched, no γ)</v>
      </c>
    </row>
    <row r="9" spans="1:13" ht="15" customHeight="1" x14ac:dyDescent="0.25">
      <c r="A9" s="6" t="s">
        <v>61</v>
      </c>
      <c r="B9" s="8">
        <f>Zone_Site_Means!$D$13+Zone_Site_Means!$E$13</f>
        <v>7.7780000000000005</v>
      </c>
      <c r="C9" s="8">
        <f>Zone_Site_Means!$F$13+Zone_Site_Means!$G$13</f>
        <v>7.2256666666666671</v>
      </c>
      <c r="D9" s="8">
        <f>Zone_Site_Means!$H$13+Zone_Site_Means!$I$13</f>
        <v>20.526333333333334</v>
      </c>
      <c r="E9" s="8">
        <f t="shared" si="0"/>
        <v>0.28026808878639375</v>
      </c>
      <c r="F9" s="8">
        <f t="shared" si="1"/>
        <v>0.78108640585420774</v>
      </c>
      <c r="G9" s="8">
        <f t="shared" si="2"/>
        <v>0.3520193572484126</v>
      </c>
      <c r="H9" s="8">
        <f>Zone_Site_Means!$J$13+Zone_Site_Means!$K$13+Zone_Site_Means!$L$13+Zone_Site_Means!$M$13</f>
        <v>16.590666666666667</v>
      </c>
      <c r="I9" s="11">
        <f>IF(H9=0,"n/a",Zone_Site_Means!$J$13/H9*100)</f>
        <v>26.43855983283774</v>
      </c>
      <c r="J9" s="11">
        <f>IF(H9=0,"n/a",Zone_Site_Means!$K$13/H9*100)</f>
        <v>46.130354416137585</v>
      </c>
      <c r="K9" s="14">
        <f>IF(Zone_Site_Means!$L$13=0,"undefined (γ-HCH nd)",Zone_Site_Means!$J$13/Zone_Site_Means!$L$13)</f>
        <v>2.722739499275812</v>
      </c>
      <c r="L9" s="10" t="str">
        <f t="shared" si="3"/>
        <v>Aged DDT residue (ratio &lt; 1)</v>
      </c>
      <c r="M9" s="10" t="str">
        <f t="shared" si="4"/>
        <v>Weathered technical HCH (β-enriched, no γ)</v>
      </c>
    </row>
    <row r="10" spans="1:13" ht="15" customHeight="1" x14ac:dyDescent="0.25">
      <c r="A10" s="6" t="s">
        <v>66</v>
      </c>
      <c r="B10" s="8">
        <f>Zone_Site_Means!$D$14+Zone_Site_Means!$E$14</f>
        <v>8.2690000000000001</v>
      </c>
      <c r="C10" s="8">
        <f>Zone_Site_Means!$F$14+Zone_Site_Means!$G$14</f>
        <v>8.8656666666666659</v>
      </c>
      <c r="D10" s="8">
        <f>Zone_Site_Means!$H$14+Zone_Site_Means!$I$14</f>
        <v>20.12833333333333</v>
      </c>
      <c r="E10" s="8">
        <f t="shared" si="0"/>
        <v>0.28519693729737189</v>
      </c>
      <c r="F10" s="8">
        <f t="shared" si="1"/>
        <v>0.77809086761667068</v>
      </c>
      <c r="G10" s="8">
        <f t="shared" si="2"/>
        <v>0.44045706715243854</v>
      </c>
      <c r="H10" s="8">
        <f>Zone_Site_Means!$J$14+Zone_Site_Means!$K$14+Zone_Site_Means!$L$14+Zone_Site_Means!$M$14</f>
        <v>22.362166666666667</v>
      </c>
      <c r="I10" s="11">
        <f>IF(H10=0,"n/a",Zone_Site_Means!$J$14/H10*100)</f>
        <v>24.989379383333457</v>
      </c>
      <c r="J10" s="11">
        <f>IF(H10=0,"n/a",Zone_Site_Means!$K$14/H10*100)</f>
        <v>49.230471108196134</v>
      </c>
      <c r="K10" s="14">
        <f>IF(Zone_Site_Means!$L$14=0,"undefined (γ-HCH nd)",Zone_Site_Means!$J$14/Zone_Site_Means!$L$14)</f>
        <v>2.4388274658132088</v>
      </c>
      <c r="L10" s="10" t="str">
        <f t="shared" si="3"/>
        <v>Aged DDT residue (ratio &lt; 1)</v>
      </c>
      <c r="M10" s="10" t="str">
        <f t="shared" si="4"/>
        <v>Weathered technical HCH (β-enriched, no γ)</v>
      </c>
    </row>
    <row r="11" spans="1:13" ht="15" customHeight="1" x14ac:dyDescent="0.25">
      <c r="A11" s="6" t="s">
        <v>70</v>
      </c>
      <c r="B11" s="8">
        <f>Zone_Site_Means!$D$15+Zone_Site_Means!$E$15</f>
        <v>9.7076666666666647</v>
      </c>
      <c r="C11" s="8">
        <f>Zone_Site_Means!$F$15+Zone_Site_Means!$G$15</f>
        <v>8.9619999999999997</v>
      </c>
      <c r="D11" s="8">
        <f>Zone_Site_Means!$H$15+Zone_Site_Means!$I$15</f>
        <v>21.336333333333332</v>
      </c>
      <c r="E11" s="8">
        <f t="shared" si="0"/>
        <v>0.3204026624126739</v>
      </c>
      <c r="F11" s="8">
        <f t="shared" si="1"/>
        <v>0.75734473162358973</v>
      </c>
      <c r="G11" s="8">
        <f t="shared" si="2"/>
        <v>0.42003468262275617</v>
      </c>
      <c r="H11" s="8">
        <f>Zone_Site_Means!$J$15+Zone_Site_Means!$K$15+Zone_Site_Means!$L$15+Zone_Site_Means!$M$15</f>
        <v>21.071666666666665</v>
      </c>
      <c r="I11" s="11">
        <f>IF(H11=0,"n/a",Zone_Site_Means!$J$15/H11*100)</f>
        <v>22.804714071027448</v>
      </c>
      <c r="J11" s="11">
        <f>IF(H11=0,"n/a",Zone_Site_Means!$K$15/H11*100)</f>
        <v>44.940283160642259</v>
      </c>
      <c r="K11" s="14">
        <f>IF(Zone_Site_Means!$L$15=0,"undefined (γ-HCH nd)",Zone_Site_Means!$J$15/Zone_Site_Means!$L$15)</f>
        <v>2.4265275206194246</v>
      </c>
      <c r="L11" s="10" t="str">
        <f t="shared" si="3"/>
        <v>Aged DDT residue (ratio &lt; 1)</v>
      </c>
      <c r="M11" s="10" t="str">
        <f t="shared" si="4"/>
        <v>Weathered technical HCH (β-enriched, no γ)</v>
      </c>
    </row>
    <row r="12" spans="1:13" ht="15" customHeight="1" x14ac:dyDescent="0.25">
      <c r="A12" s="6" t="s">
        <v>74</v>
      </c>
      <c r="B12" s="8">
        <f>Zone_Site_Means!$D$16+Zone_Site_Means!$E$16</f>
        <v>11.384666666666668</v>
      </c>
      <c r="C12" s="8">
        <f>Zone_Site_Means!$F$16+Zone_Site_Means!$G$16</f>
        <v>12.156666666666666</v>
      </c>
      <c r="D12" s="8">
        <f>Zone_Site_Means!$H$16+Zone_Site_Means!$I$16</f>
        <v>22.445666666666664</v>
      </c>
      <c r="E12" s="8">
        <f t="shared" si="0"/>
        <v>0.32901442099280398</v>
      </c>
      <c r="F12" s="8">
        <f t="shared" si="1"/>
        <v>0.75243728300026824</v>
      </c>
      <c r="G12" s="8">
        <f t="shared" si="2"/>
        <v>0.54160417006994677</v>
      </c>
      <c r="H12" s="8">
        <f>Zone_Site_Means!$J$16+Zone_Site_Means!$K$16+Zone_Site_Means!$L$16+Zone_Site_Means!$M$16</f>
        <v>26.556999999999999</v>
      </c>
      <c r="I12" s="11">
        <f>IF(H12=0,"n/a",Zone_Site_Means!$J$16/H12*100)</f>
        <v>23.12886746745993</v>
      </c>
      <c r="J12" s="11">
        <f>IF(H12=0,"n/a",Zone_Site_Means!$K$16/H12*100)</f>
        <v>45.549823649759638</v>
      </c>
      <c r="K12" s="14">
        <f>IF(Zone_Site_Means!$L$16=0,"undefined (γ-HCH nd)",Zone_Site_Means!$J$16/Zone_Site_Means!$L$16)</f>
        <v>1.9329696842546942</v>
      </c>
      <c r="L12" s="10" t="str">
        <f t="shared" si="3"/>
        <v>Aged DDT residue (ratio &lt; 1)</v>
      </c>
      <c r="M12" s="10" t="str">
        <f t="shared" si="4"/>
        <v>Weathered technical HCH (β-enriched, no γ)</v>
      </c>
    </row>
    <row r="13" spans="1:13" ht="15" customHeight="1" x14ac:dyDescent="0.25">
      <c r="A13" s="6" t="s">
        <v>78</v>
      </c>
      <c r="B13" s="8">
        <f>Zone_Site_Means!$D$17+Zone_Site_Means!$E$17</f>
        <v>16.412333333333333</v>
      </c>
      <c r="C13" s="8">
        <f>Zone_Site_Means!$F$17+Zone_Site_Means!$G$17</f>
        <v>13.781333333333333</v>
      </c>
      <c r="D13" s="8">
        <f>Zone_Site_Means!$H$17+Zone_Site_Means!$I$17</f>
        <v>24.273</v>
      </c>
      <c r="E13" s="8">
        <f t="shared" si="0"/>
        <v>0.43128684424901237</v>
      </c>
      <c r="F13" s="8">
        <f t="shared" si="1"/>
        <v>0.69867197062423492</v>
      </c>
      <c r="G13" s="8">
        <f t="shared" si="2"/>
        <v>0.56776390777132335</v>
      </c>
      <c r="H13" s="8">
        <f>Zone_Site_Means!$J$17+Zone_Site_Means!$K$17+Zone_Site_Means!$L$17+Zone_Site_Means!$M$17</f>
        <v>28.653666666666666</v>
      </c>
      <c r="I13" s="11">
        <f>IF(H13=0,"n/a",Zone_Site_Means!$J$17/H13*100)</f>
        <v>24.654203650492668</v>
      </c>
      <c r="J13" s="11">
        <f>IF(H13=0,"n/a",Zone_Site_Means!$K$17/H13*100)</f>
        <v>38.30806993869313</v>
      </c>
      <c r="K13" s="14">
        <f>IF(Zone_Site_Means!$L$17=0,"undefined (γ-HCH nd)",Zone_Site_Means!$J$17/Zone_Site_Means!$L$17)</f>
        <v>2.1062413039157222</v>
      </c>
      <c r="L13" s="10" t="str">
        <f t="shared" si="3"/>
        <v>Aged DDT residue (ratio &lt; 1)</v>
      </c>
      <c r="M13" s="10" t="str">
        <f t="shared" si="4"/>
        <v>Weathered technical HCH (β-enriched, no γ)</v>
      </c>
    </row>
    <row r="14" spans="1:13" ht="15" customHeight="1" x14ac:dyDescent="0.25">
      <c r="A14" s="6" t="s">
        <v>82</v>
      </c>
      <c r="B14" s="8">
        <f>Zone_Site_Means!$D$18+Zone_Site_Means!$E$18</f>
        <v>21.479066666666665</v>
      </c>
      <c r="C14" s="8">
        <f>Zone_Site_Means!$F$18+Zone_Site_Means!$G$18</f>
        <v>19.703333333333333</v>
      </c>
      <c r="D14" s="8">
        <f>Zone_Site_Means!$H$18+Zone_Site_Means!$I$18</f>
        <v>30.365333333333332</v>
      </c>
      <c r="E14" s="8">
        <f t="shared" si="0"/>
        <v>0.42899218406721434</v>
      </c>
      <c r="F14" s="8">
        <f t="shared" si="1"/>
        <v>0.69979389051225482</v>
      </c>
      <c r="G14" s="8">
        <f t="shared" si="2"/>
        <v>0.64887591112672349</v>
      </c>
      <c r="H14" s="8">
        <f>Zone_Site_Means!$J$18+Zone_Site_Means!$K$18+Zone_Site_Means!$L$18+Zone_Site_Means!$M$18</f>
        <v>40.703000000000003</v>
      </c>
      <c r="I14" s="11">
        <f>IF(H14=0,"n/a",Zone_Site_Means!$J$18/H14*100)</f>
        <v>20.258130031365418</v>
      </c>
      <c r="J14" s="11">
        <f>IF(H14=0,"n/a",Zone_Site_Means!$K$18/H14*100)</f>
        <v>33.585566993423903</v>
      </c>
      <c r="K14" s="14">
        <f>IF(Zone_Site_Means!$L$18=0,"undefined (γ-HCH nd)",Zone_Site_Means!$J$18/Zone_Site_Means!$L$18)</f>
        <v>1.5646426312460466</v>
      </c>
      <c r="L14" s="10" t="str">
        <f t="shared" si="3"/>
        <v>Aged DDT residue (ratio &lt; 1)</v>
      </c>
      <c r="M14" s="10" t="str">
        <f t="shared" si="4"/>
        <v>Weathered technical HCH (β-enriched, no γ)</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4"/>
  <sheetViews>
    <sheetView zoomScaleNormal="100" workbookViewId="0">
      <selection activeCell="C30" sqref="C30"/>
    </sheetView>
  </sheetViews>
  <sheetFormatPr defaultColWidth="8.7109375" defaultRowHeight="15" x14ac:dyDescent="0.25"/>
  <cols>
    <col min="1" max="1" width="30" style="1" customWidth="1"/>
    <col min="2" max="3" width="14" style="1" customWidth="1"/>
    <col min="4" max="4" width="9" style="1" customWidth="1"/>
    <col min="5" max="5" width="10" style="1" customWidth="1"/>
    <col min="6" max="6" width="22" style="1" customWidth="1"/>
    <col min="7" max="7" width="11" style="1" customWidth="1"/>
    <col min="8" max="8" width="40" style="1" customWidth="1"/>
    <col min="9" max="13" width="12" style="1" customWidth="1"/>
    <col min="14" max="14" width="34" style="1" customWidth="1"/>
  </cols>
  <sheetData>
    <row r="1" spans="1:6" ht="15.75" customHeight="1" x14ac:dyDescent="0.25">
      <c r="A1" s="9" t="s">
        <v>162</v>
      </c>
    </row>
    <row r="3" spans="1:6" ht="15" customHeight="1" x14ac:dyDescent="0.25">
      <c r="A3" s="10" t="s">
        <v>163</v>
      </c>
      <c r="B3" s="10" t="s">
        <v>164</v>
      </c>
    </row>
    <row r="4" spans="1:6" ht="15" customHeight="1" x14ac:dyDescent="0.25">
      <c r="A4" s="15" t="s">
        <v>165</v>
      </c>
      <c r="B4" s="6">
        <v>1E-3</v>
      </c>
    </row>
    <row r="5" spans="1:6" ht="15" customHeight="1" x14ac:dyDescent="0.25">
      <c r="A5" s="1" t="s">
        <v>166</v>
      </c>
      <c r="B5" s="6">
        <v>1E-3</v>
      </c>
    </row>
    <row r="7" spans="1:6" ht="15" customHeight="1" x14ac:dyDescent="0.25">
      <c r="A7" s="5" t="s">
        <v>167</v>
      </c>
      <c r="B7" s="5" t="s">
        <v>168</v>
      </c>
      <c r="C7" s="5" t="s">
        <v>169</v>
      </c>
      <c r="D7" s="5" t="s">
        <v>170</v>
      </c>
      <c r="E7" s="5" t="s">
        <v>171</v>
      </c>
      <c r="F7" s="5" t="s">
        <v>172</v>
      </c>
    </row>
    <row r="8" spans="1:6" ht="15" customHeight="1" x14ac:dyDescent="0.25">
      <c r="A8" s="10" t="s">
        <v>173</v>
      </c>
      <c r="B8" s="10" t="s">
        <v>174</v>
      </c>
      <c r="C8" s="6">
        <v>70</v>
      </c>
      <c r="D8" s="6">
        <v>15</v>
      </c>
      <c r="E8" s="10" t="s">
        <v>175</v>
      </c>
      <c r="F8" s="10" t="s">
        <v>176</v>
      </c>
    </row>
    <row r="9" spans="1:6" ht="15" customHeight="1" x14ac:dyDescent="0.25">
      <c r="A9" s="10" t="s">
        <v>177</v>
      </c>
      <c r="B9" s="10" t="s">
        <v>178</v>
      </c>
      <c r="C9" s="6">
        <v>2</v>
      </c>
      <c r="D9" s="6">
        <v>1</v>
      </c>
      <c r="E9" s="10" t="s">
        <v>179</v>
      </c>
      <c r="F9" s="10" t="s">
        <v>180</v>
      </c>
    </row>
    <row r="10" spans="1:6" ht="15" customHeight="1" x14ac:dyDescent="0.25">
      <c r="A10" s="10" t="s">
        <v>181</v>
      </c>
      <c r="B10" s="10" t="s">
        <v>182</v>
      </c>
      <c r="C10" s="6">
        <v>365</v>
      </c>
      <c r="D10" s="6">
        <v>365</v>
      </c>
      <c r="E10" s="10" t="s">
        <v>183</v>
      </c>
      <c r="F10" s="10" t="s">
        <v>184</v>
      </c>
    </row>
    <row r="11" spans="1:6" ht="15" customHeight="1" x14ac:dyDescent="0.25">
      <c r="A11" s="10" t="s">
        <v>185</v>
      </c>
      <c r="B11" s="10" t="s">
        <v>186</v>
      </c>
      <c r="C11" s="6">
        <v>70</v>
      </c>
      <c r="D11" s="6">
        <v>6</v>
      </c>
      <c r="E11" s="10" t="s">
        <v>187</v>
      </c>
      <c r="F11" s="10" t="s">
        <v>184</v>
      </c>
    </row>
    <row r="12" spans="1:6" ht="15" customHeight="1" x14ac:dyDescent="0.25">
      <c r="A12" s="10" t="s">
        <v>188</v>
      </c>
      <c r="B12" s="10" t="s">
        <v>189</v>
      </c>
      <c r="C12" s="6">
        <v>18000</v>
      </c>
      <c r="D12" s="6">
        <v>6600</v>
      </c>
      <c r="E12" s="10" t="s">
        <v>190</v>
      </c>
      <c r="F12" s="10" t="s">
        <v>191</v>
      </c>
    </row>
    <row r="13" spans="1:6" ht="15" customHeight="1" x14ac:dyDescent="0.25">
      <c r="A13" s="10" t="s">
        <v>192</v>
      </c>
      <c r="B13" s="10" t="s">
        <v>193</v>
      </c>
      <c r="C13" s="6">
        <v>0.57999999999999996</v>
      </c>
      <c r="D13" s="6">
        <v>1</v>
      </c>
      <c r="E13" s="10" t="s">
        <v>194</v>
      </c>
      <c r="F13" s="10" t="s">
        <v>191</v>
      </c>
    </row>
    <row r="14" spans="1:6" ht="15" customHeight="1" x14ac:dyDescent="0.25">
      <c r="A14" s="10" t="s">
        <v>195</v>
      </c>
      <c r="B14" s="10" t="s">
        <v>196</v>
      </c>
      <c r="C14" s="6">
        <v>1E-3</v>
      </c>
      <c r="D14" s="6">
        <v>1E-3</v>
      </c>
      <c r="E14" s="10" t="s">
        <v>197</v>
      </c>
      <c r="F14" s="10" t="s">
        <v>198</v>
      </c>
    </row>
    <row r="15" spans="1:6" ht="15" customHeight="1" x14ac:dyDescent="0.25">
      <c r="A15" s="10" t="s">
        <v>199</v>
      </c>
      <c r="B15" s="10" t="s">
        <v>200</v>
      </c>
      <c r="C15" s="10">
        <f>C11*365</f>
        <v>25550</v>
      </c>
      <c r="D15" s="10">
        <f>D11*365</f>
        <v>2190</v>
      </c>
      <c r="E15" s="10" t="s">
        <v>201</v>
      </c>
      <c r="F15" s="10" t="s">
        <v>202</v>
      </c>
    </row>
    <row r="16" spans="1:6" ht="15" customHeight="1" x14ac:dyDescent="0.25">
      <c r="A16" s="10" t="s">
        <v>203</v>
      </c>
      <c r="B16" s="10" t="s">
        <v>204</v>
      </c>
      <c r="C16" s="10">
        <f>70*365</f>
        <v>25550</v>
      </c>
      <c r="D16" s="10">
        <f>70*365</f>
        <v>25550</v>
      </c>
      <c r="E16" s="10" t="s">
        <v>201</v>
      </c>
      <c r="F16" s="10" t="s">
        <v>205</v>
      </c>
    </row>
    <row r="19" spans="1:14" ht="15" customHeight="1" x14ac:dyDescent="0.25">
      <c r="A19" s="12" t="s">
        <v>206</v>
      </c>
    </row>
    <row r="20" spans="1:14" ht="34.5" customHeight="1" x14ac:dyDescent="0.25">
      <c r="A20" s="5" t="s">
        <v>86</v>
      </c>
      <c r="B20" s="5" t="s">
        <v>207</v>
      </c>
      <c r="C20" s="5" t="s">
        <v>208</v>
      </c>
      <c r="D20" s="5" t="s">
        <v>209</v>
      </c>
      <c r="E20" s="5" t="s">
        <v>210</v>
      </c>
      <c r="F20" s="5" t="s">
        <v>211</v>
      </c>
      <c r="G20" s="5" t="s">
        <v>212</v>
      </c>
      <c r="H20" s="5" t="s">
        <v>213</v>
      </c>
      <c r="I20" s="5" t="s">
        <v>214</v>
      </c>
      <c r="J20" s="5" t="s">
        <v>215</v>
      </c>
      <c r="K20" s="5" t="s">
        <v>216</v>
      </c>
      <c r="L20" s="5" t="s">
        <v>217</v>
      </c>
      <c r="M20" s="5" t="s">
        <v>218</v>
      </c>
      <c r="N20" s="5" t="s">
        <v>219</v>
      </c>
    </row>
    <row r="21" spans="1:14" ht="15" customHeight="1" x14ac:dyDescent="0.25">
      <c r="A21" s="6" t="s">
        <v>20</v>
      </c>
      <c r="B21" s="16">
        <v>5.0000000000000001E-4</v>
      </c>
      <c r="C21" s="17">
        <v>0.34</v>
      </c>
      <c r="D21" s="17">
        <v>6.79</v>
      </c>
      <c r="E21" s="17">
        <v>354.49</v>
      </c>
      <c r="F21" s="18">
        <f t="shared" ref="F21:F34" si="0">10^(-2.8+0.66*D21-0.0056*E21)</f>
        <v>0.49688512993719086</v>
      </c>
      <c r="G21" s="19">
        <v>1E-3</v>
      </c>
      <c r="H21" s="6" t="s">
        <v>220</v>
      </c>
      <c r="I21" s="19">
        <v>1.1000000000000001</v>
      </c>
      <c r="J21" s="19">
        <v>1E-3</v>
      </c>
      <c r="K21" s="19">
        <v>2.5000000000000001E-2</v>
      </c>
      <c r="L21" s="19" t="s">
        <v>221</v>
      </c>
      <c r="M21" s="19">
        <v>1</v>
      </c>
      <c r="N21" s="6" t="s">
        <v>222</v>
      </c>
    </row>
    <row r="22" spans="1:14" ht="15" customHeight="1" x14ac:dyDescent="0.25">
      <c r="A22" s="6" t="s">
        <v>21</v>
      </c>
      <c r="B22" s="16">
        <v>5.0000000000000001E-4</v>
      </c>
      <c r="C22" s="17">
        <v>0.34</v>
      </c>
      <c r="D22" s="17">
        <v>6.91</v>
      </c>
      <c r="E22" s="17">
        <v>354.49</v>
      </c>
      <c r="F22" s="18">
        <f t="shared" si="0"/>
        <v>0.59628790461355896</v>
      </c>
      <c r="G22" s="19">
        <v>1E-3</v>
      </c>
      <c r="H22" s="6" t="s">
        <v>223</v>
      </c>
      <c r="I22" s="19">
        <v>1.1000000000000001</v>
      </c>
      <c r="J22" s="19">
        <v>1E-3</v>
      </c>
      <c r="K22" s="19">
        <v>0.01</v>
      </c>
      <c r="L22" s="19" t="s">
        <v>221</v>
      </c>
      <c r="M22" s="19">
        <v>1</v>
      </c>
      <c r="N22" s="6" t="s">
        <v>222</v>
      </c>
    </row>
    <row r="23" spans="1:14" ht="15" customHeight="1" x14ac:dyDescent="0.25">
      <c r="A23" s="6" t="s">
        <v>22</v>
      </c>
      <c r="B23" s="16">
        <v>5.0000000000000001E-4</v>
      </c>
      <c r="C23" s="17">
        <v>0.34</v>
      </c>
      <c r="D23" s="17">
        <v>5.87</v>
      </c>
      <c r="E23" s="17">
        <v>320.04000000000002</v>
      </c>
      <c r="F23" s="18">
        <f t="shared" si="0"/>
        <v>0.19141501422522281</v>
      </c>
      <c r="G23" s="19">
        <v>1E-3</v>
      </c>
      <c r="H23" s="6" t="s">
        <v>223</v>
      </c>
      <c r="I23" s="19" t="s">
        <v>221</v>
      </c>
      <c r="J23" s="19">
        <v>1E-3</v>
      </c>
      <c r="K23" s="19">
        <v>2.5000000000000001E-2</v>
      </c>
      <c r="L23" s="19" t="s">
        <v>221</v>
      </c>
      <c r="M23" s="19">
        <v>1</v>
      </c>
      <c r="N23" s="6" t="s">
        <v>224</v>
      </c>
    </row>
    <row r="24" spans="1:14" ht="15" customHeight="1" x14ac:dyDescent="0.25">
      <c r="A24" s="6" t="s">
        <v>23</v>
      </c>
      <c r="B24" s="16">
        <v>5.0000000000000001E-4</v>
      </c>
      <c r="C24" s="17">
        <v>0.34</v>
      </c>
      <c r="D24" s="17">
        <v>6.02</v>
      </c>
      <c r="E24" s="17">
        <v>320.04000000000002</v>
      </c>
      <c r="F24" s="18">
        <f t="shared" si="0"/>
        <v>0.24042299336796044</v>
      </c>
      <c r="G24" s="19">
        <v>1E-3</v>
      </c>
      <c r="H24" s="6" t="s">
        <v>223</v>
      </c>
      <c r="I24" s="19" t="s">
        <v>221</v>
      </c>
      <c r="J24" s="19">
        <v>1E-3</v>
      </c>
      <c r="K24" s="19">
        <v>2.5000000000000001E-2</v>
      </c>
      <c r="L24" s="19" t="s">
        <v>221</v>
      </c>
      <c r="M24" s="19">
        <v>1</v>
      </c>
      <c r="N24" s="6" t="s">
        <v>224</v>
      </c>
    </row>
    <row r="25" spans="1:14" ht="15" customHeight="1" x14ac:dyDescent="0.25">
      <c r="A25" s="6" t="s">
        <v>24</v>
      </c>
      <c r="B25" s="16">
        <v>5.0000000000000001E-4</v>
      </c>
      <c r="C25" s="17">
        <v>0.34</v>
      </c>
      <c r="D25" s="17">
        <v>6</v>
      </c>
      <c r="E25" s="17">
        <v>318.02999999999997</v>
      </c>
      <c r="F25" s="18">
        <f t="shared" si="0"/>
        <v>0.23934921089242486</v>
      </c>
      <c r="G25" s="19">
        <v>1E-3</v>
      </c>
      <c r="H25" s="6" t="s">
        <v>223</v>
      </c>
      <c r="I25" s="19" t="s">
        <v>221</v>
      </c>
      <c r="J25" s="19">
        <v>1E-3</v>
      </c>
      <c r="K25" s="19">
        <v>2.5000000000000001E-2</v>
      </c>
      <c r="L25" s="19" t="s">
        <v>221</v>
      </c>
      <c r="M25" s="19">
        <v>1</v>
      </c>
      <c r="N25" s="6" t="s">
        <v>224</v>
      </c>
    </row>
    <row r="26" spans="1:14" ht="15" customHeight="1" x14ac:dyDescent="0.25">
      <c r="A26" s="6" t="s">
        <v>25</v>
      </c>
      <c r="B26" s="16">
        <v>5.0000000000000001E-4</v>
      </c>
      <c r="C26" s="17">
        <v>0.34</v>
      </c>
      <c r="D26" s="17">
        <v>6.51</v>
      </c>
      <c r="E26" s="17">
        <v>318.02999999999997</v>
      </c>
      <c r="F26" s="18">
        <f t="shared" si="0"/>
        <v>0.51955556386941437</v>
      </c>
      <c r="G26" s="19">
        <v>1E-3</v>
      </c>
      <c r="H26" s="6" t="s">
        <v>223</v>
      </c>
      <c r="I26" s="19" t="s">
        <v>221</v>
      </c>
      <c r="J26" s="19">
        <v>1E-3</v>
      </c>
      <c r="K26" s="19">
        <v>2.5000000000000001E-2</v>
      </c>
      <c r="L26" s="19" t="s">
        <v>221</v>
      </c>
      <c r="M26" s="19">
        <v>1</v>
      </c>
      <c r="N26" s="6" t="s">
        <v>224</v>
      </c>
    </row>
    <row r="27" spans="1:14" ht="15" customHeight="1" x14ac:dyDescent="0.25">
      <c r="A27" s="6" t="s">
        <v>26</v>
      </c>
      <c r="B27" s="16">
        <v>2.9999999999999997E-4</v>
      </c>
      <c r="C27" s="17">
        <v>6.3</v>
      </c>
      <c r="D27" s="17">
        <v>3.8</v>
      </c>
      <c r="E27" s="17">
        <v>290.83</v>
      </c>
      <c r="F27" s="18">
        <f t="shared" si="0"/>
        <v>1.2004719033707154E-2</v>
      </c>
      <c r="G27" s="19">
        <v>0.02</v>
      </c>
      <c r="H27" s="6" t="s">
        <v>225</v>
      </c>
      <c r="I27" s="19" t="s">
        <v>221</v>
      </c>
      <c r="J27" s="19" t="s">
        <v>221</v>
      </c>
      <c r="K27" s="19">
        <v>0.02</v>
      </c>
      <c r="L27" s="19" t="s">
        <v>221</v>
      </c>
      <c r="M27" s="19" t="s">
        <v>221</v>
      </c>
      <c r="N27" s="6" t="s">
        <v>226</v>
      </c>
    </row>
    <row r="28" spans="1:14" ht="15" customHeight="1" x14ac:dyDescent="0.25">
      <c r="A28" s="6" t="s">
        <v>27</v>
      </c>
      <c r="B28" s="16">
        <v>2.9999999999999997E-4</v>
      </c>
      <c r="C28" s="17">
        <v>1.8</v>
      </c>
      <c r="D28" s="17">
        <v>3.78</v>
      </c>
      <c r="E28" s="17">
        <v>290.83</v>
      </c>
      <c r="F28" s="18">
        <f t="shared" si="0"/>
        <v>1.1645335366033873E-2</v>
      </c>
      <c r="G28" s="19">
        <v>0.02</v>
      </c>
      <c r="H28" s="6" t="s">
        <v>227</v>
      </c>
      <c r="I28" s="19" t="s">
        <v>221</v>
      </c>
      <c r="J28" s="19" t="s">
        <v>221</v>
      </c>
      <c r="K28" s="19">
        <v>0.02</v>
      </c>
      <c r="L28" s="19" t="s">
        <v>221</v>
      </c>
      <c r="M28" s="19" t="s">
        <v>221</v>
      </c>
      <c r="N28" s="6" t="s">
        <v>226</v>
      </c>
    </row>
    <row r="29" spans="1:14" ht="15" customHeight="1" x14ac:dyDescent="0.25">
      <c r="A29" s="6" t="s">
        <v>28</v>
      </c>
      <c r="B29" s="16">
        <v>2.9999999999999997E-4</v>
      </c>
      <c r="C29" s="17">
        <v>1.3</v>
      </c>
      <c r="D29" s="17">
        <v>3.72</v>
      </c>
      <c r="E29" s="17">
        <v>290.83</v>
      </c>
      <c r="F29" s="18">
        <f t="shared" si="0"/>
        <v>1.0630458588403861E-2</v>
      </c>
      <c r="G29" s="19">
        <v>0.01</v>
      </c>
      <c r="H29" s="6" t="s">
        <v>228</v>
      </c>
      <c r="I29" s="19">
        <v>0.95</v>
      </c>
      <c r="J29" s="19" t="s">
        <v>221</v>
      </c>
      <c r="K29" s="19">
        <v>0.02</v>
      </c>
      <c r="L29" s="19">
        <v>0.01</v>
      </c>
      <c r="M29" s="19">
        <v>2</v>
      </c>
      <c r="N29" s="6" t="s">
        <v>229</v>
      </c>
    </row>
    <row r="30" spans="1:14" ht="15" customHeight="1" x14ac:dyDescent="0.25">
      <c r="A30" s="6" t="s">
        <v>29</v>
      </c>
      <c r="B30" s="16">
        <v>2.9999999999999997E-4</v>
      </c>
      <c r="C30" s="17">
        <v>0</v>
      </c>
      <c r="D30" s="17">
        <v>4.1399999999999997</v>
      </c>
      <c r="E30" s="17">
        <v>290.83</v>
      </c>
      <c r="F30" s="18">
        <f t="shared" si="0"/>
        <v>2.0125746588085934E-2</v>
      </c>
      <c r="G30" s="19">
        <v>0.02</v>
      </c>
      <c r="H30" s="6" t="s">
        <v>227</v>
      </c>
      <c r="I30" s="19" t="s">
        <v>221</v>
      </c>
      <c r="J30" s="19" t="s">
        <v>221</v>
      </c>
      <c r="K30" s="19">
        <v>0.02</v>
      </c>
      <c r="L30" s="19" t="s">
        <v>221</v>
      </c>
      <c r="M30" s="19" t="s">
        <v>221</v>
      </c>
      <c r="N30" s="6" t="s">
        <v>230</v>
      </c>
    </row>
    <row r="31" spans="1:14" ht="15" customHeight="1" x14ac:dyDescent="0.25">
      <c r="A31" s="6" t="s">
        <v>30</v>
      </c>
      <c r="B31" s="16">
        <v>3.0000000000000001E-5</v>
      </c>
      <c r="C31" s="17">
        <v>17</v>
      </c>
      <c r="D31" s="17">
        <v>6.5</v>
      </c>
      <c r="E31" s="17">
        <v>364.91</v>
      </c>
      <c r="F31" s="18">
        <f t="shared" si="0"/>
        <v>0.27957864776073132</v>
      </c>
      <c r="G31" s="19">
        <v>4.0000000000000001E-3</v>
      </c>
      <c r="H31" s="6" t="s">
        <v>231</v>
      </c>
      <c r="I31" s="19">
        <v>3</v>
      </c>
      <c r="J31" s="19" t="s">
        <v>221</v>
      </c>
      <c r="K31" s="19">
        <v>0.01</v>
      </c>
      <c r="L31" s="19">
        <v>4.0000000000000001E-3</v>
      </c>
      <c r="M31" s="19">
        <v>0.03</v>
      </c>
      <c r="N31" s="6" t="s">
        <v>229</v>
      </c>
    </row>
    <row r="32" spans="1:14" ht="15" customHeight="1" x14ac:dyDescent="0.25">
      <c r="A32" s="6" t="s">
        <v>31</v>
      </c>
      <c r="B32" s="16">
        <v>5.0000000000000002E-5</v>
      </c>
      <c r="C32" s="17">
        <v>16</v>
      </c>
      <c r="D32" s="17">
        <v>5.4</v>
      </c>
      <c r="E32" s="17">
        <v>380.91</v>
      </c>
      <c r="F32" s="18">
        <f t="shared" si="0"/>
        <v>4.2746838460358337E-2</v>
      </c>
      <c r="G32" s="19">
        <v>4.0000000000000001E-3</v>
      </c>
      <c r="H32" s="6" t="s">
        <v>232</v>
      </c>
      <c r="I32" s="19">
        <v>0.24</v>
      </c>
      <c r="J32" s="19">
        <v>5.6000000000000001E-2</v>
      </c>
      <c r="K32" s="19">
        <v>0.01</v>
      </c>
      <c r="L32" s="19">
        <v>4.0000000000000001E-3</v>
      </c>
      <c r="M32" s="19">
        <v>0.03</v>
      </c>
      <c r="N32" s="6" t="s">
        <v>229</v>
      </c>
    </row>
    <row r="33" spans="1:14" ht="15" customHeight="1" x14ac:dyDescent="0.25">
      <c r="A33" s="6" t="s">
        <v>32</v>
      </c>
      <c r="B33" s="16">
        <v>5.0000000000000001E-4</v>
      </c>
      <c r="C33" s="17">
        <v>4.5</v>
      </c>
      <c r="D33" s="17">
        <v>6.1</v>
      </c>
      <c r="E33" s="17">
        <v>373.32</v>
      </c>
      <c r="F33" s="18">
        <f t="shared" si="0"/>
        <v>0.1365865703016827</v>
      </c>
      <c r="G33" s="19">
        <v>3.8E-3</v>
      </c>
      <c r="H33" s="6" t="s">
        <v>233</v>
      </c>
      <c r="I33" s="19">
        <v>0.52</v>
      </c>
      <c r="J33" s="19">
        <v>3.8E-3</v>
      </c>
      <c r="K33" s="16">
        <v>1.9999999999999999E-7</v>
      </c>
      <c r="L33" s="19">
        <v>0.01</v>
      </c>
      <c r="M33" s="19" t="s">
        <v>221</v>
      </c>
      <c r="N33" s="6" t="s">
        <v>229</v>
      </c>
    </row>
    <row r="34" spans="1:14" ht="15" customHeight="1" x14ac:dyDescent="0.25">
      <c r="A34" s="6" t="s">
        <v>33</v>
      </c>
      <c r="B34" s="16">
        <v>1.2999999999999999E-5</v>
      </c>
      <c r="C34" s="17">
        <v>9.1</v>
      </c>
      <c r="D34" s="17">
        <v>4.9800000000000004</v>
      </c>
      <c r="E34" s="17">
        <v>389.32</v>
      </c>
      <c r="F34" s="18">
        <f t="shared" si="0"/>
        <v>2.0258533317551123E-2</v>
      </c>
      <c r="G34" s="19">
        <v>3.8E-3</v>
      </c>
      <c r="H34" s="6" t="s">
        <v>234</v>
      </c>
      <c r="I34" s="19">
        <v>0.52</v>
      </c>
      <c r="J34" s="19">
        <v>3.8E-3</v>
      </c>
      <c r="K34" s="16">
        <v>1.9999999999999999E-7</v>
      </c>
      <c r="L34" s="19">
        <v>0.01</v>
      </c>
      <c r="M34" s="19" t="s">
        <v>221</v>
      </c>
      <c r="N34" s="6" t="s">
        <v>229</v>
      </c>
    </row>
  </sheetData>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24"/>
  <sheetViews>
    <sheetView zoomScaleNormal="100" workbookViewId="0">
      <pane xSplit="3" ySplit="4" topLeftCell="D413" activePane="bottomRight" state="frozen"/>
      <selection pane="topRight" activeCell="D1" sqref="D1"/>
      <selection pane="bottomLeft" activeCell="A5" sqref="A5"/>
      <selection pane="bottomRight"/>
    </sheetView>
  </sheetViews>
  <sheetFormatPr defaultColWidth="8.7109375" defaultRowHeight="15" x14ac:dyDescent="0.25"/>
  <cols>
    <col min="1" max="1" width="26" style="1" customWidth="1"/>
    <col min="2" max="2" width="9" style="1" customWidth="1"/>
    <col min="3" max="3" width="18" style="1" customWidth="1"/>
    <col min="4" max="4" width="12" style="1" customWidth="1"/>
    <col min="5" max="5" width="11" style="1" customWidth="1"/>
    <col min="6" max="7" width="13" style="1" customWidth="1"/>
    <col min="8" max="10" width="11" style="1" customWidth="1"/>
    <col min="11" max="12" width="12" style="1" customWidth="1"/>
    <col min="13" max="15" width="11" style="1" customWidth="1"/>
  </cols>
  <sheetData>
    <row r="1" spans="1:15" ht="15.75" customHeight="1" x14ac:dyDescent="0.25">
      <c r="A1" s="9" t="s">
        <v>235</v>
      </c>
    </row>
    <row r="2" spans="1:15" ht="15" customHeight="1" x14ac:dyDescent="0.25">
      <c r="A2" s="20" t="s">
        <v>236</v>
      </c>
    </row>
    <row r="4" spans="1:15" ht="34.5" customHeight="1" x14ac:dyDescent="0.25">
      <c r="A4" s="5" t="s">
        <v>101</v>
      </c>
      <c r="B4" s="5" t="s">
        <v>237</v>
      </c>
      <c r="C4" s="5" t="s">
        <v>86</v>
      </c>
      <c r="D4" s="5" t="s">
        <v>238</v>
      </c>
      <c r="E4" s="5" t="s">
        <v>239</v>
      </c>
      <c r="F4" s="5" t="s">
        <v>240</v>
      </c>
      <c r="G4" s="5" t="s">
        <v>241</v>
      </c>
      <c r="H4" s="5" t="s">
        <v>242</v>
      </c>
      <c r="I4" s="5" t="s">
        <v>243</v>
      </c>
      <c r="J4" s="5" t="s">
        <v>244</v>
      </c>
      <c r="K4" s="5" t="s">
        <v>245</v>
      </c>
      <c r="L4" s="5" t="s">
        <v>246</v>
      </c>
      <c r="M4" s="5" t="s">
        <v>247</v>
      </c>
      <c r="N4" s="5" t="s">
        <v>248</v>
      </c>
      <c r="O4" s="5" t="s">
        <v>249</v>
      </c>
    </row>
    <row r="5" spans="1:15" ht="15" customHeight="1" x14ac:dyDescent="0.25">
      <c r="A5" s="10" t="s">
        <v>148</v>
      </c>
      <c r="B5" s="10" t="s">
        <v>169</v>
      </c>
      <c r="C5" s="10" t="s">
        <v>20</v>
      </c>
      <c r="D5" s="8">
        <f>Zone_Site_Means!$D$4</f>
        <v>4.4101515151515152</v>
      </c>
      <c r="E5" s="21">
        <f>D5*Parameters!$B$4*Parameters!$B$5</f>
        <v>4.4101515151515157E-6</v>
      </c>
      <c r="F5" s="21">
        <f>E5*Parameters!$C$9*Parameters!$C$10*Parameters!$C$11/(Parameters!$C$8*Parameters!$C$15)</f>
        <v>1.2600432900432902E-7</v>
      </c>
      <c r="G5" s="21">
        <f>E5*Parameters!$C$12*Parameters!$F$21*Parameters!$C$13*Parameters!$C$10*Parameters!$C$11*Parameters!$C$14/(Parameters!$C$8*Parameters!$C$15)</f>
        <v>3.2682251597561507E-7</v>
      </c>
      <c r="H5" s="21">
        <f>F5/Parameters!$B$21</f>
        <v>2.5200865800865805E-4</v>
      </c>
      <c r="I5" s="21">
        <f>G5/Parameters!$B$21</f>
        <v>6.5364503195123008E-4</v>
      </c>
      <c r="J5" s="21">
        <f t="shared" ref="J5:J68" si="0">H5+I5</f>
        <v>9.0565368995988813E-4</v>
      </c>
      <c r="K5" s="21">
        <f>F5*Parameters!$C$15/Parameters!$C$16</f>
        <v>1.2600432900432902E-7</v>
      </c>
      <c r="L5" s="21">
        <f>G5*Parameters!$C$15/Parameters!$C$16</f>
        <v>3.2682251597561507E-7</v>
      </c>
      <c r="M5" s="21">
        <f>K5*Parameters!$C$21</f>
        <v>4.2841471861471869E-8</v>
      </c>
      <c r="N5" s="21">
        <f>L5*Parameters!$C$21</f>
        <v>1.1111965543170913E-7</v>
      </c>
      <c r="O5" s="21">
        <f t="shared" ref="O5:O68" si="1">M5+N5</f>
        <v>1.5396112729318099E-7</v>
      </c>
    </row>
    <row r="6" spans="1:15" ht="15" customHeight="1" x14ac:dyDescent="0.25">
      <c r="A6" s="10" t="s">
        <v>148</v>
      </c>
      <c r="B6" s="10" t="s">
        <v>169</v>
      </c>
      <c r="C6" s="10" t="s">
        <v>21</v>
      </c>
      <c r="D6" s="8">
        <f>Zone_Site_Means!$E$4</f>
        <v>5.218399999999999</v>
      </c>
      <c r="E6" s="21">
        <f>D6*Parameters!$B$4*Parameters!$B$5</f>
        <v>5.218399999999999E-6</v>
      </c>
      <c r="F6" s="21">
        <f>E6*Parameters!$C$9*Parameters!$C$10*Parameters!$C$11/(Parameters!$C$8*Parameters!$C$15)</f>
        <v>1.4909714285714283E-7</v>
      </c>
      <c r="G6" s="21">
        <f>E6*Parameters!$C$12*Parameters!$F$22*Parameters!$C$13*Parameters!$C$10*Parameters!$C$11*Parameters!$C$14/(Parameters!$C$8*Parameters!$C$15)</f>
        <v>4.6408317552836469E-7</v>
      </c>
      <c r="H6" s="21">
        <f>F6/Parameters!$B$22</f>
        <v>2.9819428571428567E-4</v>
      </c>
      <c r="I6" s="21">
        <f>G6/Parameters!$B$22</f>
        <v>9.2816635105672938E-4</v>
      </c>
      <c r="J6" s="21">
        <f t="shared" si="0"/>
        <v>1.2263606367710149E-3</v>
      </c>
      <c r="K6" s="21">
        <f>F6*Parameters!$C$15/Parameters!$C$16</f>
        <v>1.4909714285714283E-7</v>
      </c>
      <c r="L6" s="21">
        <f>G6*Parameters!$C$15/Parameters!$C$16</f>
        <v>4.6408317552836474E-7</v>
      </c>
      <c r="M6" s="21">
        <f>K6*Parameters!$C$22</f>
        <v>5.0693028571428568E-8</v>
      </c>
      <c r="N6" s="21">
        <f>L6*Parameters!$C$22</f>
        <v>1.5778827967964403E-7</v>
      </c>
      <c r="O6" s="21">
        <f t="shared" si="1"/>
        <v>2.0848130825107259E-7</v>
      </c>
    </row>
    <row r="7" spans="1:15" ht="15" customHeight="1" x14ac:dyDescent="0.25">
      <c r="A7" s="10" t="s">
        <v>148</v>
      </c>
      <c r="B7" s="10" t="s">
        <v>169</v>
      </c>
      <c r="C7" s="10" t="s">
        <v>22</v>
      </c>
      <c r="D7" s="8">
        <f>Zone_Site_Means!$F$4</f>
        <v>3.7881515151515157</v>
      </c>
      <c r="E7" s="21">
        <f>D7*Parameters!$B$4*Parameters!$B$5</f>
        <v>3.7881515151515155E-6</v>
      </c>
      <c r="F7" s="21">
        <f>E7*Parameters!$C$9*Parameters!$C$10*Parameters!$C$11/(Parameters!$C$8*Parameters!$C$15)</f>
        <v>1.0823290043290044E-7</v>
      </c>
      <c r="G7" s="21">
        <f>E7*Parameters!$C$12*Parameters!$F$23*Parameters!$C$13*Parameters!$C$10*Parameters!$C$11*Parameters!$C$14/(Parameters!$C$8*Parameters!$C$15)</f>
        <v>1.0814483935872396E-7</v>
      </c>
      <c r="H7" s="21">
        <f>F7/Parameters!$B$23</f>
        <v>2.1646580086580089E-4</v>
      </c>
      <c r="I7" s="21">
        <f>G7/Parameters!$B$23</f>
        <v>2.1628967871744793E-4</v>
      </c>
      <c r="J7" s="21">
        <f t="shared" si="0"/>
        <v>4.3275547958324882E-4</v>
      </c>
      <c r="K7" s="21">
        <f>F7*Parameters!$C$15/Parameters!$C$16</f>
        <v>1.0823290043290044E-7</v>
      </c>
      <c r="L7" s="21">
        <f>G7*Parameters!$C$15/Parameters!$C$16</f>
        <v>1.0814483935872396E-7</v>
      </c>
      <c r="M7" s="21">
        <f>K7*Parameters!$C$23</f>
        <v>3.6799186147186153E-8</v>
      </c>
      <c r="N7" s="21">
        <f>L7*Parameters!$C$23</f>
        <v>3.6769245381966151E-8</v>
      </c>
      <c r="O7" s="21">
        <f t="shared" si="1"/>
        <v>7.3568431529152298E-8</v>
      </c>
    </row>
    <row r="8" spans="1:15" ht="15" customHeight="1" x14ac:dyDescent="0.25">
      <c r="A8" s="10" t="s">
        <v>148</v>
      </c>
      <c r="B8" s="10" t="s">
        <v>169</v>
      </c>
      <c r="C8" s="10" t="s">
        <v>23</v>
      </c>
      <c r="D8" s="8">
        <f>Zone_Site_Means!$G$4</f>
        <v>4.7992424242424239</v>
      </c>
      <c r="E8" s="21">
        <f>D8*Parameters!$B$4*Parameters!$B$5</f>
        <v>4.7992424242424237E-6</v>
      </c>
      <c r="F8" s="21">
        <f>E8*Parameters!$C$9*Parameters!$C$10*Parameters!$C$11/(Parameters!$C$8*Parameters!$C$15)</f>
        <v>1.3712121212121211E-7</v>
      </c>
      <c r="G8" s="21">
        <f>E8*Parameters!$C$12*Parameters!$F$24*Parameters!$C$13*Parameters!$C$10*Parameters!$C$11*Parameters!$C$14/(Parameters!$C$8*Parameters!$C$15)</f>
        <v>1.7208822166205785E-7</v>
      </c>
      <c r="H8" s="21">
        <f>F8/Parameters!$B$24</f>
        <v>2.7424242424242424E-4</v>
      </c>
      <c r="I8" s="21">
        <f>G8/Parameters!$B$24</f>
        <v>3.4417644332411566E-4</v>
      </c>
      <c r="J8" s="21">
        <f t="shared" si="0"/>
        <v>6.184188675665399E-4</v>
      </c>
      <c r="K8" s="21">
        <f>F8*Parameters!$C$15/Parameters!$C$16</f>
        <v>1.3712121212121211E-7</v>
      </c>
      <c r="L8" s="21">
        <f>G8*Parameters!$C$15/Parameters!$C$16</f>
        <v>1.7208822166205785E-7</v>
      </c>
      <c r="M8" s="21">
        <f>K8*Parameters!$C$24</f>
        <v>4.6621212121212121E-8</v>
      </c>
      <c r="N8" s="21">
        <f>L8*Parameters!$C$24</f>
        <v>5.8509995365099669E-8</v>
      </c>
      <c r="O8" s="21">
        <f t="shared" si="1"/>
        <v>1.0513120748631179E-7</v>
      </c>
    </row>
    <row r="9" spans="1:15" ht="15" customHeight="1" x14ac:dyDescent="0.25">
      <c r="A9" s="10" t="s">
        <v>148</v>
      </c>
      <c r="B9" s="10" t="s">
        <v>169</v>
      </c>
      <c r="C9" s="10" t="s">
        <v>24</v>
      </c>
      <c r="D9" s="8">
        <f>Zone_Site_Means!$H$4</f>
        <v>6.236121212121212</v>
      </c>
      <c r="E9" s="21">
        <f>D9*Parameters!$B$4*Parameters!$B$5</f>
        <v>6.2361212121212119E-6</v>
      </c>
      <c r="F9" s="21">
        <f>E9*Parameters!$C$9*Parameters!$C$10*Parameters!$C$11/(Parameters!$C$8*Parameters!$C$15)</f>
        <v>1.7817489177489178E-7</v>
      </c>
      <c r="G9" s="21">
        <f>E9*Parameters!$C$12*Parameters!$F$25*Parameters!$C$13*Parameters!$C$10*Parameters!$C$11*Parameters!$C$14/(Parameters!$C$8*Parameters!$C$15)</f>
        <v>2.2261222308019374E-7</v>
      </c>
      <c r="H9" s="21">
        <f>F9/Parameters!$B$25</f>
        <v>3.5634978354978354E-4</v>
      </c>
      <c r="I9" s="21">
        <f>G9/Parameters!$B$25</f>
        <v>4.4522444616038748E-4</v>
      </c>
      <c r="J9" s="21">
        <f t="shared" si="0"/>
        <v>8.0157422971017102E-4</v>
      </c>
      <c r="K9" s="21">
        <f>F9*Parameters!$C$15/Parameters!$C$16</f>
        <v>1.7817489177489181E-7</v>
      </c>
      <c r="L9" s="21">
        <f>G9*Parameters!$C$15/Parameters!$C$16</f>
        <v>2.2261222308019371E-7</v>
      </c>
      <c r="M9" s="21">
        <f>K9*Parameters!$C$25</f>
        <v>6.0579463203463218E-8</v>
      </c>
      <c r="N9" s="21">
        <f>L9*Parameters!$C$25</f>
        <v>7.568815584726587E-8</v>
      </c>
      <c r="O9" s="21">
        <f t="shared" si="1"/>
        <v>1.362676190507291E-7</v>
      </c>
    </row>
    <row r="10" spans="1:15" ht="15" customHeight="1" x14ac:dyDescent="0.25">
      <c r="A10" s="10" t="s">
        <v>148</v>
      </c>
      <c r="B10" s="10" t="s">
        <v>169</v>
      </c>
      <c r="C10" s="10" t="s">
        <v>25</v>
      </c>
      <c r="D10" s="8">
        <f>Zone_Site_Means!$I$4</f>
        <v>13.251939393939393</v>
      </c>
      <c r="E10" s="21">
        <f>D10*Parameters!$B$4*Parameters!$B$5</f>
        <v>1.3251939393939394E-5</v>
      </c>
      <c r="F10" s="21">
        <f>E10*Parameters!$C$9*Parameters!$C$10*Parameters!$C$11/(Parameters!$C$8*Parameters!$C$15)</f>
        <v>3.7862683982683981E-7</v>
      </c>
      <c r="G10" s="21">
        <f>E10*Parameters!$C$12*Parameters!$F$26*Parameters!$C$13*Parameters!$C$10*Parameters!$C$11*Parameters!$C$14/(Parameters!$C$8*Parameters!$C$15)</f>
        <v>1.0268662961893531E-6</v>
      </c>
      <c r="H10" s="21">
        <f>F10/Parameters!$B$26</f>
        <v>7.5725367965367963E-4</v>
      </c>
      <c r="I10" s="21">
        <f>G10/Parameters!$B$26</f>
        <v>2.0537325923787064E-3</v>
      </c>
      <c r="J10" s="21">
        <f t="shared" si="0"/>
        <v>2.8109862720323859E-3</v>
      </c>
      <c r="K10" s="21">
        <f>F10*Parameters!$C$15/Parameters!$C$16</f>
        <v>3.7862683982683981E-7</v>
      </c>
      <c r="L10" s="21">
        <f>G10*Parameters!$C$15/Parameters!$C$16</f>
        <v>1.0268662961893531E-6</v>
      </c>
      <c r="M10" s="21">
        <f>K10*Parameters!$C$26</f>
        <v>1.2873312554112554E-7</v>
      </c>
      <c r="N10" s="21">
        <f>L10*Parameters!$C$26</f>
        <v>3.4913454070438011E-7</v>
      </c>
      <c r="O10" s="21">
        <f t="shared" si="1"/>
        <v>4.7786766624550565E-7</v>
      </c>
    </row>
    <row r="11" spans="1:15" ht="15" customHeight="1" x14ac:dyDescent="0.25">
      <c r="A11" s="10" t="s">
        <v>148</v>
      </c>
      <c r="B11" s="10" t="s">
        <v>169</v>
      </c>
      <c r="C11" s="10" t="s">
        <v>26</v>
      </c>
      <c r="D11" s="8">
        <f>Zone_Site_Means!$J$4</f>
        <v>4.7611363636363642</v>
      </c>
      <c r="E11" s="21">
        <f>D11*Parameters!$B$4*Parameters!$B$5</f>
        <v>4.7611363636363639E-6</v>
      </c>
      <c r="F11" s="21">
        <f>E11*Parameters!$C$9*Parameters!$C$10*Parameters!$C$11/(Parameters!$C$8*Parameters!$C$15)</f>
        <v>1.3603246753246755E-7</v>
      </c>
      <c r="G11" s="21">
        <f>E11*Parameters!$C$12*Parameters!$F$27*Parameters!$C$13*Parameters!$C$10*Parameters!$C$11*Parameters!$C$14/(Parameters!$C$8*Parameters!$C$15)</f>
        <v>8.5244247024274348E-9</v>
      </c>
      <c r="H11" s="21">
        <f>F11/Parameters!$B$27</f>
        <v>4.5344155844155852E-4</v>
      </c>
      <c r="I11" s="21">
        <f>G11/Parameters!$B$27</f>
        <v>2.8414749008091453E-5</v>
      </c>
      <c r="J11" s="21">
        <f t="shared" si="0"/>
        <v>4.8185630744964996E-4</v>
      </c>
      <c r="K11" s="21">
        <f>F11*Parameters!$C$15/Parameters!$C$16</f>
        <v>1.3603246753246755E-7</v>
      </c>
      <c r="L11" s="21">
        <f>G11*Parameters!$C$15/Parameters!$C$16</f>
        <v>8.5244247024274348E-9</v>
      </c>
      <c r="M11" s="21">
        <f>K11*Parameters!$C$27</f>
        <v>8.570045454545456E-7</v>
      </c>
      <c r="N11" s="21">
        <f>L11*Parameters!$C$27</f>
        <v>5.3703875625292836E-8</v>
      </c>
      <c r="O11" s="21">
        <f t="shared" si="1"/>
        <v>9.1070842107983844E-7</v>
      </c>
    </row>
    <row r="12" spans="1:15" ht="15" customHeight="1" x14ac:dyDescent="0.25">
      <c r="A12" s="10" t="s">
        <v>148</v>
      </c>
      <c r="B12" s="10" t="s">
        <v>169</v>
      </c>
      <c r="C12" s="10" t="s">
        <v>27</v>
      </c>
      <c r="D12" s="8">
        <f>Zone_Site_Means!$K$4</f>
        <v>8.6328181818181804</v>
      </c>
      <c r="E12" s="21">
        <f>D12*Parameters!$B$4*Parameters!$B$5</f>
        <v>8.6328181818181808E-6</v>
      </c>
      <c r="F12" s="21">
        <f>E12*Parameters!$C$9*Parameters!$C$10*Parameters!$C$11/(Parameters!$C$8*Parameters!$C$15)</f>
        <v>2.4665194805194803E-7</v>
      </c>
      <c r="G12" s="21">
        <f>E12*Parameters!$C$12*Parameters!$F$28*Parameters!$C$13*Parameters!$C$10*Parameters!$C$11*Parameters!$C$14/(Parameters!$C$8*Parameters!$C$15)</f>
        <v>1.499363909257761E-8</v>
      </c>
      <c r="H12" s="21">
        <f>F12/Parameters!$B$28</f>
        <v>8.2217316017316015E-4</v>
      </c>
      <c r="I12" s="21">
        <f>G12/Parameters!$B$28</f>
        <v>4.9978796975258705E-5</v>
      </c>
      <c r="J12" s="21">
        <f t="shared" si="0"/>
        <v>8.7215195714841884E-4</v>
      </c>
      <c r="K12" s="21">
        <f>F12*Parameters!$C$15/Parameters!$C$16</f>
        <v>2.4665194805194803E-7</v>
      </c>
      <c r="L12" s="21">
        <f>G12*Parameters!$C$15/Parameters!$C$16</f>
        <v>1.499363909257761E-8</v>
      </c>
      <c r="M12" s="21">
        <f>K12*Parameters!$C$28</f>
        <v>4.4397350649350647E-7</v>
      </c>
      <c r="N12" s="21">
        <f>L12*Parameters!$C$28</f>
        <v>2.69885503666397E-8</v>
      </c>
      <c r="O12" s="21">
        <f t="shared" si="1"/>
        <v>4.7096205686014615E-7</v>
      </c>
    </row>
    <row r="13" spans="1:15" ht="15" customHeight="1" x14ac:dyDescent="0.25">
      <c r="A13" s="10" t="s">
        <v>148</v>
      </c>
      <c r="B13" s="10" t="s">
        <v>169</v>
      </c>
      <c r="C13" s="10" t="s">
        <v>28</v>
      </c>
      <c r="D13" s="8">
        <f>Zone_Site_Means!$L$4</f>
        <v>2.0428484848484847</v>
      </c>
      <c r="E13" s="21">
        <f>D13*Parameters!$B$4*Parameters!$B$5</f>
        <v>2.0428484848484846E-6</v>
      </c>
      <c r="F13" s="21">
        <f>E13*Parameters!$C$9*Parameters!$C$10*Parameters!$C$11/(Parameters!$C$8*Parameters!$C$15)</f>
        <v>5.8367099567099561E-8</v>
      </c>
      <c r="G13" s="21">
        <f>E13*Parameters!$C$12*Parameters!$F$29*Parameters!$C$13*Parameters!$C$10*Parameters!$C$11*Parameters!$C$14/(Parameters!$C$8*Parameters!$C$15)</f>
        <v>3.2388483620386093E-9</v>
      </c>
      <c r="H13" s="21">
        <f>F13/Parameters!$B$29</f>
        <v>1.9455699855699856E-4</v>
      </c>
      <c r="I13" s="21">
        <f>G13/Parameters!$B$29</f>
        <v>1.0796161206795366E-5</v>
      </c>
      <c r="J13" s="21">
        <f t="shared" si="0"/>
        <v>2.0535315976379393E-4</v>
      </c>
      <c r="K13" s="21">
        <f>F13*Parameters!$C$15/Parameters!$C$16</f>
        <v>5.8367099567099561E-8</v>
      </c>
      <c r="L13" s="21">
        <f>G13*Parameters!$C$15/Parameters!$C$16</f>
        <v>3.2388483620386093E-9</v>
      </c>
      <c r="M13" s="21">
        <f>K13*Parameters!$C$29</f>
        <v>7.5877229437229429E-8</v>
      </c>
      <c r="N13" s="21">
        <f>L13*Parameters!$C$29</f>
        <v>4.2105028706501926E-9</v>
      </c>
      <c r="O13" s="21">
        <f t="shared" si="1"/>
        <v>8.0087732307879618E-8</v>
      </c>
    </row>
    <row r="14" spans="1:15" ht="15" customHeight="1" x14ac:dyDescent="0.25">
      <c r="A14" s="10" t="s">
        <v>148</v>
      </c>
      <c r="B14" s="10" t="s">
        <v>169</v>
      </c>
      <c r="C14" s="10" t="s">
        <v>29</v>
      </c>
      <c r="D14" s="8">
        <f>Zone_Site_Means!$M$4</f>
        <v>4.0948090909090915</v>
      </c>
      <c r="E14" s="21">
        <f>D14*Parameters!$B$4*Parameters!$B$5</f>
        <v>4.0948090909090916E-6</v>
      </c>
      <c r="F14" s="21">
        <f>E14*Parameters!$C$9*Parameters!$C$10*Parameters!$C$11/(Parameters!$C$8*Parameters!$C$15)</f>
        <v>1.1699454545454546E-7</v>
      </c>
      <c r="G14" s="21">
        <f>E14*Parameters!$C$12*Parameters!$F$30*Parameters!$C$13*Parameters!$C$10*Parameters!$C$11*Parameters!$C$14/(Parameters!$C$8*Parameters!$C$15)</f>
        <v>1.229102543631384E-8</v>
      </c>
      <c r="H14" s="21">
        <f>F14/Parameters!$B$30</f>
        <v>3.8998181818181821E-4</v>
      </c>
      <c r="I14" s="21">
        <f>G14/Parameters!$B$30</f>
        <v>4.0970084787712803E-5</v>
      </c>
      <c r="J14" s="21">
        <f t="shared" si="0"/>
        <v>4.3095190296953102E-4</v>
      </c>
      <c r="K14" s="21">
        <f>F14*Parameters!$C$15/Parameters!$C$16</f>
        <v>1.1699454545454546E-7</v>
      </c>
      <c r="L14" s="21">
        <f>G14*Parameters!$C$15/Parameters!$C$16</f>
        <v>1.229102543631384E-8</v>
      </c>
      <c r="M14" s="21">
        <f>K14*Parameters!$C$30</f>
        <v>0</v>
      </c>
      <c r="N14" s="21">
        <f>L14*Parameters!$C$30</f>
        <v>0</v>
      </c>
      <c r="O14" s="21">
        <f t="shared" si="1"/>
        <v>0</v>
      </c>
    </row>
    <row r="15" spans="1:15" ht="15" customHeight="1" x14ac:dyDescent="0.25">
      <c r="A15" s="10" t="s">
        <v>148</v>
      </c>
      <c r="B15" s="10" t="s">
        <v>169</v>
      </c>
      <c r="C15" s="10" t="s">
        <v>30</v>
      </c>
      <c r="D15" s="8">
        <f>Zone_Site_Means!$N$4</f>
        <v>2.2773006082135741</v>
      </c>
      <c r="E15" s="21">
        <f>D15*Parameters!$B$4*Parameters!$B$5</f>
        <v>2.2773006082135741E-6</v>
      </c>
      <c r="F15" s="21">
        <f>E15*Parameters!$C$9*Parameters!$C$10*Parameters!$C$11/(Parameters!$C$8*Parameters!$C$15)</f>
        <v>6.5065731663244968E-8</v>
      </c>
      <c r="G15" s="21">
        <f>E15*Parameters!$C$12*Parameters!$F$31*Parameters!$C$13*Parameters!$C$10*Parameters!$C$11*Parameters!$C$14/(Parameters!$C$8*Parameters!$C$15)</f>
        <v>9.4956964010137128E-8</v>
      </c>
      <c r="H15" s="21">
        <f>F15/Parameters!$B$31</f>
        <v>2.1688577221081655E-3</v>
      </c>
      <c r="I15" s="21">
        <f>G15/Parameters!$B$31</f>
        <v>3.1652321336712373E-3</v>
      </c>
      <c r="J15" s="21">
        <f t="shared" si="0"/>
        <v>5.3340898557794024E-3</v>
      </c>
      <c r="K15" s="21">
        <f>F15*Parameters!$C$15/Parameters!$C$16</f>
        <v>6.5065731663244968E-8</v>
      </c>
      <c r="L15" s="21">
        <f>G15*Parameters!$C$15/Parameters!$C$16</f>
        <v>9.4956964010137128E-8</v>
      </c>
      <c r="M15" s="21">
        <f>K15*Parameters!$C$31</f>
        <v>1.1061174382751644E-6</v>
      </c>
      <c r="N15" s="21">
        <f>L15*Parameters!$C$31</f>
        <v>1.6142683881723312E-6</v>
      </c>
      <c r="O15" s="21">
        <f t="shared" si="1"/>
        <v>2.7203858264474954E-6</v>
      </c>
    </row>
    <row r="16" spans="1:15" ht="15" customHeight="1" x14ac:dyDescent="0.25">
      <c r="A16" s="10" t="s">
        <v>148</v>
      </c>
      <c r="B16" s="10" t="s">
        <v>169</v>
      </c>
      <c r="C16" s="10" t="s">
        <v>31</v>
      </c>
      <c r="D16" s="8">
        <f>Zone_Site_Means!$O$4</f>
        <v>3.9256060606060603</v>
      </c>
      <c r="E16" s="21">
        <f>D16*Parameters!$B$4*Parameters!$B$5</f>
        <v>3.9256060606060602E-6</v>
      </c>
      <c r="F16" s="21">
        <f>E16*Parameters!$C$9*Parameters!$C$10*Parameters!$C$11/(Parameters!$C$8*Parameters!$C$15)</f>
        <v>1.1216017316017315E-7</v>
      </c>
      <c r="G16" s="21">
        <f>E16*Parameters!$C$12*Parameters!$F$32*Parameters!$C$13*Parameters!$C$10*Parameters!$C$11*Parameters!$C$14/(Parameters!$C$8*Parameters!$C$15)</f>
        <v>2.5027252435646721E-8</v>
      </c>
      <c r="H16" s="21">
        <f>F16/Parameters!$B$32</f>
        <v>2.243203463203463E-3</v>
      </c>
      <c r="I16" s="21">
        <f>G16/Parameters!$B$32</f>
        <v>5.0054504871293443E-4</v>
      </c>
      <c r="J16" s="21">
        <f t="shared" si="0"/>
        <v>2.7437485119163976E-3</v>
      </c>
      <c r="K16" s="21">
        <f>F16*Parameters!$C$15/Parameters!$C$16</f>
        <v>1.1216017316017313E-7</v>
      </c>
      <c r="L16" s="21">
        <f>G16*Parameters!$C$15/Parameters!$C$16</f>
        <v>2.5027252435646721E-8</v>
      </c>
      <c r="M16" s="21">
        <f>K16*Parameters!$C$32</f>
        <v>1.7945627705627702E-6</v>
      </c>
      <c r="N16" s="21">
        <f>L16*Parameters!$C$32</f>
        <v>4.0043603897034753E-7</v>
      </c>
      <c r="O16" s="21">
        <f t="shared" si="1"/>
        <v>2.1949988095331178E-6</v>
      </c>
    </row>
    <row r="17" spans="1:15" ht="15" customHeight="1" x14ac:dyDescent="0.25">
      <c r="A17" s="10" t="s">
        <v>148</v>
      </c>
      <c r="B17" s="10" t="s">
        <v>169</v>
      </c>
      <c r="C17" s="10" t="s">
        <v>32</v>
      </c>
      <c r="D17" s="8">
        <f>Zone_Site_Means!$P$4</f>
        <v>2.5017575757575754</v>
      </c>
      <c r="E17" s="21">
        <f>D17*Parameters!$B$4*Parameters!$B$5</f>
        <v>2.5017575757575755E-6</v>
      </c>
      <c r="F17" s="21">
        <f>E17*Parameters!$C$9*Parameters!$C$10*Parameters!$C$11/(Parameters!$C$8*Parameters!$C$15)</f>
        <v>7.1478787878787878E-8</v>
      </c>
      <c r="G17" s="21">
        <f>E17*Parameters!$C$12*Parameters!$F$33*Parameters!$C$13*Parameters!$C$10*Parameters!$C$11*Parameters!$C$14/(Parameters!$C$8*Parameters!$C$15)</f>
        <v>5.0963081775276346E-8</v>
      </c>
      <c r="H17" s="21">
        <f>F17/Parameters!$B$33</f>
        <v>1.4295757575757576E-4</v>
      </c>
      <c r="I17" s="21">
        <f>G17/Parameters!$B$33</f>
        <v>1.0192616355055268E-4</v>
      </c>
      <c r="J17" s="21">
        <f t="shared" si="0"/>
        <v>2.4488373930812844E-4</v>
      </c>
      <c r="K17" s="21">
        <f>F17*Parameters!$C$15/Parameters!$C$16</f>
        <v>7.1478787878787878E-8</v>
      </c>
      <c r="L17" s="21">
        <f>G17*Parameters!$C$15/Parameters!$C$16</f>
        <v>5.0963081775276346E-8</v>
      </c>
      <c r="M17" s="21">
        <f>K17*Parameters!$C$33</f>
        <v>3.2165454545454546E-7</v>
      </c>
      <c r="N17" s="21">
        <f>L17*Parameters!$C$33</f>
        <v>2.2933386798874357E-7</v>
      </c>
      <c r="O17" s="21">
        <f t="shared" si="1"/>
        <v>5.5098841344328908E-7</v>
      </c>
    </row>
    <row r="18" spans="1:15" ht="15" customHeight="1" x14ac:dyDescent="0.25">
      <c r="A18" s="10" t="s">
        <v>148</v>
      </c>
      <c r="B18" s="10" t="s">
        <v>169</v>
      </c>
      <c r="C18" s="10" t="s">
        <v>33</v>
      </c>
      <c r="D18" s="8">
        <f>Zone_Site_Means!$Q$4</f>
        <v>4.0036666666666667</v>
      </c>
      <c r="E18" s="21">
        <f>D18*Parameters!$B$4*Parameters!$B$5</f>
        <v>4.0036666666666669E-6</v>
      </c>
      <c r="F18" s="21">
        <f>E18*Parameters!$C$9*Parameters!$C$10*Parameters!$C$11/(Parameters!$C$8*Parameters!$C$15)</f>
        <v>1.1439047619047619E-7</v>
      </c>
      <c r="G18" s="21">
        <f>E18*Parameters!$C$12*Parameters!$F$34*Parameters!$C$13*Parameters!$C$10*Parameters!$C$11*Parameters!$C$14/(Parameters!$C$8*Parameters!$C$15)</f>
        <v>1.2096740685661869E-8</v>
      </c>
      <c r="H18" s="21">
        <f>F18/Parameters!$B$34</f>
        <v>8.7992673992673999E-3</v>
      </c>
      <c r="I18" s="21">
        <f>G18/Parameters!$B$34</f>
        <v>9.3051851428168231E-4</v>
      </c>
      <c r="J18" s="21">
        <f t="shared" si="0"/>
        <v>9.7297859135490813E-3</v>
      </c>
      <c r="K18" s="21">
        <f>F18*Parameters!$C$15/Parameters!$C$16</f>
        <v>1.1439047619047619E-7</v>
      </c>
      <c r="L18" s="21">
        <f>G18*Parameters!$C$15/Parameters!$C$16</f>
        <v>1.2096740685661869E-8</v>
      </c>
      <c r="M18" s="21">
        <f>K18*Parameters!$C$34</f>
        <v>1.0409533333333334E-6</v>
      </c>
      <c r="N18" s="21">
        <f>L18*Parameters!$C$34</f>
        <v>1.10080340239523E-7</v>
      </c>
      <c r="O18" s="21">
        <f t="shared" si="1"/>
        <v>1.1510336735728564E-6</v>
      </c>
    </row>
    <row r="19" spans="1:15" ht="15" customHeight="1" x14ac:dyDescent="0.25">
      <c r="A19" s="10" t="s">
        <v>148</v>
      </c>
      <c r="B19" s="10" t="s">
        <v>170</v>
      </c>
      <c r="C19" s="10" t="s">
        <v>20</v>
      </c>
      <c r="D19" s="8">
        <f>Zone_Site_Means!$D$4</f>
        <v>4.4101515151515152</v>
      </c>
      <c r="E19" s="21">
        <f>D19*Parameters!$B$4*Parameters!$B$5</f>
        <v>4.4101515151515157E-6</v>
      </c>
      <c r="F19" s="21">
        <f>E19*Parameters!$D$9*Parameters!$D$10*Parameters!$D$11/(Parameters!$D$8*Parameters!$D$15)</f>
        <v>2.9401010101010105E-7</v>
      </c>
      <c r="G19" s="21">
        <f>E19*Parameters!$D$12*Parameters!$F$21*Parameters!$D$13*Parameters!$D$10*Parameters!$D$11*Parameters!$D$14/(Parameters!$D$8*Parameters!$D$15)</f>
        <v>9.6418903180545457E-7</v>
      </c>
      <c r="H19" s="21">
        <f>F19/Parameters!$B$21</f>
        <v>5.8802020202020208E-4</v>
      </c>
      <c r="I19" s="21">
        <f>G19/Parameters!$B$21</f>
        <v>1.9283780636109092E-3</v>
      </c>
      <c r="J19" s="21">
        <f t="shared" si="0"/>
        <v>2.5163982656311113E-3</v>
      </c>
      <c r="K19" s="21">
        <f>F19*Parameters!$D$15/Parameters!$D$16</f>
        <v>2.5200865800865805E-8</v>
      </c>
      <c r="L19" s="21">
        <f>G19*Parameters!$D$15/Parameters!$D$16</f>
        <v>8.2644774154753248E-8</v>
      </c>
      <c r="M19" s="21">
        <f>K19*Parameters!$C$21</f>
        <v>8.5682943722943751E-9</v>
      </c>
      <c r="N19" s="21">
        <f>L19*Parameters!$C$21</f>
        <v>2.8099223212616106E-8</v>
      </c>
      <c r="O19" s="21">
        <f t="shared" si="1"/>
        <v>3.6667517584910478E-8</v>
      </c>
    </row>
    <row r="20" spans="1:15" ht="15" customHeight="1" x14ac:dyDescent="0.25">
      <c r="A20" s="10" t="s">
        <v>148</v>
      </c>
      <c r="B20" s="10" t="s">
        <v>170</v>
      </c>
      <c r="C20" s="10" t="s">
        <v>21</v>
      </c>
      <c r="D20" s="8">
        <f>Zone_Site_Means!$E$4</f>
        <v>5.218399999999999</v>
      </c>
      <c r="E20" s="21">
        <f>D20*Parameters!$B$4*Parameters!$B$5</f>
        <v>5.218399999999999E-6</v>
      </c>
      <c r="F20" s="21">
        <f>E20*Parameters!$D$9*Parameters!$D$10*Parameters!$D$11/(Parameters!$D$8*Parameters!$D$15)</f>
        <v>3.4789333333333324E-7</v>
      </c>
      <c r="G20" s="21">
        <f>E20*Parameters!$D$12*Parameters!$F$22*Parameters!$D$13*Parameters!$D$10*Parameters!$D$11*Parameters!$D$14/(Parameters!$D$8*Parameters!$D$15)</f>
        <v>1.3691342726315742E-6</v>
      </c>
      <c r="H20" s="21">
        <f>F20/Parameters!$B$22</f>
        <v>6.9578666666666642E-4</v>
      </c>
      <c r="I20" s="21">
        <f>G20/Parameters!$B$22</f>
        <v>2.7382685452631483E-3</v>
      </c>
      <c r="J20" s="21">
        <f t="shared" si="0"/>
        <v>3.4340552119298149E-3</v>
      </c>
      <c r="K20" s="21">
        <f>F20*Parameters!$D$15/Parameters!$D$16</f>
        <v>2.9819428571428564E-8</v>
      </c>
      <c r="L20" s="21">
        <f>G20*Parameters!$D$15/Parameters!$D$16</f>
        <v>1.1735436622556351E-7</v>
      </c>
      <c r="M20" s="21">
        <f>K20*Parameters!$C$22</f>
        <v>1.0138605714285713E-8</v>
      </c>
      <c r="N20" s="21">
        <f>L20*Parameters!$C$22</f>
        <v>3.9900484516691595E-8</v>
      </c>
      <c r="O20" s="21">
        <f t="shared" si="1"/>
        <v>5.0039090230977306E-8</v>
      </c>
    </row>
    <row r="21" spans="1:15" ht="15" customHeight="1" x14ac:dyDescent="0.25">
      <c r="A21" s="10" t="s">
        <v>148</v>
      </c>
      <c r="B21" s="10" t="s">
        <v>170</v>
      </c>
      <c r="C21" s="10" t="s">
        <v>22</v>
      </c>
      <c r="D21" s="8">
        <f>Zone_Site_Means!$F$4</f>
        <v>3.7881515151515157</v>
      </c>
      <c r="E21" s="21">
        <f>D21*Parameters!$B$4*Parameters!$B$5</f>
        <v>3.7881515151515155E-6</v>
      </c>
      <c r="F21" s="21">
        <f>E21*Parameters!$D$9*Parameters!$D$10*Parameters!$D$11/(Parameters!$D$8*Parameters!$D$15)</f>
        <v>2.5254343434343441E-7</v>
      </c>
      <c r="G21" s="21">
        <f>E21*Parameters!$D$12*Parameters!$F$23*Parameters!$D$13*Parameters!$D$10*Parameters!$D$11*Parameters!$D$14/(Parameters!$D$8*Parameters!$D$15)</f>
        <v>3.1904799351041169E-7</v>
      </c>
      <c r="H21" s="21">
        <f>F21/Parameters!$B$23</f>
        <v>5.0508686868686883E-4</v>
      </c>
      <c r="I21" s="21">
        <f>G21/Parameters!$B$23</f>
        <v>6.3809598702082334E-4</v>
      </c>
      <c r="J21" s="21">
        <f t="shared" si="0"/>
        <v>1.1431828557076922E-3</v>
      </c>
      <c r="K21" s="21">
        <f>F21*Parameters!$D$15/Parameters!$D$16</f>
        <v>2.1646580086580088E-8</v>
      </c>
      <c r="L21" s="21">
        <f>G21*Parameters!$D$15/Parameters!$D$16</f>
        <v>2.7346970872321004E-8</v>
      </c>
      <c r="M21" s="21">
        <f>K21*Parameters!$C$23</f>
        <v>7.3598372294372309E-9</v>
      </c>
      <c r="N21" s="21">
        <f>L21*Parameters!$C$23</f>
        <v>9.2979700965891426E-9</v>
      </c>
      <c r="O21" s="21">
        <f t="shared" si="1"/>
        <v>1.6657807326026374E-8</v>
      </c>
    </row>
    <row r="22" spans="1:15" ht="15" customHeight="1" x14ac:dyDescent="0.25">
      <c r="A22" s="10" t="s">
        <v>148</v>
      </c>
      <c r="B22" s="10" t="s">
        <v>170</v>
      </c>
      <c r="C22" s="10" t="s">
        <v>23</v>
      </c>
      <c r="D22" s="8">
        <f>Zone_Site_Means!$G$4</f>
        <v>4.7992424242424239</v>
      </c>
      <c r="E22" s="21">
        <f>D22*Parameters!$B$4*Parameters!$B$5</f>
        <v>4.7992424242424237E-6</v>
      </c>
      <c r="F22" s="21">
        <f>E22*Parameters!$D$9*Parameters!$D$10*Parameters!$D$11/(Parameters!$D$8*Parameters!$D$15)</f>
        <v>3.1994949494949494E-7</v>
      </c>
      <c r="G22" s="21">
        <f>E22*Parameters!$D$12*Parameters!$F$24*Parameters!$D$13*Parameters!$D$10*Parameters!$D$11*Parameters!$D$14/(Parameters!$D$8*Parameters!$D$15)</f>
        <v>5.0769322099534312E-7</v>
      </c>
      <c r="H22" s="21">
        <f>F22/Parameters!$B$24</f>
        <v>6.3989898989898989E-4</v>
      </c>
      <c r="I22" s="21">
        <f>G22/Parameters!$B$24</f>
        <v>1.0153864419906863E-3</v>
      </c>
      <c r="J22" s="21">
        <f t="shared" si="0"/>
        <v>1.6552854318896762E-3</v>
      </c>
      <c r="K22" s="21">
        <f>F22*Parameters!$D$15/Parameters!$D$16</f>
        <v>2.7424242424242423E-8</v>
      </c>
      <c r="L22" s="21">
        <f>G22*Parameters!$D$15/Parameters!$D$16</f>
        <v>4.3516561799600843E-8</v>
      </c>
      <c r="M22" s="21">
        <f>K22*Parameters!$C$24</f>
        <v>9.3242424242424246E-9</v>
      </c>
      <c r="N22" s="21">
        <f>L22*Parameters!$C$24</f>
        <v>1.4795631011864288E-8</v>
      </c>
      <c r="O22" s="21">
        <f t="shared" si="1"/>
        <v>2.4119873436106715E-8</v>
      </c>
    </row>
    <row r="23" spans="1:15" ht="15" customHeight="1" x14ac:dyDescent="0.25">
      <c r="A23" s="10" t="s">
        <v>148</v>
      </c>
      <c r="B23" s="10" t="s">
        <v>170</v>
      </c>
      <c r="C23" s="10" t="s">
        <v>24</v>
      </c>
      <c r="D23" s="8">
        <f>Zone_Site_Means!$H$4</f>
        <v>6.236121212121212</v>
      </c>
      <c r="E23" s="21">
        <f>D23*Parameters!$B$4*Parameters!$B$5</f>
        <v>6.2361212121212119E-6</v>
      </c>
      <c r="F23" s="21">
        <f>E23*Parameters!$D$9*Parameters!$D$10*Parameters!$D$11/(Parameters!$D$8*Parameters!$D$15)</f>
        <v>4.1574141414141409E-7</v>
      </c>
      <c r="G23" s="21">
        <f>E23*Parameters!$D$12*Parameters!$F$25*Parameters!$D$13*Parameters!$D$10*Parameters!$D$11*Parameters!$D$14/(Parameters!$D$8*Parameters!$D$15)</f>
        <v>6.5674870410631848E-7</v>
      </c>
      <c r="H23" s="21">
        <f>F23/Parameters!$B$25</f>
        <v>8.3148282828282821E-4</v>
      </c>
      <c r="I23" s="21">
        <f>G23/Parameters!$B$25</f>
        <v>1.3134974082126369E-3</v>
      </c>
      <c r="J23" s="21">
        <f t="shared" si="0"/>
        <v>2.144980236495465E-3</v>
      </c>
      <c r="K23" s="21">
        <f>F23*Parameters!$D$15/Parameters!$D$16</f>
        <v>3.5634978354978353E-8</v>
      </c>
      <c r="L23" s="21">
        <f>G23*Parameters!$D$15/Parameters!$D$16</f>
        <v>5.6292746066255868E-8</v>
      </c>
      <c r="M23" s="21">
        <f>K23*Parameters!$C$25</f>
        <v>1.211589264069264E-8</v>
      </c>
      <c r="N23" s="21">
        <f>L23*Parameters!$C$25</f>
        <v>1.9139533662526998E-8</v>
      </c>
      <c r="O23" s="21">
        <f t="shared" si="1"/>
        <v>3.1255426303219638E-8</v>
      </c>
    </row>
    <row r="24" spans="1:15" ht="15" customHeight="1" x14ac:dyDescent="0.25">
      <c r="A24" s="10" t="s">
        <v>148</v>
      </c>
      <c r="B24" s="10" t="s">
        <v>170</v>
      </c>
      <c r="C24" s="10" t="s">
        <v>25</v>
      </c>
      <c r="D24" s="8">
        <f>Zone_Site_Means!$I$4</f>
        <v>13.251939393939393</v>
      </c>
      <c r="E24" s="21">
        <f>D24*Parameters!$B$4*Parameters!$B$5</f>
        <v>1.3251939393939394E-5</v>
      </c>
      <c r="F24" s="21">
        <f>E24*Parameters!$D$9*Parameters!$D$10*Parameters!$D$11/(Parameters!$D$8*Parameters!$D$15)</f>
        <v>8.8346262626262621E-7</v>
      </c>
      <c r="G24" s="21">
        <f>E24*Parameters!$D$12*Parameters!$F$26*Parameters!$D$13*Parameters!$D$10*Parameters!$D$11*Parameters!$D$14/(Parameters!$D$8*Parameters!$D$15)</f>
        <v>3.0294522914398538E-6</v>
      </c>
      <c r="H24" s="21">
        <f>F24/Parameters!$B$26</f>
        <v>1.7669252525252524E-3</v>
      </c>
      <c r="I24" s="21">
        <f>G24/Parameters!$B$26</f>
        <v>6.0589045828797075E-3</v>
      </c>
      <c r="J24" s="21">
        <f t="shared" si="0"/>
        <v>7.8258298354049599E-3</v>
      </c>
      <c r="K24" s="21">
        <f>F24*Parameters!$D$15/Parameters!$D$16</f>
        <v>7.5725367965367956E-8</v>
      </c>
      <c r="L24" s="21">
        <f>G24*Parameters!$D$15/Parameters!$D$16</f>
        <v>2.596673392662732E-7</v>
      </c>
      <c r="M24" s="21">
        <f>K24*Parameters!$C$26</f>
        <v>2.5746625108225107E-8</v>
      </c>
      <c r="N24" s="21">
        <f>L24*Parameters!$C$26</f>
        <v>8.828689535053289E-8</v>
      </c>
      <c r="O24" s="21">
        <f t="shared" si="1"/>
        <v>1.14033520458758E-7</v>
      </c>
    </row>
    <row r="25" spans="1:15" ht="15" customHeight="1" x14ac:dyDescent="0.25">
      <c r="A25" s="10" t="s">
        <v>148</v>
      </c>
      <c r="B25" s="10" t="s">
        <v>170</v>
      </c>
      <c r="C25" s="10" t="s">
        <v>26</v>
      </c>
      <c r="D25" s="8">
        <f>Zone_Site_Means!$J$4</f>
        <v>4.7611363636363642</v>
      </c>
      <c r="E25" s="21">
        <f>D25*Parameters!$B$4*Parameters!$B$5</f>
        <v>4.7611363636363639E-6</v>
      </c>
      <c r="F25" s="21">
        <f>E25*Parameters!$D$9*Parameters!$D$10*Parameters!$D$11/(Parameters!$D$8*Parameters!$D$15)</f>
        <v>3.1740909090909094E-7</v>
      </c>
      <c r="G25" s="21">
        <f>E25*Parameters!$D$12*Parameters!$F$27*Parameters!$D$13*Parameters!$D$10*Parameters!$D$11*Parameters!$D$14/(Parameters!$D$8*Parameters!$D$15)</f>
        <v>2.5148685903713118E-8</v>
      </c>
      <c r="H25" s="21">
        <f>F25/Parameters!$B$27</f>
        <v>1.0580303030303033E-3</v>
      </c>
      <c r="I25" s="21">
        <f>G25/Parameters!$B$27</f>
        <v>8.382895301237706E-5</v>
      </c>
      <c r="J25" s="21">
        <f t="shared" si="0"/>
        <v>1.1418592560426804E-3</v>
      </c>
      <c r="K25" s="21">
        <f>F25*Parameters!$D$15/Parameters!$D$16</f>
        <v>2.7206493506493506E-8</v>
      </c>
      <c r="L25" s="21">
        <f>G25*Parameters!$D$15/Parameters!$D$16</f>
        <v>2.1556016488896957E-9</v>
      </c>
      <c r="M25" s="21">
        <f>K25*Parameters!$C$27</f>
        <v>1.7140090909090908E-7</v>
      </c>
      <c r="N25" s="21">
        <f>L25*Parameters!$C$27</f>
        <v>1.3580290388005082E-8</v>
      </c>
      <c r="O25" s="21">
        <f t="shared" si="1"/>
        <v>1.8498119947891416E-7</v>
      </c>
    </row>
    <row r="26" spans="1:15" ht="15" customHeight="1" x14ac:dyDescent="0.25">
      <c r="A26" s="10" t="s">
        <v>148</v>
      </c>
      <c r="B26" s="10" t="s">
        <v>170</v>
      </c>
      <c r="C26" s="10" t="s">
        <v>27</v>
      </c>
      <c r="D26" s="8">
        <f>Zone_Site_Means!$K$4</f>
        <v>8.6328181818181804</v>
      </c>
      <c r="E26" s="21">
        <f>D26*Parameters!$B$4*Parameters!$B$5</f>
        <v>8.6328181818181808E-6</v>
      </c>
      <c r="F26" s="21">
        <f>E26*Parameters!$D$9*Parameters!$D$10*Parameters!$D$11/(Parameters!$D$8*Parameters!$D$15)</f>
        <v>5.7552121212121201E-7</v>
      </c>
      <c r="G26" s="21">
        <f>E26*Parameters!$D$12*Parameters!$F$28*Parameters!$D$13*Parameters!$D$10*Parameters!$D$11*Parameters!$D$14/(Parameters!$D$8*Parameters!$D$15)</f>
        <v>4.4234107667757698E-8</v>
      </c>
      <c r="H26" s="21">
        <f>F26/Parameters!$B$28</f>
        <v>1.9184040404040402E-3</v>
      </c>
      <c r="I26" s="21">
        <f>G26/Parameters!$B$28</f>
        <v>1.4744702555919234E-4</v>
      </c>
      <c r="J26" s="21">
        <f t="shared" si="0"/>
        <v>2.0658510659632328E-3</v>
      </c>
      <c r="K26" s="21">
        <f>F26*Parameters!$D$15/Parameters!$D$16</f>
        <v>4.9330389610389598E-8</v>
      </c>
      <c r="L26" s="21">
        <f>G26*Parameters!$D$15/Parameters!$D$16</f>
        <v>3.7914949429506597E-9</v>
      </c>
      <c r="M26" s="21">
        <f>K26*Parameters!$C$28</f>
        <v>8.8794701298701281E-8</v>
      </c>
      <c r="N26" s="21">
        <f>L26*Parameters!$C$28</f>
        <v>6.824690897311188E-9</v>
      </c>
      <c r="O26" s="21">
        <f t="shared" si="1"/>
        <v>9.5619392196012473E-8</v>
      </c>
    </row>
    <row r="27" spans="1:15" ht="15" customHeight="1" x14ac:dyDescent="0.25">
      <c r="A27" s="10" t="s">
        <v>148</v>
      </c>
      <c r="B27" s="10" t="s">
        <v>170</v>
      </c>
      <c r="C27" s="10" t="s">
        <v>28</v>
      </c>
      <c r="D27" s="8">
        <f>Zone_Site_Means!$L$4</f>
        <v>2.0428484848484847</v>
      </c>
      <c r="E27" s="21">
        <f>D27*Parameters!$B$4*Parameters!$B$5</f>
        <v>2.0428484848484846E-6</v>
      </c>
      <c r="F27" s="21">
        <f>E27*Parameters!$D$9*Parameters!$D$10*Parameters!$D$11/(Parameters!$D$8*Parameters!$D$15)</f>
        <v>1.3618989898989898E-7</v>
      </c>
      <c r="G27" s="21">
        <f>E27*Parameters!$D$12*Parameters!$F$29*Parameters!$D$13*Parameters!$D$10*Parameters!$D$11*Parameters!$D$14/(Parameters!$D$8*Parameters!$D$15)</f>
        <v>9.5552231370487696E-9</v>
      </c>
      <c r="H27" s="21">
        <f>F27/Parameters!$B$29</f>
        <v>4.5396632996632996E-4</v>
      </c>
      <c r="I27" s="21">
        <f>G27/Parameters!$B$29</f>
        <v>3.1850743790162566E-5</v>
      </c>
      <c r="J27" s="21">
        <f t="shared" si="0"/>
        <v>4.8581707375649255E-4</v>
      </c>
      <c r="K27" s="21">
        <f>F27*Parameters!$D$15/Parameters!$D$16</f>
        <v>1.1673419913419913E-8</v>
      </c>
      <c r="L27" s="21">
        <f>G27*Parameters!$D$15/Parameters!$D$16</f>
        <v>8.190191260327516E-10</v>
      </c>
      <c r="M27" s="21">
        <f>K27*Parameters!$C$29</f>
        <v>1.5175445887445887E-8</v>
      </c>
      <c r="N27" s="21">
        <f>L27*Parameters!$C$29</f>
        <v>1.0647248638425771E-9</v>
      </c>
      <c r="O27" s="21">
        <f t="shared" si="1"/>
        <v>1.6240170751288465E-8</v>
      </c>
    </row>
    <row r="28" spans="1:15" ht="15" customHeight="1" x14ac:dyDescent="0.25">
      <c r="A28" s="10" t="s">
        <v>148</v>
      </c>
      <c r="B28" s="10" t="s">
        <v>170</v>
      </c>
      <c r="C28" s="10" t="s">
        <v>29</v>
      </c>
      <c r="D28" s="8">
        <f>Zone_Site_Means!$M$4</f>
        <v>4.0948090909090915</v>
      </c>
      <c r="E28" s="21">
        <f>D28*Parameters!$B$4*Parameters!$B$5</f>
        <v>4.0948090909090916E-6</v>
      </c>
      <c r="F28" s="21">
        <f>E28*Parameters!$D$9*Parameters!$D$10*Parameters!$D$11/(Parameters!$D$8*Parameters!$D$15)</f>
        <v>2.7298727272727277E-7</v>
      </c>
      <c r="G28" s="21">
        <f>E28*Parameters!$D$12*Parameters!$F$30*Parameters!$D$13*Parameters!$D$10*Parameters!$D$11*Parameters!$D$14/(Parameters!$D$8*Parameters!$D$15)</f>
        <v>3.6260879639699843E-8</v>
      </c>
      <c r="H28" s="21">
        <f>F28/Parameters!$B$30</f>
        <v>9.0995757575757603E-4</v>
      </c>
      <c r="I28" s="21">
        <f>G28/Parameters!$B$30</f>
        <v>1.2086959879899949E-4</v>
      </c>
      <c r="J28" s="21">
        <f t="shared" si="0"/>
        <v>1.0308271745565756E-3</v>
      </c>
      <c r="K28" s="21">
        <f>F28*Parameters!$D$15/Parameters!$D$16</f>
        <v>2.3398909090909096E-8</v>
      </c>
      <c r="L28" s="21">
        <f>G28*Parameters!$D$15/Parameters!$D$16</f>
        <v>3.108075397688558E-9</v>
      </c>
      <c r="M28" s="21">
        <f>K28*Parameters!$C$30</f>
        <v>0</v>
      </c>
      <c r="N28" s="21">
        <f>L28*Parameters!$C$30</f>
        <v>0</v>
      </c>
      <c r="O28" s="21">
        <f t="shared" si="1"/>
        <v>0</v>
      </c>
    </row>
    <row r="29" spans="1:15" ht="15" customHeight="1" x14ac:dyDescent="0.25">
      <c r="A29" s="10" t="s">
        <v>148</v>
      </c>
      <c r="B29" s="10" t="s">
        <v>170</v>
      </c>
      <c r="C29" s="10" t="s">
        <v>30</v>
      </c>
      <c r="D29" s="8">
        <f>Zone_Site_Means!$N$4</f>
        <v>2.2773006082135741</v>
      </c>
      <c r="E29" s="21">
        <f>D29*Parameters!$B$4*Parameters!$B$5</f>
        <v>2.2773006082135741E-6</v>
      </c>
      <c r="F29" s="21">
        <f>E29*Parameters!$D$9*Parameters!$D$10*Parameters!$D$11/(Parameters!$D$8*Parameters!$D$15)</f>
        <v>1.518200405475716E-7</v>
      </c>
      <c r="G29" s="21">
        <f>E29*Parameters!$D$12*Parameters!$F$31*Parameters!$D$13*Parameters!$D$10*Parameters!$D$11*Parameters!$D$14/(Parameters!$D$8*Parameters!$D$15)</f>
        <v>2.8014123481917848E-7</v>
      </c>
      <c r="H29" s="21">
        <f>F29/Parameters!$B$31</f>
        <v>5.0606680182523865E-3</v>
      </c>
      <c r="I29" s="21">
        <f>G29/Parameters!$B$31</f>
        <v>9.3380411606392814E-3</v>
      </c>
      <c r="J29" s="21">
        <f t="shared" si="0"/>
        <v>1.4398709178891668E-2</v>
      </c>
      <c r="K29" s="21">
        <f>F29*Parameters!$D$15/Parameters!$D$16</f>
        <v>1.3013146332648995E-8</v>
      </c>
      <c r="L29" s="21">
        <f>G29*Parameters!$D$15/Parameters!$D$16</f>
        <v>2.4012105841643869E-8</v>
      </c>
      <c r="M29" s="21">
        <f>K29*Parameters!$C$31</f>
        <v>2.2122348765503291E-7</v>
      </c>
      <c r="N29" s="21">
        <f>L29*Parameters!$C$31</f>
        <v>4.082057993079458E-7</v>
      </c>
      <c r="O29" s="21">
        <f t="shared" si="1"/>
        <v>6.2942928696297873E-7</v>
      </c>
    </row>
    <row r="30" spans="1:15" ht="15" customHeight="1" x14ac:dyDescent="0.25">
      <c r="A30" s="10" t="s">
        <v>148</v>
      </c>
      <c r="B30" s="10" t="s">
        <v>170</v>
      </c>
      <c r="C30" s="10" t="s">
        <v>31</v>
      </c>
      <c r="D30" s="8">
        <f>Zone_Site_Means!$O$4</f>
        <v>3.9256060606060603</v>
      </c>
      <c r="E30" s="21">
        <f>D30*Parameters!$B$4*Parameters!$B$5</f>
        <v>3.9256060606060602E-6</v>
      </c>
      <c r="F30" s="21">
        <f>E30*Parameters!$D$9*Parameters!$D$10*Parameters!$D$11/(Parameters!$D$8*Parameters!$D$15)</f>
        <v>2.617070707070707E-7</v>
      </c>
      <c r="G30" s="21">
        <f>E30*Parameters!$D$12*Parameters!$F$32*Parameters!$D$13*Parameters!$D$10*Parameters!$D$11*Parameters!$D$14/(Parameters!$D$8*Parameters!$D$15)</f>
        <v>7.3835189177961605E-8</v>
      </c>
      <c r="H30" s="21">
        <f>F30/Parameters!$B$32</f>
        <v>5.2341414141414133E-3</v>
      </c>
      <c r="I30" s="21">
        <f>G30/Parameters!$B$32</f>
        <v>1.476703783559232E-3</v>
      </c>
      <c r="J30" s="21">
        <f t="shared" si="0"/>
        <v>6.7108451977006458E-3</v>
      </c>
      <c r="K30" s="21">
        <f>F30*Parameters!$D$15/Parameters!$D$16</f>
        <v>2.2432034632034634E-8</v>
      </c>
      <c r="L30" s="21">
        <f>G30*Parameters!$D$15/Parameters!$D$16</f>
        <v>6.3287305009681372E-9</v>
      </c>
      <c r="M30" s="21">
        <f>K30*Parameters!$C$32</f>
        <v>3.5891255411255414E-7</v>
      </c>
      <c r="N30" s="21">
        <f>L30*Parameters!$C$32</f>
        <v>1.012596880154902E-7</v>
      </c>
      <c r="O30" s="21">
        <f t="shared" si="1"/>
        <v>4.6017224212804433E-7</v>
      </c>
    </row>
    <row r="31" spans="1:15" ht="15" customHeight="1" x14ac:dyDescent="0.25">
      <c r="A31" s="10" t="s">
        <v>148</v>
      </c>
      <c r="B31" s="10" t="s">
        <v>170</v>
      </c>
      <c r="C31" s="10" t="s">
        <v>32</v>
      </c>
      <c r="D31" s="8">
        <f>Zone_Site_Means!$P$4</f>
        <v>2.5017575757575754</v>
      </c>
      <c r="E31" s="21">
        <f>D31*Parameters!$B$4*Parameters!$B$5</f>
        <v>2.5017575757575755E-6</v>
      </c>
      <c r="F31" s="21">
        <f>E31*Parameters!$D$9*Parameters!$D$10*Parameters!$D$11/(Parameters!$D$8*Parameters!$D$15)</f>
        <v>1.6678383838383837E-7</v>
      </c>
      <c r="G31" s="21">
        <f>E31*Parameters!$D$12*Parameters!$F$33*Parameters!$D$13*Parameters!$D$10*Parameters!$D$11*Parameters!$D$14/(Parameters!$D$8*Parameters!$D$15)</f>
        <v>1.5035085427955091E-7</v>
      </c>
      <c r="H31" s="21">
        <f>F31/Parameters!$B$33</f>
        <v>3.3356767676767673E-4</v>
      </c>
      <c r="I31" s="21">
        <f>G31/Parameters!$B$33</f>
        <v>3.0070170855910181E-4</v>
      </c>
      <c r="J31" s="21">
        <f t="shared" si="0"/>
        <v>6.3426938532677854E-4</v>
      </c>
      <c r="K31" s="21">
        <f>F31*Parameters!$D$15/Parameters!$D$16</f>
        <v>1.4295757575757573E-8</v>
      </c>
      <c r="L31" s="21">
        <f>G31*Parameters!$D$15/Parameters!$D$16</f>
        <v>1.2887216081104363E-8</v>
      </c>
      <c r="M31" s="21">
        <f>K31*Parameters!$C$33</f>
        <v>6.4330909090909078E-8</v>
      </c>
      <c r="N31" s="21">
        <f>L31*Parameters!$C$33</f>
        <v>5.7992472364969635E-8</v>
      </c>
      <c r="O31" s="21">
        <f t="shared" si="1"/>
        <v>1.2232338145587873E-7</v>
      </c>
    </row>
    <row r="32" spans="1:15" ht="15" customHeight="1" x14ac:dyDescent="0.25">
      <c r="A32" s="10" t="s">
        <v>148</v>
      </c>
      <c r="B32" s="10" t="s">
        <v>170</v>
      </c>
      <c r="C32" s="10" t="s">
        <v>33</v>
      </c>
      <c r="D32" s="8">
        <f>Zone_Site_Means!$Q$4</f>
        <v>4.0036666666666667</v>
      </c>
      <c r="E32" s="21">
        <f>D32*Parameters!$B$4*Parameters!$B$5</f>
        <v>4.0036666666666669E-6</v>
      </c>
      <c r="F32" s="21">
        <f>E32*Parameters!$D$9*Parameters!$D$10*Parameters!$D$11/(Parameters!$D$8*Parameters!$D$15)</f>
        <v>2.6691111111111109E-7</v>
      </c>
      <c r="G32" s="21">
        <f>E32*Parameters!$D$12*Parameters!$F$34*Parameters!$D$13*Parameters!$D$10*Parameters!$D$11*Parameters!$D$14/(Parameters!$D$8*Parameters!$D$15)</f>
        <v>3.5687702405975632E-8</v>
      </c>
      <c r="H32" s="21">
        <f>F32/Parameters!$B$34</f>
        <v>2.053162393162393E-2</v>
      </c>
      <c r="I32" s="21">
        <f>G32/Parameters!$B$34</f>
        <v>2.7452078773827411E-3</v>
      </c>
      <c r="J32" s="21">
        <f t="shared" si="0"/>
        <v>2.3276831809006672E-2</v>
      </c>
      <c r="K32" s="21">
        <f>F32*Parameters!$D$15/Parameters!$D$16</f>
        <v>2.2878095238095239E-8</v>
      </c>
      <c r="L32" s="21">
        <f>G32*Parameters!$D$15/Parameters!$D$16</f>
        <v>3.0589459205121969E-9</v>
      </c>
      <c r="M32" s="21">
        <f>K32*Parameters!$C$34</f>
        <v>2.0819066666666667E-7</v>
      </c>
      <c r="N32" s="21">
        <f>L32*Parameters!$C$34</f>
        <v>2.7836407876660991E-8</v>
      </c>
      <c r="O32" s="21">
        <f t="shared" si="1"/>
        <v>2.3602707454332767E-7</v>
      </c>
    </row>
    <row r="33" spans="1:15" ht="15" customHeight="1" x14ac:dyDescent="0.25">
      <c r="A33" s="10" t="s">
        <v>39</v>
      </c>
      <c r="B33" s="10" t="s">
        <v>169</v>
      </c>
      <c r="C33" s="10" t="s">
        <v>20</v>
      </c>
      <c r="D33" s="8">
        <f>Zone_Site_Means!$D$5</f>
        <v>2.6863333333333332</v>
      </c>
      <c r="E33" s="21">
        <f>D33*Parameters!$B$4*Parameters!$B$5</f>
        <v>2.686333333333333E-6</v>
      </c>
      <c r="F33" s="21">
        <f>E33*Parameters!$C$9*Parameters!$C$10*Parameters!$C$11/(Parameters!$C$8*Parameters!$C$15)</f>
        <v>7.675238095238095E-8</v>
      </c>
      <c r="G33" s="21">
        <f>E33*Parameters!$C$12*Parameters!$F$21*Parameters!$C$13*Parameters!$C$10*Parameters!$C$11*Parameters!$C$14/(Parameters!$C$8*Parameters!$C$15)</f>
        <v>1.9907574960471561E-7</v>
      </c>
      <c r="H33" s="21">
        <f>F33/Parameters!$B$21</f>
        <v>1.5350476190476188E-4</v>
      </c>
      <c r="I33" s="21">
        <f>G33/Parameters!$B$21</f>
        <v>3.9815149920943119E-4</v>
      </c>
      <c r="J33" s="21">
        <f t="shared" si="0"/>
        <v>5.5165626111419307E-4</v>
      </c>
      <c r="K33" s="21">
        <f>F33*Parameters!$C$15/Parameters!$C$16</f>
        <v>7.675238095238095E-8</v>
      </c>
      <c r="L33" s="21">
        <f>G33*Parameters!$C$15/Parameters!$C$16</f>
        <v>1.9907574960471563E-7</v>
      </c>
      <c r="M33" s="21">
        <f>K33*Parameters!$C$21</f>
        <v>2.6095809523809525E-8</v>
      </c>
      <c r="N33" s="21">
        <f>L33*Parameters!$C$21</f>
        <v>6.768575486560332E-8</v>
      </c>
      <c r="O33" s="21">
        <f t="shared" si="1"/>
        <v>9.3781564389412842E-8</v>
      </c>
    </row>
    <row r="34" spans="1:15" ht="15" customHeight="1" x14ac:dyDescent="0.25">
      <c r="A34" s="10" t="s">
        <v>39</v>
      </c>
      <c r="B34" s="10" t="s">
        <v>169</v>
      </c>
      <c r="C34" s="10" t="s">
        <v>21</v>
      </c>
      <c r="D34" s="8">
        <f>Zone_Site_Means!$E$5</f>
        <v>3.2575555555555553</v>
      </c>
      <c r="E34" s="21">
        <f>D34*Parameters!$B$4*Parameters!$B$5</f>
        <v>3.2575555555555551E-6</v>
      </c>
      <c r="F34" s="21">
        <f>E34*Parameters!$C$9*Parameters!$C$10*Parameters!$C$11/(Parameters!$C$8*Parameters!$C$15)</f>
        <v>9.3073015873015872E-8</v>
      </c>
      <c r="G34" s="21">
        <f>E34*Parameters!$C$12*Parameters!$F$22*Parameters!$C$13*Parameters!$C$10*Parameters!$C$11*Parameters!$C$14/(Parameters!$C$8*Parameters!$C$15)</f>
        <v>2.8970119704934238E-7</v>
      </c>
      <c r="H34" s="21">
        <f>F34/Parameters!$B$22</f>
        <v>1.8614603174603174E-4</v>
      </c>
      <c r="I34" s="21">
        <f>G34/Parameters!$B$22</f>
        <v>5.794023940986847E-4</v>
      </c>
      <c r="J34" s="21">
        <f t="shared" si="0"/>
        <v>7.6554842584471649E-4</v>
      </c>
      <c r="K34" s="21">
        <f>F34*Parameters!$C$15/Parameters!$C$16</f>
        <v>9.3073015873015872E-8</v>
      </c>
      <c r="L34" s="21">
        <f>G34*Parameters!$C$15/Parameters!$C$16</f>
        <v>2.8970119704934238E-7</v>
      </c>
      <c r="M34" s="21">
        <f>K34*Parameters!$C$22</f>
        <v>3.1644825396825397E-8</v>
      </c>
      <c r="N34" s="21">
        <f>L34*Parameters!$C$22</f>
        <v>9.8498406996776411E-8</v>
      </c>
      <c r="O34" s="21">
        <f t="shared" si="1"/>
        <v>1.3014323239360181E-7</v>
      </c>
    </row>
    <row r="35" spans="1:15" ht="15" customHeight="1" x14ac:dyDescent="0.25">
      <c r="A35" s="10" t="s">
        <v>39</v>
      </c>
      <c r="B35" s="10" t="s">
        <v>169</v>
      </c>
      <c r="C35" s="10" t="s">
        <v>22</v>
      </c>
      <c r="D35" s="8">
        <f>Zone_Site_Means!$F$5</f>
        <v>1.9435555555555557</v>
      </c>
      <c r="E35" s="21">
        <f>D35*Parameters!$B$4*Parameters!$B$5</f>
        <v>1.9435555555555559E-6</v>
      </c>
      <c r="F35" s="21">
        <f>E35*Parameters!$C$9*Parameters!$C$10*Parameters!$C$11/(Parameters!$C$8*Parameters!$C$15)</f>
        <v>5.5530158730158738E-8</v>
      </c>
      <c r="G35" s="21">
        <f>E35*Parameters!$C$12*Parameters!$F$23*Parameters!$C$13*Parameters!$C$10*Parameters!$C$11*Parameters!$C$14/(Parameters!$C$8*Parameters!$C$15)</f>
        <v>5.5484977963428773E-8</v>
      </c>
      <c r="H35" s="21">
        <f>F35/Parameters!$B$23</f>
        <v>1.1106031746031747E-4</v>
      </c>
      <c r="I35" s="21">
        <f>G35/Parameters!$B$23</f>
        <v>1.1096995592685754E-4</v>
      </c>
      <c r="J35" s="21">
        <f t="shared" si="0"/>
        <v>2.22030273387175E-4</v>
      </c>
      <c r="K35" s="21">
        <f>F35*Parameters!$C$15/Parameters!$C$16</f>
        <v>5.5530158730158738E-8</v>
      </c>
      <c r="L35" s="21">
        <f>G35*Parameters!$C$15/Parameters!$C$16</f>
        <v>5.5484977963428773E-8</v>
      </c>
      <c r="M35" s="21">
        <f>K35*Parameters!$C$23</f>
        <v>1.8880253968253972E-8</v>
      </c>
      <c r="N35" s="21">
        <f>L35*Parameters!$C$23</f>
        <v>1.8864892507565785E-8</v>
      </c>
      <c r="O35" s="21">
        <f t="shared" si="1"/>
        <v>3.7745146475819757E-8</v>
      </c>
    </row>
    <row r="36" spans="1:15" ht="15" customHeight="1" x14ac:dyDescent="0.25">
      <c r="A36" s="10" t="s">
        <v>39</v>
      </c>
      <c r="B36" s="10" t="s">
        <v>169</v>
      </c>
      <c r="C36" s="10" t="s">
        <v>23</v>
      </c>
      <c r="D36" s="8">
        <f>Zone_Site_Means!$G$5</f>
        <v>2.5884444444444448</v>
      </c>
      <c r="E36" s="21">
        <f>D36*Parameters!$B$4*Parameters!$B$5</f>
        <v>2.5884444444444449E-6</v>
      </c>
      <c r="F36" s="21">
        <f>E36*Parameters!$C$9*Parameters!$C$10*Parameters!$C$11/(Parameters!$C$8*Parameters!$C$15)</f>
        <v>7.395555555555556E-8</v>
      </c>
      <c r="G36" s="21">
        <f>E36*Parameters!$C$12*Parameters!$F$24*Parameters!$C$13*Parameters!$C$10*Parameters!$C$11*Parameters!$C$14/(Parameters!$C$8*Parameters!$C$15)</f>
        <v>9.2814815743714401E-8</v>
      </c>
      <c r="H36" s="21">
        <f>F36/Parameters!$B$24</f>
        <v>1.4791111111111112E-4</v>
      </c>
      <c r="I36" s="21">
        <f>G36/Parameters!$B$24</f>
        <v>1.8562963148742879E-4</v>
      </c>
      <c r="J36" s="21">
        <f t="shared" si="0"/>
        <v>3.3354074259853991E-4</v>
      </c>
      <c r="K36" s="21">
        <f>F36*Parameters!$C$15/Parameters!$C$16</f>
        <v>7.395555555555556E-8</v>
      </c>
      <c r="L36" s="21">
        <f>G36*Parameters!$C$15/Parameters!$C$16</f>
        <v>9.2814815743714401E-8</v>
      </c>
      <c r="M36" s="21">
        <f>K36*Parameters!$C$24</f>
        <v>2.5144888888888894E-8</v>
      </c>
      <c r="N36" s="21">
        <f>L36*Parameters!$C$24</f>
        <v>3.1557037352862899E-8</v>
      </c>
      <c r="O36" s="21">
        <f t="shared" si="1"/>
        <v>5.6701926241751789E-8</v>
      </c>
    </row>
    <row r="37" spans="1:15" ht="15" customHeight="1" x14ac:dyDescent="0.25">
      <c r="A37" s="10" t="s">
        <v>39</v>
      </c>
      <c r="B37" s="10" t="s">
        <v>169</v>
      </c>
      <c r="C37" s="10" t="s">
        <v>24</v>
      </c>
      <c r="D37" s="8">
        <f>Zone_Site_Means!$H$5</f>
        <v>4.9057777777777778</v>
      </c>
      <c r="E37" s="21">
        <f>D37*Parameters!$B$4*Parameters!$B$5</f>
        <v>4.9057777777777777E-6</v>
      </c>
      <c r="F37" s="21">
        <f>E37*Parameters!$C$9*Parameters!$C$10*Parameters!$C$11/(Parameters!$C$8*Parameters!$C$15)</f>
        <v>1.4016507936507936E-7</v>
      </c>
      <c r="G37" s="21">
        <f>E37*Parameters!$C$12*Parameters!$F$25*Parameters!$C$13*Parameters!$C$10*Parameters!$C$11*Parameters!$C$14/(Parameters!$C$8*Parameters!$C$15)</f>
        <v>1.7512265395448454E-7</v>
      </c>
      <c r="H37" s="21">
        <f>F37/Parameters!$B$25</f>
        <v>2.803301587301587E-4</v>
      </c>
      <c r="I37" s="21">
        <f>G37/Parameters!$B$25</f>
        <v>3.5024530790896905E-4</v>
      </c>
      <c r="J37" s="21">
        <f t="shared" si="0"/>
        <v>6.305754666391277E-4</v>
      </c>
      <c r="K37" s="21">
        <f>F37*Parameters!$C$15/Parameters!$C$16</f>
        <v>1.4016507936507936E-7</v>
      </c>
      <c r="L37" s="21">
        <f>G37*Parameters!$C$15/Parameters!$C$16</f>
        <v>1.7512265395448457E-7</v>
      </c>
      <c r="M37" s="21">
        <f>K37*Parameters!$C$25</f>
        <v>4.7656126984126984E-8</v>
      </c>
      <c r="N37" s="21">
        <f>L37*Parameters!$C$25</f>
        <v>5.9541702344524758E-8</v>
      </c>
      <c r="O37" s="21">
        <f t="shared" si="1"/>
        <v>1.0719782932865174E-7</v>
      </c>
    </row>
    <row r="38" spans="1:15" ht="15" customHeight="1" x14ac:dyDescent="0.25">
      <c r="A38" s="10" t="s">
        <v>39</v>
      </c>
      <c r="B38" s="10" t="s">
        <v>169</v>
      </c>
      <c r="C38" s="10" t="s">
        <v>25</v>
      </c>
      <c r="D38" s="8">
        <f>Zone_Site_Means!$I$5</f>
        <v>8.9302222222222216</v>
      </c>
      <c r="E38" s="21">
        <f>D38*Parameters!$B$4*Parameters!$B$5</f>
        <v>8.9302222222222208E-6</v>
      </c>
      <c r="F38" s="21">
        <f>E38*Parameters!$C$9*Parameters!$C$10*Parameters!$C$11/(Parameters!$C$8*Parameters!$C$15)</f>
        <v>2.5514920634920631E-7</v>
      </c>
      <c r="G38" s="21">
        <f>E38*Parameters!$C$12*Parameters!$F$26*Parameters!$C$13*Parameters!$C$10*Parameters!$C$11*Parameters!$C$14/(Parameters!$C$8*Parameters!$C$15)</f>
        <v>6.9198507062860819E-7</v>
      </c>
      <c r="H38" s="21">
        <f>F38/Parameters!$B$26</f>
        <v>5.1029841269841262E-4</v>
      </c>
      <c r="I38" s="21">
        <f>G38/Parameters!$B$26</f>
        <v>1.3839701412572164E-3</v>
      </c>
      <c r="J38" s="21">
        <f t="shared" si="0"/>
        <v>1.8942685539556289E-3</v>
      </c>
      <c r="K38" s="21">
        <f>F38*Parameters!$C$15/Parameters!$C$16</f>
        <v>2.5514920634920631E-7</v>
      </c>
      <c r="L38" s="21">
        <f>G38*Parameters!$C$15/Parameters!$C$16</f>
        <v>6.9198507062860819E-7</v>
      </c>
      <c r="M38" s="21">
        <f>K38*Parameters!$C$26</f>
        <v>8.6750730158730156E-8</v>
      </c>
      <c r="N38" s="21">
        <f>L38*Parameters!$C$26</f>
        <v>2.3527492401372681E-7</v>
      </c>
      <c r="O38" s="21">
        <f t="shared" si="1"/>
        <v>3.2202565417245696E-7</v>
      </c>
    </row>
    <row r="39" spans="1:15" ht="15" customHeight="1" x14ac:dyDescent="0.25">
      <c r="A39" s="10" t="s">
        <v>39</v>
      </c>
      <c r="B39" s="10" t="s">
        <v>169</v>
      </c>
      <c r="C39" s="10" t="s">
        <v>26</v>
      </c>
      <c r="D39" s="8">
        <f>Zone_Site_Means!$J$5</f>
        <v>3.4239999999999999</v>
      </c>
      <c r="E39" s="21">
        <f>D39*Parameters!$B$4*Parameters!$B$5</f>
        <v>3.4240000000000002E-6</v>
      </c>
      <c r="F39" s="21">
        <f>E39*Parameters!$C$9*Parameters!$C$10*Parameters!$C$11/(Parameters!$C$8*Parameters!$C$15)</f>
        <v>9.7828571428571435E-8</v>
      </c>
      <c r="G39" s="21">
        <f>E39*Parameters!$C$12*Parameters!$F$27*Parameters!$C$13*Parameters!$C$10*Parameters!$C$11*Parameters!$C$14/(Parameters!$C$8*Parameters!$C$15)</f>
        <v>6.1303915603079245E-9</v>
      </c>
      <c r="H39" s="21">
        <f>F39/Parameters!$B$27</f>
        <v>3.2609523809523812E-4</v>
      </c>
      <c r="I39" s="21">
        <f>G39/Parameters!$B$27</f>
        <v>2.043463853435975E-5</v>
      </c>
      <c r="J39" s="21">
        <f t="shared" si="0"/>
        <v>3.4652987662959789E-4</v>
      </c>
      <c r="K39" s="21">
        <f>F39*Parameters!$C$15/Parameters!$C$16</f>
        <v>9.7828571428571435E-8</v>
      </c>
      <c r="L39" s="21">
        <f>G39*Parameters!$C$15/Parameters!$C$16</f>
        <v>6.1303915603079245E-9</v>
      </c>
      <c r="M39" s="21">
        <f>K39*Parameters!$C$27</f>
        <v>6.1632000000000006E-7</v>
      </c>
      <c r="N39" s="21">
        <f>L39*Parameters!$C$27</f>
        <v>3.8621466829939923E-8</v>
      </c>
      <c r="O39" s="21">
        <f t="shared" si="1"/>
        <v>6.5494146682993997E-7</v>
      </c>
    </row>
    <row r="40" spans="1:15" ht="15" customHeight="1" x14ac:dyDescent="0.25">
      <c r="A40" s="10" t="s">
        <v>39</v>
      </c>
      <c r="B40" s="10" t="s">
        <v>169</v>
      </c>
      <c r="C40" s="10" t="s">
        <v>27</v>
      </c>
      <c r="D40" s="8">
        <f>Zone_Site_Means!$K$5</f>
        <v>6.1875555555555541</v>
      </c>
      <c r="E40" s="21">
        <f>D40*Parameters!$B$4*Parameters!$B$5</f>
        <v>6.187555555555555E-6</v>
      </c>
      <c r="F40" s="21">
        <f>E40*Parameters!$C$9*Parameters!$C$10*Parameters!$C$11/(Parameters!$C$8*Parameters!$C$15)</f>
        <v>1.7678730158730158E-7</v>
      </c>
      <c r="G40" s="21">
        <f>E40*Parameters!$C$12*Parameters!$F$28*Parameters!$C$13*Parameters!$C$10*Parameters!$C$11*Parameters!$C$14/(Parameters!$C$8*Parameters!$C$15)</f>
        <v>1.0746661508598362E-8</v>
      </c>
      <c r="H40" s="21">
        <f>F40/Parameters!$B$28</f>
        <v>5.892910052910053E-4</v>
      </c>
      <c r="I40" s="21">
        <f>G40/Parameters!$B$28</f>
        <v>3.5822205028661207E-5</v>
      </c>
      <c r="J40" s="21">
        <f t="shared" si="0"/>
        <v>6.2511321031966647E-4</v>
      </c>
      <c r="K40" s="21">
        <f>F40*Parameters!$C$15/Parameters!$C$16</f>
        <v>1.7678730158730158E-7</v>
      </c>
      <c r="L40" s="21">
        <f>G40*Parameters!$C$15/Parameters!$C$16</f>
        <v>1.0746661508598362E-8</v>
      </c>
      <c r="M40" s="21">
        <f>K40*Parameters!$C$28</f>
        <v>3.1821714285714288E-7</v>
      </c>
      <c r="N40" s="21">
        <f>L40*Parameters!$C$28</f>
        <v>1.9343990715477052E-8</v>
      </c>
      <c r="O40" s="21">
        <f t="shared" si="1"/>
        <v>3.3756113357261994E-7</v>
      </c>
    </row>
    <row r="41" spans="1:15" ht="15" customHeight="1" x14ac:dyDescent="0.25">
      <c r="A41" s="10" t="s">
        <v>39</v>
      </c>
      <c r="B41" s="10" t="s">
        <v>169</v>
      </c>
      <c r="C41" s="10" t="s">
        <v>28</v>
      </c>
      <c r="D41" s="8">
        <f>Zone_Site_Means!$L$5</f>
        <v>1.2623333333333333</v>
      </c>
      <c r="E41" s="21">
        <f>D41*Parameters!$B$4*Parameters!$B$5</f>
        <v>1.2623333333333334E-6</v>
      </c>
      <c r="F41" s="21">
        <f>E41*Parameters!$C$9*Parameters!$C$10*Parameters!$C$11/(Parameters!$C$8*Parameters!$C$15)</f>
        <v>3.6066666666666665E-8</v>
      </c>
      <c r="G41" s="21">
        <f>E41*Parameters!$C$12*Parameters!$F$29*Parameters!$C$13*Parameters!$C$10*Parameters!$C$11*Parameters!$C$14/(Parameters!$C$8*Parameters!$C$15)</f>
        <v>2.0013751775216184E-9</v>
      </c>
      <c r="H41" s="21">
        <f>F41/Parameters!$B$29</f>
        <v>1.2022222222222223E-4</v>
      </c>
      <c r="I41" s="21">
        <f>G41/Parameters!$B$29</f>
        <v>6.6712505917387288E-6</v>
      </c>
      <c r="J41" s="21">
        <f t="shared" si="0"/>
        <v>1.2689347281396096E-4</v>
      </c>
      <c r="K41" s="21">
        <f>F41*Parameters!$C$15/Parameters!$C$16</f>
        <v>3.6066666666666665E-8</v>
      </c>
      <c r="L41" s="21">
        <f>G41*Parameters!$C$15/Parameters!$C$16</f>
        <v>2.0013751775216184E-9</v>
      </c>
      <c r="M41" s="21">
        <f>K41*Parameters!$C$29</f>
        <v>4.6886666666666666E-8</v>
      </c>
      <c r="N41" s="21">
        <f>L41*Parameters!$C$29</f>
        <v>2.601787730778104E-9</v>
      </c>
      <c r="O41" s="21">
        <f t="shared" si="1"/>
        <v>4.9488454397444772E-8</v>
      </c>
    </row>
    <row r="42" spans="1:15" ht="15" customHeight="1" x14ac:dyDescent="0.25">
      <c r="A42" s="10" t="s">
        <v>39</v>
      </c>
      <c r="B42" s="10" t="s">
        <v>169</v>
      </c>
      <c r="C42" s="10" t="s">
        <v>29</v>
      </c>
      <c r="D42" s="8">
        <f>Zone_Site_Means!$M$5</f>
        <v>1.5947777777777778</v>
      </c>
      <c r="E42" s="21">
        <f>D42*Parameters!$B$4*Parameters!$B$5</f>
        <v>1.594777777777778E-6</v>
      </c>
      <c r="F42" s="21">
        <f>E42*Parameters!$C$9*Parameters!$C$10*Parameters!$C$11/(Parameters!$C$8*Parameters!$C$15)</f>
        <v>4.5565079365079366E-8</v>
      </c>
      <c r="G42" s="21">
        <f>E42*Parameters!$C$12*Parameters!$F$30*Parameters!$C$13*Parameters!$C$10*Parameters!$C$11*Parameters!$C$14/(Parameters!$C$8*Parameters!$C$15)</f>
        <v>4.7869030757629288E-9</v>
      </c>
      <c r="H42" s="21">
        <f>F42/Parameters!$B$30</f>
        <v>1.5188359788359789E-4</v>
      </c>
      <c r="I42" s="21">
        <f>G42/Parameters!$B$30</f>
        <v>1.5956343585876429E-5</v>
      </c>
      <c r="J42" s="21">
        <f t="shared" si="0"/>
        <v>1.6783994146947432E-4</v>
      </c>
      <c r="K42" s="21">
        <f>F42*Parameters!$C$15/Parameters!$C$16</f>
        <v>4.5565079365079366E-8</v>
      </c>
      <c r="L42" s="21">
        <f>G42*Parameters!$C$15/Parameters!$C$16</f>
        <v>4.7869030757629296E-9</v>
      </c>
      <c r="M42" s="21">
        <f>K42*Parameters!$C$30</f>
        <v>0</v>
      </c>
      <c r="N42" s="21">
        <f>L42*Parameters!$C$30</f>
        <v>0</v>
      </c>
      <c r="O42" s="21">
        <f t="shared" si="1"/>
        <v>0</v>
      </c>
    </row>
    <row r="43" spans="1:15" ht="15" customHeight="1" x14ac:dyDescent="0.25">
      <c r="A43" s="10" t="s">
        <v>39</v>
      </c>
      <c r="B43" s="10" t="s">
        <v>169</v>
      </c>
      <c r="C43" s="10" t="s">
        <v>30</v>
      </c>
      <c r="D43" s="8">
        <f>Zone_Site_Means!$N$5</f>
        <v>1.6134444444444445</v>
      </c>
      <c r="E43" s="21">
        <f>D43*Parameters!$B$4*Parameters!$B$5</f>
        <v>1.6134444444444445E-6</v>
      </c>
      <c r="F43" s="21">
        <f>E43*Parameters!$C$9*Parameters!$C$10*Parameters!$C$11/(Parameters!$C$8*Parameters!$C$15)</f>
        <v>4.6098412698412698E-8</v>
      </c>
      <c r="G43" s="21">
        <f>E43*Parameters!$C$12*Parameters!$F$31*Parameters!$C$13*Parameters!$C$10*Parameters!$C$11*Parameters!$C$14/(Parameters!$C$8*Parameters!$C$15)</f>
        <v>6.7276048445642167E-8</v>
      </c>
      <c r="H43" s="21">
        <f>F43/Parameters!$B$31</f>
        <v>1.5366137566137565E-3</v>
      </c>
      <c r="I43" s="21">
        <f>G43/Parameters!$B$31</f>
        <v>2.2425349481880723E-3</v>
      </c>
      <c r="J43" s="21">
        <f t="shared" si="0"/>
        <v>3.7791487048018288E-3</v>
      </c>
      <c r="K43" s="21">
        <f>F43*Parameters!$C$15/Parameters!$C$16</f>
        <v>4.6098412698412698E-8</v>
      </c>
      <c r="L43" s="21">
        <f>G43*Parameters!$C$15/Parameters!$C$16</f>
        <v>6.7276048445642167E-8</v>
      </c>
      <c r="M43" s="21">
        <f>K43*Parameters!$C$31</f>
        <v>7.8367301587301585E-7</v>
      </c>
      <c r="N43" s="21">
        <f>L43*Parameters!$C$31</f>
        <v>1.1436928235759168E-6</v>
      </c>
      <c r="O43" s="21">
        <f t="shared" si="1"/>
        <v>1.9273658394489328E-6</v>
      </c>
    </row>
    <row r="44" spans="1:15" ht="15" customHeight="1" x14ac:dyDescent="0.25">
      <c r="A44" s="10" t="s">
        <v>39</v>
      </c>
      <c r="B44" s="10" t="s">
        <v>169</v>
      </c>
      <c r="C44" s="10" t="s">
        <v>31</v>
      </c>
      <c r="D44" s="8">
        <f>Zone_Site_Means!$O$5</f>
        <v>2.9305555555555554</v>
      </c>
      <c r="E44" s="21">
        <f>D44*Parameters!$B$4*Parameters!$B$5</f>
        <v>2.9305555555555555E-6</v>
      </c>
      <c r="F44" s="21">
        <f>E44*Parameters!$C$9*Parameters!$C$10*Parameters!$C$11/(Parameters!$C$8*Parameters!$C$15)</f>
        <v>8.3730158730158732E-8</v>
      </c>
      <c r="G44" s="21">
        <f>E44*Parameters!$C$12*Parameters!$F$32*Parameters!$C$13*Parameters!$C$10*Parameters!$C$11*Parameters!$C$14/(Parameters!$C$8*Parameters!$C$15)</f>
        <v>1.8683421752780902E-8</v>
      </c>
      <c r="H44" s="21">
        <f>F44/Parameters!$B$32</f>
        <v>1.6746031746031746E-3</v>
      </c>
      <c r="I44" s="21">
        <f>G44/Parameters!$B$32</f>
        <v>3.7366843505561801E-4</v>
      </c>
      <c r="J44" s="21">
        <f t="shared" si="0"/>
        <v>2.0482716096587926E-3</v>
      </c>
      <c r="K44" s="21">
        <f>F44*Parameters!$C$15/Parameters!$C$16</f>
        <v>8.3730158730158732E-8</v>
      </c>
      <c r="L44" s="21">
        <f>G44*Parameters!$C$15/Parameters!$C$16</f>
        <v>1.8683421752780902E-8</v>
      </c>
      <c r="M44" s="21">
        <f>K44*Parameters!$C$32</f>
        <v>1.3396825396825397E-6</v>
      </c>
      <c r="N44" s="21">
        <f>L44*Parameters!$C$32</f>
        <v>2.9893474804449444E-7</v>
      </c>
      <c r="O44" s="21">
        <f t="shared" si="1"/>
        <v>1.6386172877270342E-6</v>
      </c>
    </row>
    <row r="45" spans="1:15" ht="15" customHeight="1" x14ac:dyDescent="0.25">
      <c r="A45" s="10" t="s">
        <v>39</v>
      </c>
      <c r="B45" s="10" t="s">
        <v>169</v>
      </c>
      <c r="C45" s="10" t="s">
        <v>32</v>
      </c>
      <c r="D45" s="8">
        <f>Zone_Site_Means!$P$5</f>
        <v>2.1185555555555555</v>
      </c>
      <c r="E45" s="21">
        <f>D45*Parameters!$B$4*Parameters!$B$5</f>
        <v>2.1185555555555555E-6</v>
      </c>
      <c r="F45" s="21">
        <f>E45*Parameters!$C$9*Parameters!$C$10*Parameters!$C$11/(Parameters!$C$8*Parameters!$C$15)</f>
        <v>6.0530158730158736E-8</v>
      </c>
      <c r="G45" s="21">
        <f>E45*Parameters!$C$12*Parameters!$F$33*Parameters!$C$13*Parameters!$C$10*Parameters!$C$11*Parameters!$C$14/(Parameters!$C$8*Parameters!$C$15)</f>
        <v>4.3156907395613336E-8</v>
      </c>
      <c r="H45" s="21">
        <f>F45/Parameters!$B$33</f>
        <v>1.2106031746031747E-4</v>
      </c>
      <c r="I45" s="21">
        <f>G45/Parameters!$B$33</f>
        <v>8.6313814791226675E-5</v>
      </c>
      <c r="J45" s="21">
        <f t="shared" si="0"/>
        <v>2.0737413225154416E-4</v>
      </c>
      <c r="K45" s="21">
        <f>F45*Parameters!$C$15/Parameters!$C$16</f>
        <v>6.0530158730158736E-8</v>
      </c>
      <c r="L45" s="21">
        <f>G45*Parameters!$C$15/Parameters!$C$16</f>
        <v>4.3156907395613343E-8</v>
      </c>
      <c r="M45" s="21">
        <f>K45*Parameters!$C$33</f>
        <v>2.7238571428571431E-7</v>
      </c>
      <c r="N45" s="21">
        <f>L45*Parameters!$C$33</f>
        <v>1.9420608328026004E-7</v>
      </c>
      <c r="O45" s="21">
        <f t="shared" si="1"/>
        <v>4.6659179756597434E-7</v>
      </c>
    </row>
    <row r="46" spans="1:15" ht="15" customHeight="1" x14ac:dyDescent="0.25">
      <c r="A46" s="10" t="s">
        <v>39</v>
      </c>
      <c r="B46" s="10" t="s">
        <v>169</v>
      </c>
      <c r="C46" s="10" t="s">
        <v>33</v>
      </c>
      <c r="D46" s="8">
        <f>Zone_Site_Means!$Q$5</f>
        <v>3.2303333333333333</v>
      </c>
      <c r="E46" s="21">
        <f>D46*Parameters!$B$4*Parameters!$B$5</f>
        <v>3.2303333333333332E-6</v>
      </c>
      <c r="F46" s="21">
        <f>E46*Parameters!$C$9*Parameters!$C$10*Parameters!$C$11/(Parameters!$C$8*Parameters!$C$15)</f>
        <v>9.2295238095238078E-8</v>
      </c>
      <c r="G46" s="21">
        <f>E46*Parameters!$C$12*Parameters!$F$34*Parameters!$C$13*Parameters!$C$10*Parameters!$C$11*Parameters!$C$14/(Parameters!$C$8*Parameters!$C$15)</f>
        <v>9.7601793343392851E-9</v>
      </c>
      <c r="H46" s="21">
        <f>F46/Parameters!$B$34</f>
        <v>7.0996336996336984E-3</v>
      </c>
      <c r="I46" s="21">
        <f>G46/Parameters!$B$34</f>
        <v>7.5078302571840656E-4</v>
      </c>
      <c r="J46" s="21">
        <f t="shared" si="0"/>
        <v>7.8504167253521055E-3</v>
      </c>
      <c r="K46" s="21">
        <f>F46*Parameters!$C$15/Parameters!$C$16</f>
        <v>9.2295238095238078E-8</v>
      </c>
      <c r="L46" s="21">
        <f>G46*Parameters!$C$15/Parameters!$C$16</f>
        <v>9.7601793343392851E-9</v>
      </c>
      <c r="M46" s="21">
        <f>K46*Parameters!$C$34</f>
        <v>8.3988666666666651E-7</v>
      </c>
      <c r="N46" s="21">
        <f>L46*Parameters!$C$34</f>
        <v>8.8817631942487492E-8</v>
      </c>
      <c r="O46" s="21">
        <f t="shared" si="1"/>
        <v>9.2870429860915404E-7</v>
      </c>
    </row>
    <row r="47" spans="1:15" ht="15" customHeight="1" x14ac:dyDescent="0.25">
      <c r="A47" s="10" t="s">
        <v>39</v>
      </c>
      <c r="B47" s="10" t="s">
        <v>170</v>
      </c>
      <c r="C47" s="10" t="s">
        <v>20</v>
      </c>
      <c r="D47" s="8">
        <f>Zone_Site_Means!$D$5</f>
        <v>2.6863333333333332</v>
      </c>
      <c r="E47" s="21">
        <f>D47*Parameters!$B$4*Parameters!$B$5</f>
        <v>2.686333333333333E-6</v>
      </c>
      <c r="F47" s="21">
        <f>E47*Parameters!$D$9*Parameters!$D$10*Parameters!$D$11/(Parameters!$D$8*Parameters!$D$15)</f>
        <v>1.7908888888888888E-7</v>
      </c>
      <c r="G47" s="21">
        <f>E47*Parameters!$D$12*Parameters!$F$21*Parameters!$D$13*Parameters!$D$10*Parameters!$D$11*Parameters!$D$14/(Parameters!$D$8*Parameters!$D$15)</f>
        <v>5.8731159845069375E-7</v>
      </c>
      <c r="H47" s="21">
        <f>F47/Parameters!$B$21</f>
        <v>3.5817777777777778E-4</v>
      </c>
      <c r="I47" s="21">
        <f>G47/Parameters!$B$21</f>
        <v>1.1746231969013874E-3</v>
      </c>
      <c r="J47" s="21">
        <f t="shared" si="0"/>
        <v>1.5328009746791652E-3</v>
      </c>
      <c r="K47" s="21">
        <f>F47*Parameters!$D$15/Parameters!$D$16</f>
        <v>1.5350476190476188E-8</v>
      </c>
      <c r="L47" s="21">
        <f>G47*Parameters!$D$15/Parameters!$D$16</f>
        <v>5.0340994152916604E-8</v>
      </c>
      <c r="M47" s="21">
        <f>K47*Parameters!$C$21</f>
        <v>5.219161904761904E-9</v>
      </c>
      <c r="N47" s="21">
        <f>L47*Parameters!$C$21</f>
        <v>1.7115938011991647E-8</v>
      </c>
      <c r="O47" s="21">
        <f t="shared" si="1"/>
        <v>2.2335099916753549E-8</v>
      </c>
    </row>
    <row r="48" spans="1:15" ht="15" customHeight="1" x14ac:dyDescent="0.25">
      <c r="A48" s="10" t="s">
        <v>39</v>
      </c>
      <c r="B48" s="10" t="s">
        <v>170</v>
      </c>
      <c r="C48" s="10" t="s">
        <v>21</v>
      </c>
      <c r="D48" s="8">
        <f>Zone_Site_Means!$E$5</f>
        <v>3.2575555555555553</v>
      </c>
      <c r="E48" s="21">
        <f>D48*Parameters!$B$4*Parameters!$B$5</f>
        <v>3.2575555555555551E-6</v>
      </c>
      <c r="F48" s="21">
        <f>E48*Parameters!$D$9*Parameters!$D$10*Parameters!$D$11/(Parameters!$D$8*Parameters!$D$15)</f>
        <v>2.1717037037037034E-7</v>
      </c>
      <c r="G48" s="21">
        <f>E48*Parameters!$D$12*Parameters!$F$22*Parameters!$D$13*Parameters!$D$10*Parameters!$D$11*Parameters!$D$14/(Parameters!$D$8*Parameters!$D$15)</f>
        <v>8.5467402960917103E-7</v>
      </c>
      <c r="H48" s="21">
        <f>F48/Parameters!$B$22</f>
        <v>4.3434074074074068E-4</v>
      </c>
      <c r="I48" s="21">
        <f>G48/Parameters!$B$22</f>
        <v>1.7093480592183421E-3</v>
      </c>
      <c r="J48" s="21">
        <f t="shared" si="0"/>
        <v>2.1436887999590828E-3</v>
      </c>
      <c r="K48" s="21">
        <f>F48*Parameters!$D$15/Parameters!$D$16</f>
        <v>1.861460317460317E-8</v>
      </c>
      <c r="L48" s="21">
        <f>G48*Parameters!$D$15/Parameters!$D$16</f>
        <v>7.3257773966500384E-8</v>
      </c>
      <c r="M48" s="21">
        <f>K48*Parameters!$C$22</f>
        <v>6.3289650793650784E-9</v>
      </c>
      <c r="N48" s="21">
        <f>L48*Parameters!$C$22</f>
        <v>2.4907643148610133E-8</v>
      </c>
      <c r="O48" s="21">
        <f t="shared" si="1"/>
        <v>3.123660822797521E-8</v>
      </c>
    </row>
    <row r="49" spans="1:15" ht="15" customHeight="1" x14ac:dyDescent="0.25">
      <c r="A49" s="10" t="s">
        <v>39</v>
      </c>
      <c r="B49" s="10" t="s">
        <v>170</v>
      </c>
      <c r="C49" s="10" t="s">
        <v>22</v>
      </c>
      <c r="D49" s="8">
        <f>Zone_Site_Means!$F$5</f>
        <v>1.9435555555555557</v>
      </c>
      <c r="E49" s="21">
        <f>D49*Parameters!$B$4*Parameters!$B$5</f>
        <v>1.9435555555555559E-6</v>
      </c>
      <c r="F49" s="21">
        <f>E49*Parameters!$D$9*Parameters!$D$10*Parameters!$D$11/(Parameters!$D$8*Parameters!$D$15)</f>
        <v>1.2957037037037038E-7</v>
      </c>
      <c r="G49" s="21">
        <f>E49*Parameters!$D$12*Parameters!$F$23*Parameters!$D$13*Parameters!$D$10*Parameters!$D$11*Parameters!$D$14/(Parameters!$D$8*Parameters!$D$15)</f>
        <v>1.6369131429823811E-7</v>
      </c>
      <c r="H49" s="21">
        <f>F49/Parameters!$B$23</f>
        <v>2.5914074074074076E-4</v>
      </c>
      <c r="I49" s="21">
        <f>G49/Parameters!$B$23</f>
        <v>3.2738262859647623E-4</v>
      </c>
      <c r="J49" s="21">
        <f t="shared" si="0"/>
        <v>5.8652336933721699E-4</v>
      </c>
      <c r="K49" s="21">
        <f>F49*Parameters!$D$15/Parameters!$D$16</f>
        <v>1.1106031746031746E-8</v>
      </c>
      <c r="L49" s="21">
        <f>G49*Parameters!$D$15/Parameters!$D$16</f>
        <v>1.4030684082706124E-8</v>
      </c>
      <c r="M49" s="21">
        <f>K49*Parameters!$C$23</f>
        <v>3.7760507936507939E-9</v>
      </c>
      <c r="N49" s="21">
        <f>L49*Parameters!$C$23</f>
        <v>4.7704325881200821E-9</v>
      </c>
      <c r="O49" s="21">
        <f t="shared" si="1"/>
        <v>8.546483381770876E-9</v>
      </c>
    </row>
    <row r="50" spans="1:15" ht="15" customHeight="1" x14ac:dyDescent="0.25">
      <c r="A50" s="10" t="s">
        <v>39</v>
      </c>
      <c r="B50" s="10" t="s">
        <v>170</v>
      </c>
      <c r="C50" s="10" t="s">
        <v>23</v>
      </c>
      <c r="D50" s="8">
        <f>Zone_Site_Means!$G$5</f>
        <v>2.5884444444444448</v>
      </c>
      <c r="E50" s="21">
        <f>D50*Parameters!$B$4*Parameters!$B$5</f>
        <v>2.5884444444444449E-6</v>
      </c>
      <c r="F50" s="21">
        <f>E50*Parameters!$D$9*Parameters!$D$10*Parameters!$D$11/(Parameters!$D$8*Parameters!$D$15)</f>
        <v>1.7256296296296301E-7</v>
      </c>
      <c r="G50" s="21">
        <f>E50*Parameters!$D$12*Parameters!$F$24*Parameters!$D$13*Parameters!$D$10*Parameters!$D$11*Parameters!$D$14/(Parameters!$D$8*Parameters!$D$15)</f>
        <v>2.7382148706000042E-7</v>
      </c>
      <c r="H50" s="21">
        <f>F50/Parameters!$B$24</f>
        <v>3.4512592592592605E-4</v>
      </c>
      <c r="I50" s="21">
        <f>G50/Parameters!$B$24</f>
        <v>5.4764297412000079E-4</v>
      </c>
      <c r="J50" s="21">
        <f t="shared" si="0"/>
        <v>8.9276890004592684E-4</v>
      </c>
      <c r="K50" s="21">
        <f>F50*Parameters!$D$15/Parameters!$D$16</f>
        <v>1.4791111111111114E-8</v>
      </c>
      <c r="L50" s="21">
        <f>G50*Parameters!$D$15/Parameters!$D$16</f>
        <v>2.3470413176571463E-8</v>
      </c>
      <c r="M50" s="21">
        <f>K50*Parameters!$C$24</f>
        <v>5.0289777777777791E-9</v>
      </c>
      <c r="N50" s="21">
        <f>L50*Parameters!$C$24</f>
        <v>7.9799404800342988E-9</v>
      </c>
      <c r="O50" s="21">
        <f t="shared" si="1"/>
        <v>1.3008918257812078E-8</v>
      </c>
    </row>
    <row r="51" spans="1:15" ht="15" customHeight="1" x14ac:dyDescent="0.25">
      <c r="A51" s="10" t="s">
        <v>39</v>
      </c>
      <c r="B51" s="10" t="s">
        <v>170</v>
      </c>
      <c r="C51" s="10" t="s">
        <v>24</v>
      </c>
      <c r="D51" s="8">
        <f>Zone_Site_Means!$H$5</f>
        <v>4.9057777777777778</v>
      </c>
      <c r="E51" s="21">
        <f>D51*Parameters!$B$4*Parameters!$B$5</f>
        <v>4.9057777777777777E-6</v>
      </c>
      <c r="F51" s="21">
        <f>E51*Parameters!$D$9*Parameters!$D$10*Parameters!$D$11/(Parameters!$D$8*Parameters!$D$15)</f>
        <v>3.2705185185185187E-7</v>
      </c>
      <c r="G51" s="21">
        <f>E51*Parameters!$D$12*Parameters!$F$25*Parameters!$D$13*Parameters!$D$10*Parameters!$D$11*Parameters!$D$14/(Parameters!$D$8*Parameters!$D$15)</f>
        <v>5.1664537756686994E-7</v>
      </c>
      <c r="H51" s="21">
        <f>F51/Parameters!$B$25</f>
        <v>6.5410370370370377E-4</v>
      </c>
      <c r="I51" s="21">
        <f>G51/Parameters!$B$25</f>
        <v>1.0332907551337399E-3</v>
      </c>
      <c r="J51" s="21">
        <f t="shared" si="0"/>
        <v>1.6873944588374438E-3</v>
      </c>
      <c r="K51" s="21">
        <f>F51*Parameters!$D$15/Parameters!$D$16</f>
        <v>2.8033015873015877E-8</v>
      </c>
      <c r="L51" s="21">
        <f>G51*Parameters!$D$15/Parameters!$D$16</f>
        <v>4.4283889505731711E-8</v>
      </c>
      <c r="M51" s="21">
        <f>K51*Parameters!$C$25</f>
        <v>9.5312253968253984E-9</v>
      </c>
      <c r="N51" s="21">
        <f>L51*Parameters!$C$25</f>
        <v>1.5056522431948783E-8</v>
      </c>
      <c r="O51" s="21">
        <f t="shared" si="1"/>
        <v>2.4587747828774183E-8</v>
      </c>
    </row>
    <row r="52" spans="1:15" ht="15" customHeight="1" x14ac:dyDescent="0.25">
      <c r="A52" s="10" t="s">
        <v>39</v>
      </c>
      <c r="B52" s="10" t="s">
        <v>170</v>
      </c>
      <c r="C52" s="10" t="s">
        <v>25</v>
      </c>
      <c r="D52" s="8">
        <f>Zone_Site_Means!$I$5</f>
        <v>8.9302222222222216</v>
      </c>
      <c r="E52" s="21">
        <f>D52*Parameters!$B$4*Parameters!$B$5</f>
        <v>8.9302222222222208E-6</v>
      </c>
      <c r="F52" s="21">
        <f>E52*Parameters!$D$9*Parameters!$D$10*Parameters!$D$11/(Parameters!$D$8*Parameters!$D$15)</f>
        <v>5.9534814814814807E-7</v>
      </c>
      <c r="G52" s="21">
        <f>E52*Parameters!$D$12*Parameters!$F$26*Parameters!$D$13*Parameters!$D$10*Parameters!$D$11*Parameters!$D$14/(Parameters!$D$8*Parameters!$D$15)</f>
        <v>2.0414885225441699E-6</v>
      </c>
      <c r="H52" s="21">
        <f>F52/Parameters!$B$26</f>
        <v>1.1906962962962961E-3</v>
      </c>
      <c r="I52" s="21">
        <f>G52/Parameters!$B$26</f>
        <v>4.08297704508834E-3</v>
      </c>
      <c r="J52" s="21">
        <f t="shared" si="0"/>
        <v>5.2736733413846363E-3</v>
      </c>
      <c r="K52" s="21">
        <f>F52*Parameters!$D$15/Parameters!$D$16</f>
        <v>5.1029841269841265E-8</v>
      </c>
      <c r="L52" s="21">
        <f>G52*Parameters!$D$15/Parameters!$D$16</f>
        <v>1.7498473050378598E-7</v>
      </c>
      <c r="M52" s="21">
        <f>K52*Parameters!$C$26</f>
        <v>1.7350146031746031E-8</v>
      </c>
      <c r="N52" s="21">
        <f>L52*Parameters!$C$26</f>
        <v>5.9494808371287234E-8</v>
      </c>
      <c r="O52" s="21">
        <f t="shared" si="1"/>
        <v>7.6844954403033261E-8</v>
      </c>
    </row>
    <row r="53" spans="1:15" ht="15" customHeight="1" x14ac:dyDescent="0.25">
      <c r="A53" s="10" t="s">
        <v>39</v>
      </c>
      <c r="B53" s="10" t="s">
        <v>170</v>
      </c>
      <c r="C53" s="10" t="s">
        <v>26</v>
      </c>
      <c r="D53" s="8">
        <f>Zone_Site_Means!$J$5</f>
        <v>3.4239999999999999</v>
      </c>
      <c r="E53" s="21">
        <f>D53*Parameters!$B$4*Parameters!$B$5</f>
        <v>3.4240000000000002E-6</v>
      </c>
      <c r="F53" s="21">
        <f>E53*Parameters!$D$9*Parameters!$D$10*Parameters!$D$11/(Parameters!$D$8*Parameters!$D$15)</f>
        <v>2.282666666666667E-7</v>
      </c>
      <c r="G53" s="21">
        <f>E53*Parameters!$D$12*Parameters!$F$27*Parameters!$D$13*Parameters!$D$10*Parameters!$D$11*Parameters!$D$14/(Parameters!$D$8*Parameters!$D$15)</f>
        <v>1.8085829507421849E-8</v>
      </c>
      <c r="H53" s="21">
        <f>F53/Parameters!$B$27</f>
        <v>7.6088888888888907E-4</v>
      </c>
      <c r="I53" s="21">
        <f>G53/Parameters!$B$27</f>
        <v>6.0286098358072838E-5</v>
      </c>
      <c r="J53" s="21">
        <f t="shared" si="0"/>
        <v>8.2117498724696195E-4</v>
      </c>
      <c r="K53" s="21">
        <f>F53*Parameters!$D$15/Parameters!$D$16</f>
        <v>1.9565714285714288E-8</v>
      </c>
      <c r="L53" s="21">
        <f>G53*Parameters!$D$15/Parameters!$D$16</f>
        <v>1.5502139577790155E-9</v>
      </c>
      <c r="M53" s="21">
        <f>K53*Parameters!$C$27</f>
        <v>1.2326400000000001E-7</v>
      </c>
      <c r="N53" s="21">
        <f>L53*Parameters!$C$27</f>
        <v>9.7663479340077984E-9</v>
      </c>
      <c r="O53" s="21">
        <f t="shared" si="1"/>
        <v>1.3303034793400781E-7</v>
      </c>
    </row>
    <row r="54" spans="1:15" ht="15" customHeight="1" x14ac:dyDescent="0.25">
      <c r="A54" s="10" t="s">
        <v>39</v>
      </c>
      <c r="B54" s="10" t="s">
        <v>170</v>
      </c>
      <c r="C54" s="10" t="s">
        <v>27</v>
      </c>
      <c r="D54" s="8">
        <f>Zone_Site_Means!$K$5</f>
        <v>6.1875555555555541</v>
      </c>
      <c r="E54" s="21">
        <f>D54*Parameters!$B$4*Parameters!$B$5</f>
        <v>6.187555555555555E-6</v>
      </c>
      <c r="F54" s="21">
        <f>E54*Parameters!$D$9*Parameters!$D$10*Parameters!$D$11/(Parameters!$D$8*Parameters!$D$15)</f>
        <v>4.1250370370370365E-7</v>
      </c>
      <c r="G54" s="21">
        <f>E54*Parameters!$D$12*Parameters!$F$28*Parameters!$D$13*Parameters!$D$10*Parameters!$D$11*Parameters!$D$14/(Parameters!$D$8*Parameters!$D$15)</f>
        <v>3.1704710197780604E-8</v>
      </c>
      <c r="H54" s="21">
        <f>F54/Parameters!$B$28</f>
        <v>1.3750123456790122E-3</v>
      </c>
      <c r="I54" s="21">
        <f>G54/Parameters!$B$28</f>
        <v>1.0568236732593536E-4</v>
      </c>
      <c r="J54" s="21">
        <f t="shared" si="0"/>
        <v>1.4806947130049475E-3</v>
      </c>
      <c r="K54" s="21">
        <f>F54*Parameters!$D$15/Parameters!$D$16</f>
        <v>3.535746031746031E-8</v>
      </c>
      <c r="L54" s="21">
        <f>G54*Parameters!$D$15/Parameters!$D$16</f>
        <v>2.7175465883811946E-9</v>
      </c>
      <c r="M54" s="21">
        <f>K54*Parameters!$C$28</f>
        <v>6.3643428571428557E-8</v>
      </c>
      <c r="N54" s="21">
        <f>L54*Parameters!$C$28</f>
        <v>4.8915838590861503E-9</v>
      </c>
      <c r="O54" s="21">
        <f t="shared" si="1"/>
        <v>6.8535012430514701E-8</v>
      </c>
    </row>
    <row r="55" spans="1:15" ht="15" customHeight="1" x14ac:dyDescent="0.25">
      <c r="A55" s="10" t="s">
        <v>39</v>
      </c>
      <c r="B55" s="10" t="s">
        <v>170</v>
      </c>
      <c r="C55" s="10" t="s">
        <v>28</v>
      </c>
      <c r="D55" s="8">
        <f>Zone_Site_Means!$L$5</f>
        <v>1.2623333333333333</v>
      </c>
      <c r="E55" s="21">
        <f>D55*Parameters!$B$4*Parameters!$B$5</f>
        <v>1.2623333333333334E-6</v>
      </c>
      <c r="F55" s="21">
        <f>E55*Parameters!$D$9*Parameters!$D$10*Parameters!$D$11/(Parameters!$D$8*Parameters!$D$15)</f>
        <v>8.4155555555555559E-8</v>
      </c>
      <c r="G55" s="21">
        <f>E55*Parameters!$D$12*Parameters!$F$29*Parameters!$D$13*Parameters!$D$10*Parameters!$D$11*Parameters!$D$14/(Parameters!$D$8*Parameters!$D$15)</f>
        <v>5.9044401788951956E-9</v>
      </c>
      <c r="H55" s="21">
        <f>F55/Parameters!$B$29</f>
        <v>2.8051851851851854E-4</v>
      </c>
      <c r="I55" s="21">
        <f>G55/Parameters!$B$29</f>
        <v>1.9681467262983988E-5</v>
      </c>
      <c r="J55" s="21">
        <f t="shared" si="0"/>
        <v>3.0019998578150251E-4</v>
      </c>
      <c r="K55" s="21">
        <f>F55*Parameters!$D$15/Parameters!$D$16</f>
        <v>7.2133333333333341E-9</v>
      </c>
      <c r="L55" s="21">
        <f>G55*Parameters!$D$15/Parameters!$D$16</f>
        <v>5.060948724767311E-10</v>
      </c>
      <c r="M55" s="21">
        <f>K55*Parameters!$C$29</f>
        <v>9.3773333333333345E-9</v>
      </c>
      <c r="N55" s="21">
        <f>L55*Parameters!$C$29</f>
        <v>6.5792333421975042E-10</v>
      </c>
      <c r="O55" s="21">
        <f t="shared" si="1"/>
        <v>1.0035256667553085E-8</v>
      </c>
    </row>
    <row r="56" spans="1:15" ht="15" customHeight="1" x14ac:dyDescent="0.25">
      <c r="A56" s="10" t="s">
        <v>39</v>
      </c>
      <c r="B56" s="10" t="s">
        <v>170</v>
      </c>
      <c r="C56" s="10" t="s">
        <v>29</v>
      </c>
      <c r="D56" s="8">
        <f>Zone_Site_Means!$M$5</f>
        <v>1.5947777777777778</v>
      </c>
      <c r="E56" s="21">
        <f>D56*Parameters!$B$4*Parameters!$B$5</f>
        <v>1.594777777777778E-6</v>
      </c>
      <c r="F56" s="21">
        <f>E56*Parameters!$D$9*Parameters!$D$10*Parameters!$D$11/(Parameters!$D$8*Parameters!$D$15)</f>
        <v>1.0631851851851854E-7</v>
      </c>
      <c r="G56" s="21">
        <f>E56*Parameters!$D$12*Parameters!$F$30*Parameters!$D$13*Parameters!$D$10*Parameters!$D$11*Parameters!$D$14/(Parameters!$D$8*Parameters!$D$15)</f>
        <v>1.4122281104741208E-8</v>
      </c>
      <c r="H56" s="21">
        <f>F56/Parameters!$B$30</f>
        <v>3.5439506172839515E-4</v>
      </c>
      <c r="I56" s="21">
        <f>G56/Parameters!$B$30</f>
        <v>4.7074270349137368E-5</v>
      </c>
      <c r="J56" s="21">
        <f t="shared" si="0"/>
        <v>4.0146933207753252E-4</v>
      </c>
      <c r="K56" s="21">
        <f>F56*Parameters!$D$15/Parameters!$D$16</f>
        <v>9.1130158730158749E-9</v>
      </c>
      <c r="L56" s="21">
        <f>G56*Parameters!$D$15/Parameters!$D$16</f>
        <v>1.2104812375492463E-9</v>
      </c>
      <c r="M56" s="21">
        <f>K56*Parameters!$C$30</f>
        <v>0</v>
      </c>
      <c r="N56" s="21">
        <f>L56*Parameters!$C$30</f>
        <v>0</v>
      </c>
      <c r="O56" s="21">
        <f t="shared" si="1"/>
        <v>0</v>
      </c>
    </row>
    <row r="57" spans="1:15" ht="15" customHeight="1" x14ac:dyDescent="0.25">
      <c r="A57" s="10" t="s">
        <v>39</v>
      </c>
      <c r="B57" s="10" t="s">
        <v>170</v>
      </c>
      <c r="C57" s="10" t="s">
        <v>30</v>
      </c>
      <c r="D57" s="8">
        <f>Zone_Site_Means!$N$5</f>
        <v>1.6134444444444445</v>
      </c>
      <c r="E57" s="21">
        <f>D57*Parameters!$B$4*Parameters!$B$5</f>
        <v>1.6134444444444445E-6</v>
      </c>
      <c r="F57" s="21">
        <f>E57*Parameters!$D$9*Parameters!$D$10*Parameters!$D$11/(Parameters!$D$8*Parameters!$D$15)</f>
        <v>1.0756296296296296E-7</v>
      </c>
      <c r="G57" s="21">
        <f>E57*Parameters!$D$12*Parameters!$F$31*Parameters!$D$13*Parameters!$D$10*Parameters!$D$11*Parameters!$D$14/(Parameters!$D$8*Parameters!$D$15)</f>
        <v>1.9847723104653059E-7</v>
      </c>
      <c r="H57" s="21">
        <f>F57/Parameters!$B$31</f>
        <v>3.585432098765432E-3</v>
      </c>
      <c r="I57" s="21">
        <f>G57/Parameters!$B$31</f>
        <v>6.6159077015510194E-3</v>
      </c>
      <c r="J57" s="21">
        <f t="shared" si="0"/>
        <v>1.0201339800316452E-2</v>
      </c>
      <c r="K57" s="21">
        <f>F57*Parameters!$D$15/Parameters!$D$16</f>
        <v>9.2196825396825396E-9</v>
      </c>
      <c r="L57" s="21">
        <f>G57*Parameters!$D$15/Parameters!$D$16</f>
        <v>1.701233408970262E-8</v>
      </c>
      <c r="M57" s="21">
        <f>K57*Parameters!$C$31</f>
        <v>1.5673460317460316E-7</v>
      </c>
      <c r="N57" s="21">
        <f>L57*Parameters!$C$31</f>
        <v>2.8920967952494452E-7</v>
      </c>
      <c r="O57" s="21">
        <f t="shared" si="1"/>
        <v>4.4594428269954768E-7</v>
      </c>
    </row>
    <row r="58" spans="1:15" ht="15" customHeight="1" x14ac:dyDescent="0.25">
      <c r="A58" s="10" t="s">
        <v>39</v>
      </c>
      <c r="B58" s="10" t="s">
        <v>170</v>
      </c>
      <c r="C58" s="10" t="s">
        <v>31</v>
      </c>
      <c r="D58" s="8">
        <f>Zone_Site_Means!$O$5</f>
        <v>2.9305555555555554</v>
      </c>
      <c r="E58" s="21">
        <f>D58*Parameters!$B$4*Parameters!$B$5</f>
        <v>2.9305555555555555E-6</v>
      </c>
      <c r="F58" s="21">
        <f>E58*Parameters!$D$9*Parameters!$D$10*Parameters!$D$11/(Parameters!$D$8*Parameters!$D$15)</f>
        <v>1.953703703703704E-7</v>
      </c>
      <c r="G58" s="21">
        <f>E58*Parameters!$D$12*Parameters!$F$32*Parameters!$D$13*Parameters!$D$10*Parameters!$D$11*Parameters!$D$14/(Parameters!$D$8*Parameters!$D$15)</f>
        <v>5.5119673370273159E-8</v>
      </c>
      <c r="H58" s="21">
        <f>F58/Parameters!$B$32</f>
        <v>3.9074074074074081E-3</v>
      </c>
      <c r="I58" s="21">
        <f>G58/Parameters!$B$32</f>
        <v>1.1023934674054632E-3</v>
      </c>
      <c r="J58" s="21">
        <f t="shared" si="0"/>
        <v>5.0098008748128715E-3</v>
      </c>
      <c r="K58" s="21">
        <f>F58*Parameters!$D$15/Parameters!$D$16</f>
        <v>1.6746031746031749E-8</v>
      </c>
      <c r="L58" s="21">
        <f>G58*Parameters!$D$15/Parameters!$D$16</f>
        <v>4.7245434317376993E-9</v>
      </c>
      <c r="M58" s="21">
        <f>K58*Parameters!$C$32</f>
        <v>2.6793650793650799E-7</v>
      </c>
      <c r="N58" s="21">
        <f>L58*Parameters!$C$32</f>
        <v>7.5592694907803189E-8</v>
      </c>
      <c r="O58" s="21">
        <f t="shared" si="1"/>
        <v>3.4352920284431119E-7</v>
      </c>
    </row>
    <row r="59" spans="1:15" ht="15" customHeight="1" x14ac:dyDescent="0.25">
      <c r="A59" s="10" t="s">
        <v>39</v>
      </c>
      <c r="B59" s="10" t="s">
        <v>170</v>
      </c>
      <c r="C59" s="10" t="s">
        <v>32</v>
      </c>
      <c r="D59" s="8">
        <f>Zone_Site_Means!$P$5</f>
        <v>2.1185555555555555</v>
      </c>
      <c r="E59" s="21">
        <f>D59*Parameters!$B$4*Parameters!$B$5</f>
        <v>2.1185555555555555E-6</v>
      </c>
      <c r="F59" s="21">
        <f>E59*Parameters!$D$9*Parameters!$D$10*Parameters!$D$11/(Parameters!$D$8*Parameters!$D$15)</f>
        <v>1.4123703703703706E-7</v>
      </c>
      <c r="G59" s="21">
        <f>E59*Parameters!$D$12*Parameters!$F$33*Parameters!$D$13*Parameters!$D$10*Parameters!$D$11*Parameters!$D$14/(Parameters!$D$8*Parameters!$D$15)</f>
        <v>1.2732114442384009E-7</v>
      </c>
      <c r="H59" s="21">
        <f>F59/Parameters!$B$33</f>
        <v>2.8247407407407408E-4</v>
      </c>
      <c r="I59" s="21">
        <f>G59/Parameters!$B$33</f>
        <v>2.5464228884768017E-4</v>
      </c>
      <c r="J59" s="21">
        <f t="shared" si="0"/>
        <v>5.3711636292175431E-4</v>
      </c>
      <c r="K59" s="21">
        <f>F59*Parameters!$D$15/Parameters!$D$16</f>
        <v>1.2106031746031749E-8</v>
      </c>
      <c r="L59" s="21">
        <f>G59*Parameters!$D$15/Parameters!$D$16</f>
        <v>1.0913240950614865E-8</v>
      </c>
      <c r="M59" s="21">
        <f>K59*Parameters!$C$33</f>
        <v>5.4477142857142872E-8</v>
      </c>
      <c r="N59" s="21">
        <f>L59*Parameters!$C$33</f>
        <v>4.9109584277766893E-8</v>
      </c>
      <c r="O59" s="21">
        <f t="shared" si="1"/>
        <v>1.0358672713490977E-7</v>
      </c>
    </row>
    <row r="60" spans="1:15" ht="15" customHeight="1" x14ac:dyDescent="0.25">
      <c r="A60" s="10" t="s">
        <v>39</v>
      </c>
      <c r="B60" s="10" t="s">
        <v>170</v>
      </c>
      <c r="C60" s="10" t="s">
        <v>33</v>
      </c>
      <c r="D60" s="8">
        <f>Zone_Site_Means!$Q$5</f>
        <v>3.2303333333333333</v>
      </c>
      <c r="E60" s="21">
        <f>D60*Parameters!$B$4*Parameters!$B$5</f>
        <v>3.2303333333333332E-6</v>
      </c>
      <c r="F60" s="21">
        <f>E60*Parameters!$D$9*Parameters!$D$10*Parameters!$D$11/(Parameters!$D$8*Parameters!$D$15)</f>
        <v>2.1535555555555556E-7</v>
      </c>
      <c r="G60" s="21">
        <f>E60*Parameters!$D$12*Parameters!$F$34*Parameters!$D$13*Parameters!$D$10*Parameters!$D$11*Parameters!$D$14/(Parameters!$D$8*Parameters!$D$15)</f>
        <v>2.8794398802456896E-8</v>
      </c>
      <c r="H60" s="21">
        <f>F60/Parameters!$B$34</f>
        <v>1.6565811965811968E-2</v>
      </c>
      <c r="I60" s="21">
        <f>G60/Parameters!$B$34</f>
        <v>2.2149537540351459E-3</v>
      </c>
      <c r="J60" s="21">
        <f t="shared" si="0"/>
        <v>1.8780765719847114E-2</v>
      </c>
      <c r="K60" s="21">
        <f>F60*Parameters!$D$15/Parameters!$D$16</f>
        <v>1.8459047619047619E-8</v>
      </c>
      <c r="L60" s="21">
        <f>G60*Parameters!$D$15/Parameters!$D$16</f>
        <v>2.4680913259248768E-9</v>
      </c>
      <c r="M60" s="21">
        <f>K60*Parameters!$C$34</f>
        <v>1.6797733333333334E-7</v>
      </c>
      <c r="N60" s="21">
        <f>L60*Parameters!$C$34</f>
        <v>2.2459631065916377E-8</v>
      </c>
      <c r="O60" s="21">
        <f t="shared" si="1"/>
        <v>1.9043696439924972E-7</v>
      </c>
    </row>
    <row r="61" spans="1:15" ht="15" customHeight="1" x14ac:dyDescent="0.25">
      <c r="A61" s="10" t="s">
        <v>52</v>
      </c>
      <c r="B61" s="10" t="s">
        <v>169</v>
      </c>
      <c r="C61" s="10" t="s">
        <v>20</v>
      </c>
      <c r="D61" s="8">
        <f>Zone_Site_Means!$D$6</f>
        <v>3.3127777777777774</v>
      </c>
      <c r="E61" s="21">
        <f>D61*Parameters!$B$4*Parameters!$B$5</f>
        <v>3.3127777777777774E-6</v>
      </c>
      <c r="F61" s="21">
        <f>E61*Parameters!$C$9*Parameters!$C$10*Parameters!$C$11/(Parameters!$C$8*Parameters!$C$15)</f>
        <v>9.4650793650793633E-8</v>
      </c>
      <c r="G61" s="21">
        <f>E61*Parameters!$C$12*Parameters!$F$21*Parameters!$C$13*Parameters!$C$10*Parameters!$C$11*Parameters!$C$14/(Parameters!$C$8*Parameters!$C$15)</f>
        <v>2.4549958532756749E-7</v>
      </c>
      <c r="H61" s="21">
        <f>F61/Parameters!$B$21</f>
        <v>1.8930158730158725E-4</v>
      </c>
      <c r="I61" s="21">
        <f>G61/Parameters!$B$21</f>
        <v>4.9099917065513498E-4</v>
      </c>
      <c r="J61" s="21">
        <f t="shared" si="0"/>
        <v>6.8030075795672224E-4</v>
      </c>
      <c r="K61" s="21">
        <f>F61*Parameters!$C$15/Parameters!$C$16</f>
        <v>9.465079365079362E-8</v>
      </c>
      <c r="L61" s="21">
        <f>G61*Parameters!$C$15/Parameters!$C$16</f>
        <v>2.4549958532756749E-7</v>
      </c>
      <c r="M61" s="21">
        <f>K61*Parameters!$C$21</f>
        <v>3.2181269841269833E-8</v>
      </c>
      <c r="N61" s="21">
        <f>L61*Parameters!$C$21</f>
        <v>8.346985901137295E-8</v>
      </c>
      <c r="O61" s="21">
        <f t="shared" si="1"/>
        <v>1.1565112885264279E-7</v>
      </c>
    </row>
    <row r="62" spans="1:15" ht="15" customHeight="1" x14ac:dyDescent="0.25">
      <c r="A62" s="10" t="s">
        <v>52</v>
      </c>
      <c r="B62" s="10" t="s">
        <v>169</v>
      </c>
      <c r="C62" s="10" t="s">
        <v>21</v>
      </c>
      <c r="D62" s="8">
        <f>Zone_Site_Means!$E$6</f>
        <v>3.6304444444444437</v>
      </c>
      <c r="E62" s="21">
        <f>D62*Parameters!$B$4*Parameters!$B$5</f>
        <v>3.630444444444444E-6</v>
      </c>
      <c r="F62" s="21">
        <f>E62*Parameters!$C$9*Parameters!$C$10*Parameters!$C$11/(Parameters!$C$8*Parameters!$C$15)</f>
        <v>1.0372698412698412E-7</v>
      </c>
      <c r="G62" s="21">
        <f>E62*Parameters!$C$12*Parameters!$F$22*Parameters!$C$13*Parameters!$C$10*Parameters!$C$11*Parameters!$C$14/(Parameters!$C$8*Parameters!$C$15)</f>
        <v>3.2286298220854813E-7</v>
      </c>
      <c r="H62" s="21">
        <f>F62/Parameters!$B$22</f>
        <v>2.0745396825396824E-4</v>
      </c>
      <c r="I62" s="21">
        <f>G62/Parameters!$B$22</f>
        <v>6.4572596441709619E-4</v>
      </c>
      <c r="J62" s="21">
        <f t="shared" si="0"/>
        <v>8.5317993267106443E-4</v>
      </c>
      <c r="K62" s="21">
        <f>F62*Parameters!$C$15/Parameters!$C$16</f>
        <v>1.037269841269841E-7</v>
      </c>
      <c r="L62" s="21">
        <f>G62*Parameters!$C$15/Parameters!$C$16</f>
        <v>3.2286298220854813E-7</v>
      </c>
      <c r="M62" s="21">
        <f>K62*Parameters!$C$22</f>
        <v>3.52671746031746E-8</v>
      </c>
      <c r="N62" s="21">
        <f>L62*Parameters!$C$22</f>
        <v>1.0977341395090637E-7</v>
      </c>
      <c r="O62" s="21">
        <f t="shared" si="1"/>
        <v>1.4504058855408099E-7</v>
      </c>
    </row>
    <row r="63" spans="1:15" ht="15" customHeight="1" x14ac:dyDescent="0.25">
      <c r="A63" s="10" t="s">
        <v>52</v>
      </c>
      <c r="B63" s="10" t="s">
        <v>169</v>
      </c>
      <c r="C63" s="10" t="s">
        <v>22</v>
      </c>
      <c r="D63" s="8">
        <f>Zone_Site_Means!$F$6</f>
        <v>2.0500000000000003</v>
      </c>
      <c r="E63" s="21">
        <f>D63*Parameters!$B$4*Parameters!$B$5</f>
        <v>2.0500000000000003E-6</v>
      </c>
      <c r="F63" s="21">
        <f>E63*Parameters!$C$9*Parameters!$C$10*Parameters!$C$11/(Parameters!$C$8*Parameters!$C$15)</f>
        <v>5.8571428571428583E-8</v>
      </c>
      <c r="G63" s="21">
        <f>E63*Parameters!$C$12*Parameters!$F$23*Parameters!$C$13*Parameters!$C$10*Parameters!$C$11*Parameters!$C$14/(Parameters!$C$8*Parameters!$C$15)</f>
        <v>5.8523773349260264E-8</v>
      </c>
      <c r="H63" s="21">
        <f>F63/Parameters!$B$23</f>
        <v>1.1714285714285716E-4</v>
      </c>
      <c r="I63" s="21">
        <f>G63/Parameters!$B$23</f>
        <v>1.1704754669852053E-4</v>
      </c>
      <c r="J63" s="21">
        <f t="shared" si="0"/>
        <v>2.3419040384137769E-4</v>
      </c>
      <c r="K63" s="21">
        <f>F63*Parameters!$C$15/Parameters!$C$16</f>
        <v>5.8571428571428583E-8</v>
      </c>
      <c r="L63" s="21">
        <f>G63*Parameters!$C$15/Parameters!$C$16</f>
        <v>5.8523773349260264E-8</v>
      </c>
      <c r="M63" s="21">
        <f>K63*Parameters!$C$23</f>
        <v>1.9914285714285719E-8</v>
      </c>
      <c r="N63" s="21">
        <f>L63*Parameters!$C$23</f>
        <v>1.989808293874849E-8</v>
      </c>
      <c r="O63" s="21">
        <f t="shared" si="1"/>
        <v>3.981236865303421E-8</v>
      </c>
    </row>
    <row r="64" spans="1:15" ht="15" customHeight="1" x14ac:dyDescent="0.25">
      <c r="A64" s="10" t="s">
        <v>52</v>
      </c>
      <c r="B64" s="10" t="s">
        <v>169</v>
      </c>
      <c r="C64" s="10" t="s">
        <v>23</v>
      </c>
      <c r="D64" s="8">
        <f>Zone_Site_Means!$G$6</f>
        <v>3.7487777777777782</v>
      </c>
      <c r="E64" s="21">
        <f>D64*Parameters!$B$4*Parameters!$B$5</f>
        <v>3.7487777777777784E-6</v>
      </c>
      <c r="F64" s="21">
        <f>E64*Parameters!$C$9*Parameters!$C$10*Parameters!$C$11/(Parameters!$C$8*Parameters!$C$15)</f>
        <v>1.0710793650793653E-7</v>
      </c>
      <c r="G64" s="21">
        <f>E64*Parameters!$C$12*Parameters!$F$24*Parameters!$C$13*Parameters!$C$10*Parameters!$C$11*Parameters!$C$14/(Parameters!$C$8*Parameters!$C$15)</f>
        <v>1.3442131989943253E-7</v>
      </c>
      <c r="H64" s="21">
        <f>F64/Parameters!$B$24</f>
        <v>2.1421587301587305E-4</v>
      </c>
      <c r="I64" s="21">
        <f>G64/Parameters!$B$24</f>
        <v>2.6884263979886502E-4</v>
      </c>
      <c r="J64" s="21">
        <f t="shared" si="0"/>
        <v>4.8305851281473807E-4</v>
      </c>
      <c r="K64" s="21">
        <f>F64*Parameters!$C$15/Parameters!$C$16</f>
        <v>1.0710793650793653E-7</v>
      </c>
      <c r="L64" s="21">
        <f>G64*Parameters!$C$15/Parameters!$C$16</f>
        <v>1.3442131989943253E-7</v>
      </c>
      <c r="M64" s="21">
        <f>K64*Parameters!$C$24</f>
        <v>3.6416698412698424E-8</v>
      </c>
      <c r="N64" s="21">
        <f>L64*Parameters!$C$24</f>
        <v>4.5703248765807062E-8</v>
      </c>
      <c r="O64" s="21">
        <f t="shared" si="1"/>
        <v>8.2119947178505487E-8</v>
      </c>
    </row>
    <row r="65" spans="1:15" ht="15" customHeight="1" x14ac:dyDescent="0.25">
      <c r="A65" s="10" t="s">
        <v>52</v>
      </c>
      <c r="B65" s="10" t="s">
        <v>169</v>
      </c>
      <c r="C65" s="10" t="s">
        <v>24</v>
      </c>
      <c r="D65" s="8">
        <f>Zone_Site_Means!$H$6</f>
        <v>5.772222222222223</v>
      </c>
      <c r="E65" s="21">
        <f>D65*Parameters!$B$4*Parameters!$B$5</f>
        <v>5.7722222222222232E-6</v>
      </c>
      <c r="F65" s="21">
        <f>E65*Parameters!$C$9*Parameters!$C$10*Parameters!$C$11/(Parameters!$C$8*Parameters!$C$15)</f>
        <v>1.6492063492063494E-7</v>
      </c>
      <c r="G65" s="21">
        <f>E65*Parameters!$C$12*Parameters!$F$25*Parameters!$C$13*Parameters!$C$10*Parameters!$C$11*Parameters!$C$14/(Parameters!$C$8*Parameters!$C$15)</f>
        <v>2.0605231638284725E-7</v>
      </c>
      <c r="H65" s="21">
        <f>F65/Parameters!$B$25</f>
        <v>3.2984126984126987E-4</v>
      </c>
      <c r="I65" s="21">
        <f>G65/Parameters!$B$25</f>
        <v>4.1210463276569449E-4</v>
      </c>
      <c r="J65" s="21">
        <f t="shared" si="0"/>
        <v>7.4194590260696436E-4</v>
      </c>
      <c r="K65" s="21">
        <f>F65*Parameters!$C$15/Parameters!$C$16</f>
        <v>1.6492063492063494E-7</v>
      </c>
      <c r="L65" s="21">
        <f>G65*Parameters!$C$15/Parameters!$C$16</f>
        <v>2.0605231638284725E-7</v>
      </c>
      <c r="M65" s="21">
        <f>K65*Parameters!$C$25</f>
        <v>5.6073015873015885E-8</v>
      </c>
      <c r="N65" s="21">
        <f>L65*Parameters!$C$25</f>
        <v>7.0057787570168065E-8</v>
      </c>
      <c r="O65" s="21">
        <f t="shared" si="1"/>
        <v>1.2613080344318395E-7</v>
      </c>
    </row>
    <row r="66" spans="1:15" ht="15" customHeight="1" x14ac:dyDescent="0.25">
      <c r="A66" s="10" t="s">
        <v>52</v>
      </c>
      <c r="B66" s="10" t="s">
        <v>169</v>
      </c>
      <c r="C66" s="10" t="s">
        <v>25</v>
      </c>
      <c r="D66" s="8">
        <f>Zone_Site_Means!$I$6</f>
        <v>12.331777777777779</v>
      </c>
      <c r="E66" s="21">
        <f>D66*Parameters!$B$4*Parameters!$B$5</f>
        <v>1.2331777777777778E-5</v>
      </c>
      <c r="F66" s="21">
        <f>E66*Parameters!$C$9*Parameters!$C$10*Parameters!$C$11/(Parameters!$C$8*Parameters!$C$15)</f>
        <v>3.5233650793650792E-7</v>
      </c>
      <c r="G66" s="21">
        <f>E66*Parameters!$C$12*Parameters!$F$26*Parameters!$C$13*Parameters!$C$10*Parameters!$C$11*Parameters!$C$14/(Parameters!$C$8*Parameters!$C$15)</f>
        <v>9.555648117352652E-7</v>
      </c>
      <c r="H66" s="21">
        <f>F66/Parameters!$B$26</f>
        <v>7.0467301587301585E-4</v>
      </c>
      <c r="I66" s="21">
        <f>G66/Parameters!$B$26</f>
        <v>1.9111296234705303E-3</v>
      </c>
      <c r="J66" s="21">
        <f t="shared" si="0"/>
        <v>2.6158026393435464E-3</v>
      </c>
      <c r="K66" s="21">
        <f>F66*Parameters!$C$15/Parameters!$C$16</f>
        <v>3.5233650793650792E-7</v>
      </c>
      <c r="L66" s="21">
        <f>G66*Parameters!$C$15/Parameters!$C$16</f>
        <v>9.555648117352652E-7</v>
      </c>
      <c r="M66" s="21">
        <f>K66*Parameters!$C$26</f>
        <v>1.1979441269841271E-7</v>
      </c>
      <c r="N66" s="21">
        <f>L66*Parameters!$C$26</f>
        <v>3.2489203598999021E-7</v>
      </c>
      <c r="O66" s="21">
        <f t="shared" si="1"/>
        <v>4.4468644868840292E-7</v>
      </c>
    </row>
    <row r="67" spans="1:15" ht="15" customHeight="1" x14ac:dyDescent="0.25">
      <c r="A67" s="10" t="s">
        <v>52</v>
      </c>
      <c r="B67" s="10" t="s">
        <v>169</v>
      </c>
      <c r="C67" s="10" t="s">
        <v>26</v>
      </c>
      <c r="D67" s="8">
        <f>Zone_Site_Means!$J$6</f>
        <v>3.4182222222222216</v>
      </c>
      <c r="E67" s="21">
        <f>D67*Parameters!$B$4*Parameters!$B$5</f>
        <v>3.4182222222222217E-6</v>
      </c>
      <c r="F67" s="21">
        <f>E67*Parameters!$C$9*Parameters!$C$10*Parameters!$C$11/(Parameters!$C$8*Parameters!$C$15)</f>
        <v>9.7663492063492058E-8</v>
      </c>
      <c r="G67" s="21">
        <f>E67*Parameters!$C$12*Parameters!$F$27*Parameters!$C$13*Parameters!$C$10*Parameters!$C$11*Parameters!$C$14/(Parameters!$C$8*Parameters!$C$15)</f>
        <v>6.1200469224205936E-9</v>
      </c>
      <c r="H67" s="21">
        <f>F67/Parameters!$B$27</f>
        <v>3.2554497354497357E-4</v>
      </c>
      <c r="I67" s="21">
        <f>G67/Parameters!$B$27</f>
        <v>2.0400156408068647E-5</v>
      </c>
      <c r="J67" s="21">
        <f t="shared" si="0"/>
        <v>3.4594512995304221E-4</v>
      </c>
      <c r="K67" s="21">
        <f>F67*Parameters!$C$15/Parameters!$C$16</f>
        <v>9.7663492063492058E-8</v>
      </c>
      <c r="L67" s="21">
        <f>G67*Parameters!$C$15/Parameters!$C$16</f>
        <v>6.1200469224205936E-9</v>
      </c>
      <c r="M67" s="21">
        <f>K67*Parameters!$C$27</f>
        <v>6.1527999999999993E-7</v>
      </c>
      <c r="N67" s="21">
        <f>L67*Parameters!$C$27</f>
        <v>3.8556295611249742E-8</v>
      </c>
      <c r="O67" s="21">
        <f t="shared" si="1"/>
        <v>6.5383629561124972E-7</v>
      </c>
    </row>
    <row r="68" spans="1:15" ht="15" customHeight="1" x14ac:dyDescent="0.25">
      <c r="A68" s="10" t="s">
        <v>52</v>
      </c>
      <c r="B68" s="10" t="s">
        <v>169</v>
      </c>
      <c r="C68" s="10" t="s">
        <v>27</v>
      </c>
      <c r="D68" s="8">
        <f>Zone_Site_Means!$K$6</f>
        <v>6.3920000000000003</v>
      </c>
      <c r="E68" s="21">
        <f>D68*Parameters!$B$4*Parameters!$B$5</f>
        <v>6.392E-6</v>
      </c>
      <c r="F68" s="21">
        <f>E68*Parameters!$C$9*Parameters!$C$10*Parameters!$C$11/(Parameters!$C$8*Parameters!$C$15)</f>
        <v>1.8262857142857143E-7</v>
      </c>
      <c r="G68" s="21">
        <f>E68*Parameters!$C$12*Parameters!$F$28*Parameters!$C$13*Parameters!$C$10*Parameters!$C$11*Parameters!$C$14/(Parameters!$C$8*Parameters!$C$15)</f>
        <v>1.1101744420102115E-8</v>
      </c>
      <c r="H68" s="21">
        <f>F68/Parameters!$B$28</f>
        <v>6.0876190476190481E-4</v>
      </c>
      <c r="I68" s="21">
        <f>G68/Parameters!$B$28</f>
        <v>3.7005814733673724E-5</v>
      </c>
      <c r="J68" s="21">
        <f t="shared" si="0"/>
        <v>6.4576771949557857E-4</v>
      </c>
      <c r="K68" s="21">
        <f>F68*Parameters!$C$15/Parameters!$C$16</f>
        <v>1.8262857142857143E-7</v>
      </c>
      <c r="L68" s="21">
        <f>G68*Parameters!$C$15/Parameters!$C$16</f>
        <v>1.1101744420102115E-8</v>
      </c>
      <c r="M68" s="21">
        <f>K68*Parameters!$C$28</f>
        <v>3.2873142857142859E-7</v>
      </c>
      <c r="N68" s="21">
        <f>L68*Parameters!$C$28</f>
        <v>1.9983139956183809E-8</v>
      </c>
      <c r="O68" s="21">
        <f t="shared" si="1"/>
        <v>3.4871456852761238E-7</v>
      </c>
    </row>
    <row r="69" spans="1:15" ht="15" customHeight="1" x14ac:dyDescent="0.25">
      <c r="A69" s="10" t="s">
        <v>52</v>
      </c>
      <c r="B69" s="10" t="s">
        <v>169</v>
      </c>
      <c r="C69" s="10" t="s">
        <v>28</v>
      </c>
      <c r="D69" s="8">
        <f>Zone_Site_Means!$L$6</f>
        <v>0.8703333333333334</v>
      </c>
      <c r="E69" s="21">
        <f>D69*Parameters!$B$4*Parameters!$B$5</f>
        <v>8.7033333333333346E-7</v>
      </c>
      <c r="F69" s="21">
        <f>E69*Parameters!$C$9*Parameters!$C$10*Parameters!$C$11/(Parameters!$C$8*Parameters!$C$15)</f>
        <v>2.4866666666666668E-8</v>
      </c>
      <c r="G69" s="21">
        <f>E69*Parameters!$C$12*Parameters!$F$29*Parameters!$C$13*Parameters!$C$10*Parameters!$C$11*Parameters!$C$14/(Parameters!$C$8*Parameters!$C$15)</f>
        <v>1.3798760466091749E-9</v>
      </c>
      <c r="H69" s="21">
        <f>F69/Parameters!$B$29</f>
        <v>8.2888888888888896E-5</v>
      </c>
      <c r="I69" s="21">
        <f>G69/Parameters!$B$29</f>
        <v>4.5995868220305836E-6</v>
      </c>
      <c r="J69" s="21">
        <f t="shared" ref="J69:J132" si="2">H69+I69</f>
        <v>8.7488475710919482E-5</v>
      </c>
      <c r="K69" s="21">
        <f>F69*Parameters!$C$15/Parameters!$C$16</f>
        <v>2.4866666666666668E-8</v>
      </c>
      <c r="L69" s="21">
        <f>G69*Parameters!$C$15/Parameters!$C$16</f>
        <v>1.3798760466091749E-9</v>
      </c>
      <c r="M69" s="21">
        <f>K69*Parameters!$C$29</f>
        <v>3.2326666666666666E-8</v>
      </c>
      <c r="N69" s="21">
        <f>L69*Parameters!$C$29</f>
        <v>1.7938388605919273E-9</v>
      </c>
      <c r="O69" s="21">
        <f t="shared" ref="O69:O132" si="3">M69+N69</f>
        <v>3.4120505527258597E-8</v>
      </c>
    </row>
    <row r="70" spans="1:15" ht="15" customHeight="1" x14ac:dyDescent="0.25">
      <c r="A70" s="10" t="s">
        <v>52</v>
      </c>
      <c r="B70" s="10" t="s">
        <v>169</v>
      </c>
      <c r="C70" s="10" t="s">
        <v>29</v>
      </c>
      <c r="D70" s="8">
        <f>Zone_Site_Means!$M$6</f>
        <v>2.0175222222222224</v>
      </c>
      <c r="E70" s="21">
        <f>D70*Parameters!$B$4*Parameters!$B$5</f>
        <v>2.0175222222222222E-6</v>
      </c>
      <c r="F70" s="21">
        <f>E70*Parameters!$C$9*Parameters!$C$10*Parameters!$C$11/(Parameters!$C$8*Parameters!$C$15)</f>
        <v>5.7643492063492068E-8</v>
      </c>
      <c r="G70" s="21">
        <f>E70*Parameters!$C$12*Parameters!$F$30*Parameters!$C$13*Parameters!$C$10*Parameters!$C$11*Parameters!$C$14/(Parameters!$C$8*Parameters!$C$15)</f>
        <v>6.0558175976298003E-9</v>
      </c>
      <c r="H70" s="21">
        <f>F70/Parameters!$B$30</f>
        <v>1.9214497354497358E-4</v>
      </c>
      <c r="I70" s="21">
        <f>G70/Parameters!$B$30</f>
        <v>2.0186058658766002E-5</v>
      </c>
      <c r="J70" s="21">
        <f t="shared" si="2"/>
        <v>2.1233103220373958E-4</v>
      </c>
      <c r="K70" s="21">
        <f>F70*Parameters!$C$15/Parameters!$C$16</f>
        <v>5.7643492063492068E-8</v>
      </c>
      <c r="L70" s="21">
        <f>G70*Parameters!$C$15/Parameters!$C$16</f>
        <v>6.0558175976298012E-9</v>
      </c>
      <c r="M70" s="21">
        <f>K70*Parameters!$C$30</f>
        <v>0</v>
      </c>
      <c r="N70" s="21">
        <f>L70*Parameters!$C$30</f>
        <v>0</v>
      </c>
      <c r="O70" s="21">
        <f t="shared" si="3"/>
        <v>0</v>
      </c>
    </row>
    <row r="71" spans="1:15" ht="15" customHeight="1" x14ac:dyDescent="0.25">
      <c r="A71" s="10" t="s">
        <v>52</v>
      </c>
      <c r="B71" s="10" t="s">
        <v>169</v>
      </c>
      <c r="C71" s="10" t="s">
        <v>30</v>
      </c>
      <c r="D71" s="8">
        <f>Zone_Site_Means!$N$6</f>
        <v>1.1774355634497731</v>
      </c>
      <c r="E71" s="21">
        <f>D71*Parameters!$B$4*Parameters!$B$5</f>
        <v>1.1774355634497731E-6</v>
      </c>
      <c r="F71" s="21">
        <f>E71*Parameters!$C$9*Parameters!$C$10*Parameters!$C$11/(Parameters!$C$8*Parameters!$C$15)</f>
        <v>3.3641016098564944E-8</v>
      </c>
      <c r="G71" s="21">
        <f>E71*Parameters!$C$12*Parameters!$F$31*Parameters!$C$13*Parameters!$C$10*Parameters!$C$11*Parameters!$C$14/(Parameters!$C$8*Parameters!$C$15)</f>
        <v>4.909571710449834E-8</v>
      </c>
      <c r="H71" s="21">
        <f>F71/Parameters!$B$31</f>
        <v>1.1213672032854981E-3</v>
      </c>
      <c r="I71" s="21">
        <f>G71/Parameters!$B$31</f>
        <v>1.636523903483278E-3</v>
      </c>
      <c r="J71" s="21">
        <f t="shared" si="2"/>
        <v>2.7578911067687763E-3</v>
      </c>
      <c r="K71" s="21">
        <f>F71*Parameters!$C$15/Parameters!$C$16</f>
        <v>3.3641016098564944E-8</v>
      </c>
      <c r="L71" s="21">
        <f>G71*Parameters!$C$15/Parameters!$C$16</f>
        <v>4.9095717104498346E-8</v>
      </c>
      <c r="M71" s="21">
        <f>K71*Parameters!$C$31</f>
        <v>5.71897273675604E-7</v>
      </c>
      <c r="N71" s="21">
        <f>L71*Parameters!$C$31</f>
        <v>8.346271907764719E-7</v>
      </c>
      <c r="O71" s="21">
        <f t="shared" si="3"/>
        <v>1.4065244644520759E-6</v>
      </c>
    </row>
    <row r="72" spans="1:15" ht="15" customHeight="1" x14ac:dyDescent="0.25">
      <c r="A72" s="10" t="s">
        <v>52</v>
      </c>
      <c r="B72" s="10" t="s">
        <v>169</v>
      </c>
      <c r="C72" s="10" t="s">
        <v>31</v>
      </c>
      <c r="D72" s="8">
        <f>Zone_Site_Means!$O$6</f>
        <v>2.8312222222222219</v>
      </c>
      <c r="E72" s="21">
        <f>D72*Parameters!$B$4*Parameters!$B$5</f>
        <v>2.8312222222222221E-6</v>
      </c>
      <c r="F72" s="21">
        <f>E72*Parameters!$C$9*Parameters!$C$10*Parameters!$C$11/(Parameters!$C$8*Parameters!$C$15)</f>
        <v>8.0892063492063473E-8</v>
      </c>
      <c r="G72" s="21">
        <f>E72*Parameters!$C$12*Parameters!$F$32*Parameters!$C$13*Parameters!$C$10*Parameters!$C$11*Parameters!$C$14/(Parameters!$C$8*Parameters!$C$15)</f>
        <v>1.8050133447681906E-8</v>
      </c>
      <c r="H72" s="21">
        <f>F72/Parameters!$B$32</f>
        <v>1.6178412698412694E-3</v>
      </c>
      <c r="I72" s="21">
        <f>G72/Parameters!$B$32</f>
        <v>3.6100266895363811E-4</v>
      </c>
      <c r="J72" s="21">
        <f t="shared" si="2"/>
        <v>1.9788439387949074E-3</v>
      </c>
      <c r="K72" s="21">
        <f>F72*Parameters!$C$15/Parameters!$C$16</f>
        <v>8.0892063492063459E-8</v>
      </c>
      <c r="L72" s="21">
        <f>G72*Parameters!$C$15/Parameters!$C$16</f>
        <v>1.8050133447681906E-8</v>
      </c>
      <c r="M72" s="21">
        <f>K72*Parameters!$C$32</f>
        <v>1.2942730158730154E-6</v>
      </c>
      <c r="N72" s="21">
        <f>L72*Parameters!$C$32</f>
        <v>2.8880213516291049E-7</v>
      </c>
      <c r="O72" s="21">
        <f t="shared" si="3"/>
        <v>1.5830751510359259E-6</v>
      </c>
    </row>
    <row r="73" spans="1:15" ht="15" customHeight="1" x14ac:dyDescent="0.25">
      <c r="A73" s="10" t="s">
        <v>52</v>
      </c>
      <c r="B73" s="10" t="s">
        <v>169</v>
      </c>
      <c r="C73" s="10" t="s">
        <v>32</v>
      </c>
      <c r="D73" s="8">
        <f>Zone_Site_Means!$P$6</f>
        <v>1.203111111111111</v>
      </c>
      <c r="E73" s="21">
        <f>D73*Parameters!$B$4*Parameters!$B$5</f>
        <v>1.203111111111111E-6</v>
      </c>
      <c r="F73" s="21">
        <f>E73*Parameters!$C$9*Parameters!$C$10*Parameters!$C$11/(Parameters!$C$8*Parameters!$C$15)</f>
        <v>3.4374603174603167E-8</v>
      </c>
      <c r="G73" s="21">
        <f>E73*Parameters!$C$12*Parameters!$F$33*Parameters!$C$13*Parameters!$C$10*Parameters!$C$11*Parameters!$C$14/(Parameters!$C$8*Parameters!$C$15)</f>
        <v>2.4508469779183988E-8</v>
      </c>
      <c r="H73" s="21">
        <f>F73/Parameters!$B$33</f>
        <v>6.8749206349206333E-5</v>
      </c>
      <c r="I73" s="21">
        <f>G73/Parameters!$B$33</f>
        <v>4.9016939558367976E-5</v>
      </c>
      <c r="J73" s="21">
        <f t="shared" si="2"/>
        <v>1.1776614590757431E-4</v>
      </c>
      <c r="K73" s="21">
        <f>F73*Parameters!$C$15/Parameters!$C$16</f>
        <v>3.4374603174603167E-8</v>
      </c>
      <c r="L73" s="21">
        <f>G73*Parameters!$C$15/Parameters!$C$16</f>
        <v>2.4508469779183991E-8</v>
      </c>
      <c r="M73" s="21">
        <f>K73*Parameters!$C$33</f>
        <v>1.5468571428571425E-7</v>
      </c>
      <c r="N73" s="21">
        <f>L73*Parameters!$C$33</f>
        <v>1.1028811400632796E-7</v>
      </c>
      <c r="O73" s="21">
        <f t="shared" si="3"/>
        <v>2.6497382829204223E-7</v>
      </c>
    </row>
    <row r="74" spans="1:15" ht="15" customHeight="1" x14ac:dyDescent="0.25">
      <c r="A74" s="10" t="s">
        <v>52</v>
      </c>
      <c r="B74" s="10" t="s">
        <v>169</v>
      </c>
      <c r="C74" s="10" t="s">
        <v>33</v>
      </c>
      <c r="D74" s="8">
        <f>Zone_Site_Means!$Q$6</f>
        <v>2.3713333333333333</v>
      </c>
      <c r="E74" s="21">
        <f>D74*Parameters!$B$4*Parameters!$B$5</f>
        <v>2.3713333333333335E-6</v>
      </c>
      <c r="F74" s="21">
        <f>E74*Parameters!$C$9*Parameters!$C$10*Parameters!$C$11/(Parameters!$C$8*Parameters!$C$15)</f>
        <v>6.7752380952380948E-8</v>
      </c>
      <c r="G74" s="21">
        <f>E74*Parameters!$C$12*Parameters!$F$34*Parameters!$C$13*Parameters!$C$10*Parameters!$C$11*Parameters!$C$14/(Parameters!$C$8*Parameters!$C$15)</f>
        <v>7.1647833850469175E-9</v>
      </c>
      <c r="H74" s="21">
        <f>F74/Parameters!$B$34</f>
        <v>5.2117216117216116E-3</v>
      </c>
      <c r="I74" s="21">
        <f>G74/Parameters!$B$34</f>
        <v>5.5113718346514753E-4</v>
      </c>
      <c r="J74" s="21">
        <f t="shared" si="2"/>
        <v>5.7628587951867594E-3</v>
      </c>
      <c r="K74" s="21">
        <f>F74*Parameters!$C$15/Parameters!$C$16</f>
        <v>6.7752380952380948E-8</v>
      </c>
      <c r="L74" s="21">
        <f>G74*Parameters!$C$15/Parameters!$C$16</f>
        <v>7.1647833850469175E-9</v>
      </c>
      <c r="M74" s="21">
        <f>K74*Parameters!$C$34</f>
        <v>6.1654666666666663E-7</v>
      </c>
      <c r="N74" s="21">
        <f>L74*Parameters!$C$34</f>
        <v>6.5199528803926947E-8</v>
      </c>
      <c r="O74" s="21">
        <f t="shared" si="3"/>
        <v>6.8174619547059355E-7</v>
      </c>
    </row>
    <row r="75" spans="1:15" ht="15" customHeight="1" x14ac:dyDescent="0.25">
      <c r="A75" s="10" t="s">
        <v>52</v>
      </c>
      <c r="B75" s="10" t="s">
        <v>170</v>
      </c>
      <c r="C75" s="10" t="s">
        <v>20</v>
      </c>
      <c r="D75" s="8">
        <f>Zone_Site_Means!$D$6</f>
        <v>3.3127777777777774</v>
      </c>
      <c r="E75" s="21">
        <f>D75*Parameters!$B$4*Parameters!$B$5</f>
        <v>3.3127777777777774E-6</v>
      </c>
      <c r="F75" s="21">
        <f>E75*Parameters!$D$9*Parameters!$D$10*Parameters!$D$11/(Parameters!$D$8*Parameters!$D$15)</f>
        <v>2.2085185185185184E-7</v>
      </c>
      <c r="G75" s="21">
        <f>E75*Parameters!$D$12*Parameters!$F$21*Parameters!$D$13*Parameters!$D$10*Parameters!$D$11*Parameters!$D$14/(Parameters!$D$8*Parameters!$D$15)</f>
        <v>7.2427080728822581E-7</v>
      </c>
      <c r="H75" s="21">
        <f>F75/Parameters!$B$21</f>
        <v>4.4170370370370365E-4</v>
      </c>
      <c r="I75" s="21">
        <f>G75/Parameters!$B$21</f>
        <v>1.4485416145764516E-3</v>
      </c>
      <c r="J75" s="21">
        <f t="shared" si="2"/>
        <v>1.8902453182801553E-3</v>
      </c>
      <c r="K75" s="21">
        <f>F75*Parameters!$D$15/Parameters!$D$16</f>
        <v>1.8930158730158728E-8</v>
      </c>
      <c r="L75" s="21">
        <f>G75*Parameters!$D$15/Parameters!$D$16</f>
        <v>6.2080354910419345E-8</v>
      </c>
      <c r="M75" s="21">
        <f>K75*Parameters!$C$21</f>
        <v>6.4362539682539682E-9</v>
      </c>
      <c r="N75" s="21">
        <f>L75*Parameters!$C$21</f>
        <v>2.1107320669542578E-8</v>
      </c>
      <c r="O75" s="21">
        <f t="shared" si="3"/>
        <v>2.7543574637796547E-8</v>
      </c>
    </row>
    <row r="76" spans="1:15" ht="15" customHeight="1" x14ac:dyDescent="0.25">
      <c r="A76" s="10" t="s">
        <v>52</v>
      </c>
      <c r="B76" s="10" t="s">
        <v>170</v>
      </c>
      <c r="C76" s="10" t="s">
        <v>21</v>
      </c>
      <c r="D76" s="8">
        <f>Zone_Site_Means!$E$6</f>
        <v>3.6304444444444437</v>
      </c>
      <c r="E76" s="21">
        <f>D76*Parameters!$B$4*Parameters!$B$5</f>
        <v>3.630444444444444E-6</v>
      </c>
      <c r="F76" s="21">
        <f>E76*Parameters!$D$9*Parameters!$D$10*Parameters!$D$11/(Parameters!$D$8*Parameters!$D$15)</f>
        <v>2.4202962962962959E-7</v>
      </c>
      <c r="G76" s="21">
        <f>E76*Parameters!$D$12*Parameters!$F$22*Parameters!$D$13*Parameters!$D$10*Parameters!$D$11*Parameters!$D$14/(Parameters!$D$8*Parameters!$D$15)</f>
        <v>9.5250764866123404E-7</v>
      </c>
      <c r="H76" s="21">
        <f>F76/Parameters!$B$22</f>
        <v>4.8405925925925914E-4</v>
      </c>
      <c r="I76" s="21">
        <f>G76/Parameters!$B$22</f>
        <v>1.905015297322468E-3</v>
      </c>
      <c r="J76" s="21">
        <f t="shared" si="2"/>
        <v>2.389074556581727E-3</v>
      </c>
      <c r="K76" s="21">
        <f>F76*Parameters!$D$15/Parameters!$D$16</f>
        <v>2.0745396825396823E-8</v>
      </c>
      <c r="L76" s="21">
        <f>G76*Parameters!$D$15/Parameters!$D$16</f>
        <v>8.1643512742391493E-8</v>
      </c>
      <c r="M76" s="21">
        <f>K76*Parameters!$C$22</f>
        <v>7.0534349206349204E-9</v>
      </c>
      <c r="N76" s="21">
        <f>L76*Parameters!$C$22</f>
        <v>2.7758794332413108E-8</v>
      </c>
      <c r="O76" s="21">
        <f t="shared" si="3"/>
        <v>3.4812229253048027E-8</v>
      </c>
    </row>
    <row r="77" spans="1:15" ht="15" customHeight="1" x14ac:dyDescent="0.25">
      <c r="A77" s="10" t="s">
        <v>52</v>
      </c>
      <c r="B77" s="10" t="s">
        <v>170</v>
      </c>
      <c r="C77" s="10" t="s">
        <v>22</v>
      </c>
      <c r="D77" s="8">
        <f>Zone_Site_Means!$F$6</f>
        <v>2.0500000000000003</v>
      </c>
      <c r="E77" s="21">
        <f>D77*Parameters!$B$4*Parameters!$B$5</f>
        <v>2.0500000000000003E-6</v>
      </c>
      <c r="F77" s="21">
        <f>E77*Parameters!$D$9*Parameters!$D$10*Parameters!$D$11/(Parameters!$D$8*Parameters!$D$15)</f>
        <v>1.3666666666666667E-7</v>
      </c>
      <c r="G77" s="21">
        <f>E77*Parameters!$D$12*Parameters!$F$23*Parameters!$D$13*Parameters!$D$10*Parameters!$D$11*Parameters!$D$14/(Parameters!$D$8*Parameters!$D$15)</f>
        <v>1.72656342831151E-7</v>
      </c>
      <c r="H77" s="21">
        <f>F77/Parameters!$B$23</f>
        <v>2.7333333333333333E-4</v>
      </c>
      <c r="I77" s="21">
        <f>G77/Parameters!$B$23</f>
        <v>3.4531268566230202E-4</v>
      </c>
      <c r="J77" s="21">
        <f t="shared" si="2"/>
        <v>6.186460189956354E-4</v>
      </c>
      <c r="K77" s="21">
        <f>F77*Parameters!$D$15/Parameters!$D$16</f>
        <v>1.1714285714285715E-8</v>
      </c>
      <c r="L77" s="21">
        <f>G77*Parameters!$D$15/Parameters!$D$16</f>
        <v>1.4799115099812944E-8</v>
      </c>
      <c r="M77" s="21">
        <f>K77*Parameters!$C$23</f>
        <v>3.9828571428571432E-9</v>
      </c>
      <c r="N77" s="21">
        <f>L77*Parameters!$C$23</f>
        <v>5.0316991339364015E-9</v>
      </c>
      <c r="O77" s="21">
        <f t="shared" si="3"/>
        <v>9.0145562767935447E-9</v>
      </c>
    </row>
    <row r="78" spans="1:15" ht="15" customHeight="1" x14ac:dyDescent="0.25">
      <c r="A78" s="10" t="s">
        <v>52</v>
      </c>
      <c r="B78" s="10" t="s">
        <v>170</v>
      </c>
      <c r="C78" s="10" t="s">
        <v>23</v>
      </c>
      <c r="D78" s="8">
        <f>Zone_Site_Means!$G$6</f>
        <v>3.7487777777777782</v>
      </c>
      <c r="E78" s="21">
        <f>D78*Parameters!$B$4*Parameters!$B$5</f>
        <v>3.7487777777777784E-6</v>
      </c>
      <c r="F78" s="21">
        <f>E78*Parameters!$D$9*Parameters!$D$10*Parameters!$D$11/(Parameters!$D$8*Parameters!$D$15)</f>
        <v>2.4991851851851855E-7</v>
      </c>
      <c r="G78" s="21">
        <f>E78*Parameters!$D$12*Parameters!$F$24*Parameters!$D$13*Parameters!$D$10*Parameters!$D$11*Parameters!$D$14/(Parameters!$D$8*Parameters!$D$15)</f>
        <v>3.9656864491403475E-7</v>
      </c>
      <c r="H78" s="21">
        <f>F78/Parameters!$B$24</f>
        <v>4.9983703703703711E-4</v>
      </c>
      <c r="I78" s="21">
        <f>G78/Parameters!$B$24</f>
        <v>7.931372898280695E-4</v>
      </c>
      <c r="J78" s="21">
        <f t="shared" si="2"/>
        <v>1.2929743268651067E-3</v>
      </c>
      <c r="K78" s="21">
        <f>F78*Parameters!$D$15/Parameters!$D$16</f>
        <v>2.1421587301587304E-8</v>
      </c>
      <c r="L78" s="21">
        <f>G78*Parameters!$D$15/Parameters!$D$16</f>
        <v>3.3991598135488692E-8</v>
      </c>
      <c r="M78" s="21">
        <f>K78*Parameters!$C$24</f>
        <v>7.2833396825396836E-9</v>
      </c>
      <c r="N78" s="21">
        <f>L78*Parameters!$C$24</f>
        <v>1.1557143366066156E-8</v>
      </c>
      <c r="O78" s="21">
        <f t="shared" si="3"/>
        <v>1.8840483048605841E-8</v>
      </c>
    </row>
    <row r="79" spans="1:15" ht="15" customHeight="1" x14ac:dyDescent="0.25">
      <c r="A79" s="10" t="s">
        <v>52</v>
      </c>
      <c r="B79" s="10" t="s">
        <v>170</v>
      </c>
      <c r="C79" s="10" t="s">
        <v>24</v>
      </c>
      <c r="D79" s="8">
        <f>Zone_Site_Means!$H$6</f>
        <v>5.772222222222223</v>
      </c>
      <c r="E79" s="21">
        <f>D79*Parameters!$B$4*Parameters!$B$5</f>
        <v>5.7722222222222232E-6</v>
      </c>
      <c r="F79" s="21">
        <f>E79*Parameters!$D$9*Parameters!$D$10*Parameters!$D$11/(Parameters!$D$8*Parameters!$D$15)</f>
        <v>3.8481481481481489E-7</v>
      </c>
      <c r="G79" s="21">
        <f>E79*Parameters!$D$12*Parameters!$F$25*Parameters!$D$13*Parameters!$D$10*Parameters!$D$11*Parameters!$D$14/(Parameters!$D$8*Parameters!$D$15)</f>
        <v>6.078938069532276E-7</v>
      </c>
      <c r="H79" s="21">
        <f>F79/Parameters!$B$25</f>
        <v>7.6962962962962976E-4</v>
      </c>
      <c r="I79" s="21">
        <f>G79/Parameters!$B$25</f>
        <v>1.2157876139064553E-3</v>
      </c>
      <c r="J79" s="21">
        <f t="shared" si="2"/>
        <v>1.9854172435360851E-3</v>
      </c>
      <c r="K79" s="21">
        <f>F79*Parameters!$D$15/Parameters!$D$16</f>
        <v>3.298412698412699E-8</v>
      </c>
      <c r="L79" s="21">
        <f>G79*Parameters!$D$15/Parameters!$D$16</f>
        <v>5.2105183453133792E-8</v>
      </c>
      <c r="M79" s="21">
        <f>K79*Parameters!$C$25</f>
        <v>1.1214603174603177E-8</v>
      </c>
      <c r="N79" s="21">
        <f>L79*Parameters!$C$25</f>
        <v>1.7715762374065491E-8</v>
      </c>
      <c r="O79" s="21">
        <f t="shared" si="3"/>
        <v>2.8930365548668668E-8</v>
      </c>
    </row>
    <row r="80" spans="1:15" ht="15" customHeight="1" x14ac:dyDescent="0.25">
      <c r="A80" s="10" t="s">
        <v>52</v>
      </c>
      <c r="B80" s="10" t="s">
        <v>170</v>
      </c>
      <c r="C80" s="10" t="s">
        <v>25</v>
      </c>
      <c r="D80" s="8">
        <f>Zone_Site_Means!$I$6</f>
        <v>12.331777777777779</v>
      </c>
      <c r="E80" s="21">
        <f>D80*Parameters!$B$4*Parameters!$B$5</f>
        <v>1.2331777777777778E-5</v>
      </c>
      <c r="F80" s="21">
        <f>E80*Parameters!$D$9*Parameters!$D$10*Parameters!$D$11/(Parameters!$D$8*Parameters!$D$15)</f>
        <v>8.2211851851851861E-7</v>
      </c>
      <c r="G80" s="21">
        <f>E80*Parameters!$D$12*Parameters!$F$26*Parameters!$D$13*Parameters!$D$10*Parameters!$D$11*Parameters!$D$14/(Parameters!$D$8*Parameters!$D$15)</f>
        <v>2.819099253012085E-6</v>
      </c>
      <c r="H80" s="21">
        <f>F80/Parameters!$B$26</f>
        <v>1.6442370370370373E-3</v>
      </c>
      <c r="I80" s="21">
        <f>G80/Parameters!$B$26</f>
        <v>5.6381985060241701E-3</v>
      </c>
      <c r="J80" s="21">
        <f t="shared" si="2"/>
        <v>7.2824355430612074E-3</v>
      </c>
      <c r="K80" s="21">
        <f>F80*Parameters!$D$15/Parameters!$D$16</f>
        <v>7.0467301587301595E-8</v>
      </c>
      <c r="L80" s="21">
        <f>G80*Parameters!$D$15/Parameters!$D$16</f>
        <v>2.4163707882960728E-7</v>
      </c>
      <c r="M80" s="21">
        <f>K80*Parameters!$C$26</f>
        <v>2.3958882539682544E-8</v>
      </c>
      <c r="N80" s="21">
        <f>L80*Parameters!$C$26</f>
        <v>8.2156606802066482E-8</v>
      </c>
      <c r="O80" s="21">
        <f t="shared" si="3"/>
        <v>1.0611548934174903E-7</v>
      </c>
    </row>
    <row r="81" spans="1:15" ht="15" customHeight="1" x14ac:dyDescent="0.25">
      <c r="A81" s="10" t="s">
        <v>52</v>
      </c>
      <c r="B81" s="10" t="s">
        <v>170</v>
      </c>
      <c r="C81" s="10" t="s">
        <v>26</v>
      </c>
      <c r="D81" s="8">
        <f>Zone_Site_Means!$J$6</f>
        <v>3.4182222222222216</v>
      </c>
      <c r="E81" s="21">
        <f>D81*Parameters!$B$4*Parameters!$B$5</f>
        <v>3.4182222222222217E-6</v>
      </c>
      <c r="F81" s="21">
        <f>E81*Parameters!$D$9*Parameters!$D$10*Parameters!$D$11/(Parameters!$D$8*Parameters!$D$15)</f>
        <v>2.2788148148148145E-7</v>
      </c>
      <c r="G81" s="21">
        <f>E81*Parameters!$D$12*Parameters!$F$27*Parameters!$D$13*Parameters!$D$10*Parameters!$D$11*Parameters!$D$14/(Parameters!$D$8*Parameters!$D$15)</f>
        <v>1.8055310843922822E-8</v>
      </c>
      <c r="H81" s="21">
        <f>F81/Parameters!$B$27</f>
        <v>7.5960493827160493E-4</v>
      </c>
      <c r="I81" s="21">
        <f>G81/Parameters!$B$27</f>
        <v>6.0184369479742745E-5</v>
      </c>
      <c r="J81" s="21">
        <f t="shared" si="2"/>
        <v>8.1978930775134765E-4</v>
      </c>
      <c r="K81" s="21">
        <f>F81*Parameters!$D$15/Parameters!$D$16</f>
        <v>1.953269841269841E-8</v>
      </c>
      <c r="L81" s="21">
        <f>G81*Parameters!$D$15/Parameters!$D$16</f>
        <v>1.547598072336242E-9</v>
      </c>
      <c r="M81" s="21">
        <f>K81*Parameters!$C$27</f>
        <v>1.2305599999999999E-7</v>
      </c>
      <c r="N81" s="21">
        <f>L81*Parameters!$C$27</f>
        <v>9.7498678557183241E-9</v>
      </c>
      <c r="O81" s="21">
        <f t="shared" si="3"/>
        <v>1.3280586785571832E-7</v>
      </c>
    </row>
    <row r="82" spans="1:15" ht="15" customHeight="1" x14ac:dyDescent="0.25">
      <c r="A82" s="10" t="s">
        <v>52</v>
      </c>
      <c r="B82" s="10" t="s">
        <v>170</v>
      </c>
      <c r="C82" s="10" t="s">
        <v>27</v>
      </c>
      <c r="D82" s="8">
        <f>Zone_Site_Means!$K$6</f>
        <v>6.3920000000000003</v>
      </c>
      <c r="E82" s="21">
        <f>D82*Parameters!$B$4*Parameters!$B$5</f>
        <v>6.392E-6</v>
      </c>
      <c r="F82" s="21">
        <f>E82*Parameters!$D$9*Parameters!$D$10*Parameters!$D$11/(Parameters!$D$8*Parameters!$D$15)</f>
        <v>4.2613333333333334E-7</v>
      </c>
      <c r="G82" s="21">
        <f>E82*Parameters!$D$12*Parameters!$F$28*Parameters!$D$13*Parameters!$D$10*Parameters!$D$11*Parameters!$D$14/(Parameters!$D$8*Parameters!$D$15)</f>
        <v>3.2752272810262951E-8</v>
      </c>
      <c r="H82" s="21">
        <f>F82/Parameters!$B$28</f>
        <v>1.4204444444444447E-3</v>
      </c>
      <c r="I82" s="21">
        <f>G82/Parameters!$B$28</f>
        <v>1.0917424270087651E-4</v>
      </c>
      <c r="J82" s="21">
        <f t="shared" si="2"/>
        <v>1.5296186871453211E-3</v>
      </c>
      <c r="K82" s="21">
        <f>F82*Parameters!$D$15/Parameters!$D$16</f>
        <v>3.6525714285714285E-8</v>
      </c>
      <c r="L82" s="21">
        <f>G82*Parameters!$D$15/Parameters!$D$16</f>
        <v>2.8073376694511099E-9</v>
      </c>
      <c r="M82" s="21">
        <f>K82*Parameters!$C$28</f>
        <v>6.5746285714285719E-8</v>
      </c>
      <c r="N82" s="21">
        <f>L82*Parameters!$C$28</f>
        <v>5.0532078050119981E-9</v>
      </c>
      <c r="O82" s="21">
        <f t="shared" si="3"/>
        <v>7.0799493519297714E-8</v>
      </c>
    </row>
    <row r="83" spans="1:15" ht="15" customHeight="1" x14ac:dyDescent="0.25">
      <c r="A83" s="10" t="s">
        <v>52</v>
      </c>
      <c r="B83" s="10" t="s">
        <v>170</v>
      </c>
      <c r="C83" s="10" t="s">
        <v>28</v>
      </c>
      <c r="D83" s="8">
        <f>Zone_Site_Means!$L$6</f>
        <v>0.8703333333333334</v>
      </c>
      <c r="E83" s="21">
        <f>D83*Parameters!$B$4*Parameters!$B$5</f>
        <v>8.7033333333333346E-7</v>
      </c>
      <c r="F83" s="21">
        <f>E83*Parameters!$D$9*Parameters!$D$10*Parameters!$D$11/(Parameters!$D$8*Parameters!$D$15)</f>
        <v>5.802222222222223E-8</v>
      </c>
      <c r="G83" s="21">
        <f>E83*Parameters!$D$12*Parameters!$F$29*Parameters!$D$13*Parameters!$D$10*Parameters!$D$11*Parameters!$D$14/(Parameters!$D$8*Parameters!$D$15)</f>
        <v>4.070898681567298E-9</v>
      </c>
      <c r="H83" s="21">
        <f>F83/Parameters!$B$29</f>
        <v>1.9340740740740744E-4</v>
      </c>
      <c r="I83" s="21">
        <f>G83/Parameters!$B$29</f>
        <v>1.3569662271890994E-5</v>
      </c>
      <c r="J83" s="21">
        <f t="shared" si="2"/>
        <v>2.0697706967929844E-4</v>
      </c>
      <c r="K83" s="21">
        <f>F83*Parameters!$D$15/Parameters!$D$16</f>
        <v>4.9733333333333335E-9</v>
      </c>
      <c r="L83" s="21">
        <f>G83*Parameters!$D$15/Parameters!$D$16</f>
        <v>3.4893417270576845E-10</v>
      </c>
      <c r="M83" s="21">
        <f>K83*Parameters!$C$29</f>
        <v>6.4653333333333338E-9</v>
      </c>
      <c r="N83" s="21">
        <f>L83*Parameters!$C$29</f>
        <v>4.53614424517499E-10</v>
      </c>
      <c r="O83" s="21">
        <f t="shared" si="3"/>
        <v>6.9189477578508329E-9</v>
      </c>
    </row>
    <row r="84" spans="1:15" ht="15" customHeight="1" x14ac:dyDescent="0.25">
      <c r="A84" s="10" t="s">
        <v>52</v>
      </c>
      <c r="B84" s="10" t="s">
        <v>170</v>
      </c>
      <c r="C84" s="10" t="s">
        <v>29</v>
      </c>
      <c r="D84" s="8">
        <f>Zone_Site_Means!$M$6</f>
        <v>2.0175222222222224</v>
      </c>
      <c r="E84" s="21">
        <f>D84*Parameters!$B$4*Parameters!$B$5</f>
        <v>2.0175222222222222E-6</v>
      </c>
      <c r="F84" s="21">
        <f>E84*Parameters!$D$9*Parameters!$D$10*Parameters!$D$11/(Parameters!$D$8*Parameters!$D$15)</f>
        <v>1.3450148148148147E-7</v>
      </c>
      <c r="G84" s="21">
        <f>E84*Parameters!$D$12*Parameters!$F$30*Parameters!$D$13*Parameters!$D$10*Parameters!$D$11*Parameters!$D$14/(Parameters!$D$8*Parameters!$D$15)</f>
        <v>1.7865822031321633E-8</v>
      </c>
      <c r="H84" s="21">
        <f>F84/Parameters!$B$30</f>
        <v>4.483382716049383E-4</v>
      </c>
      <c r="I84" s="21">
        <f>G84/Parameters!$B$30</f>
        <v>5.955274010440545E-5</v>
      </c>
      <c r="J84" s="21">
        <f t="shared" si="2"/>
        <v>5.0789101170934379E-4</v>
      </c>
      <c r="K84" s="21">
        <f>F84*Parameters!$D$15/Parameters!$D$16</f>
        <v>1.1528698412698412E-8</v>
      </c>
      <c r="L84" s="21">
        <f>G84*Parameters!$D$15/Parameters!$D$16</f>
        <v>1.5313561741132826E-9</v>
      </c>
      <c r="M84" s="21">
        <f>K84*Parameters!$C$30</f>
        <v>0</v>
      </c>
      <c r="N84" s="21">
        <f>L84*Parameters!$C$30</f>
        <v>0</v>
      </c>
      <c r="O84" s="21">
        <f t="shared" si="3"/>
        <v>0</v>
      </c>
    </row>
    <row r="85" spans="1:15" ht="15" customHeight="1" x14ac:dyDescent="0.25">
      <c r="A85" s="10" t="s">
        <v>52</v>
      </c>
      <c r="B85" s="10" t="s">
        <v>170</v>
      </c>
      <c r="C85" s="10" t="s">
        <v>30</v>
      </c>
      <c r="D85" s="8">
        <f>Zone_Site_Means!$N$6</f>
        <v>1.1774355634497731</v>
      </c>
      <c r="E85" s="21">
        <f>D85*Parameters!$B$4*Parameters!$B$5</f>
        <v>1.1774355634497731E-6</v>
      </c>
      <c r="F85" s="21">
        <f>E85*Parameters!$D$9*Parameters!$D$10*Parameters!$D$11/(Parameters!$D$8*Parameters!$D$15)</f>
        <v>7.8495704229984879E-8</v>
      </c>
      <c r="G85" s="21">
        <f>E85*Parameters!$D$12*Parameters!$F$31*Parameters!$D$13*Parameters!$D$10*Parameters!$D$11*Parameters!$D$14/(Parameters!$D$8*Parameters!$D$15)</f>
        <v>1.4484177076806026E-7</v>
      </c>
      <c r="H85" s="21">
        <f>F85/Parameters!$B$31</f>
        <v>2.616523474332829E-3</v>
      </c>
      <c r="I85" s="21">
        <f>G85/Parameters!$B$31</f>
        <v>4.8280590256020084E-3</v>
      </c>
      <c r="J85" s="21">
        <f t="shared" si="2"/>
        <v>7.4445824999348374E-3</v>
      </c>
      <c r="K85" s="21">
        <f>F85*Parameters!$D$15/Parameters!$D$16</f>
        <v>6.7282032197129897E-9</v>
      </c>
      <c r="L85" s="21">
        <f>G85*Parameters!$D$15/Parameters!$D$16</f>
        <v>1.2415008922976593E-8</v>
      </c>
      <c r="M85" s="21">
        <f>K85*Parameters!$C$31</f>
        <v>1.1437945473512082E-7</v>
      </c>
      <c r="N85" s="21">
        <f>L85*Parameters!$C$31</f>
        <v>2.1105515169060208E-7</v>
      </c>
      <c r="O85" s="21">
        <f t="shared" si="3"/>
        <v>3.2543460642572289E-7</v>
      </c>
    </row>
    <row r="86" spans="1:15" ht="15" customHeight="1" x14ac:dyDescent="0.25">
      <c r="A86" s="10" t="s">
        <v>52</v>
      </c>
      <c r="B86" s="10" t="s">
        <v>170</v>
      </c>
      <c r="C86" s="10" t="s">
        <v>31</v>
      </c>
      <c r="D86" s="8">
        <f>Zone_Site_Means!$O$6</f>
        <v>2.8312222222222219</v>
      </c>
      <c r="E86" s="21">
        <f>D86*Parameters!$B$4*Parameters!$B$5</f>
        <v>2.8312222222222221E-6</v>
      </c>
      <c r="F86" s="21">
        <f>E86*Parameters!$D$9*Parameters!$D$10*Parameters!$D$11/(Parameters!$D$8*Parameters!$D$15)</f>
        <v>1.8874814814814813E-7</v>
      </c>
      <c r="G86" s="21">
        <f>E86*Parameters!$D$12*Parameters!$F$32*Parameters!$D$13*Parameters!$D$10*Parameters!$D$11*Parameters!$D$14/(Parameters!$D$8*Parameters!$D$15)</f>
        <v>5.3251351550632443E-8</v>
      </c>
      <c r="H86" s="21">
        <f>F86/Parameters!$B$32</f>
        <v>3.7749629629629622E-3</v>
      </c>
      <c r="I86" s="21">
        <f>G86/Parameters!$B$32</f>
        <v>1.0650270310126489E-3</v>
      </c>
      <c r="J86" s="21">
        <f t="shared" si="2"/>
        <v>4.8399899939756113E-3</v>
      </c>
      <c r="K86" s="21">
        <f>F86*Parameters!$D$15/Parameters!$D$16</f>
        <v>1.6178412698412699E-8</v>
      </c>
      <c r="L86" s="21">
        <f>G86*Parameters!$D$15/Parameters!$D$16</f>
        <v>4.5644015614827808E-9</v>
      </c>
      <c r="M86" s="21">
        <f>K86*Parameters!$C$32</f>
        <v>2.5885460317460318E-7</v>
      </c>
      <c r="N86" s="21">
        <f>L86*Parameters!$C$32</f>
        <v>7.3030424983724493E-8</v>
      </c>
      <c r="O86" s="21">
        <f t="shared" si="3"/>
        <v>3.3188502815832767E-7</v>
      </c>
    </row>
    <row r="87" spans="1:15" ht="15" customHeight="1" x14ac:dyDescent="0.25">
      <c r="A87" s="10" t="s">
        <v>52</v>
      </c>
      <c r="B87" s="10" t="s">
        <v>170</v>
      </c>
      <c r="C87" s="10" t="s">
        <v>32</v>
      </c>
      <c r="D87" s="8">
        <f>Zone_Site_Means!$P$6</f>
        <v>1.203111111111111</v>
      </c>
      <c r="E87" s="21">
        <f>D87*Parameters!$B$4*Parameters!$B$5</f>
        <v>1.203111111111111E-6</v>
      </c>
      <c r="F87" s="21">
        <f>E87*Parameters!$D$9*Parameters!$D$10*Parameters!$D$11/(Parameters!$D$8*Parameters!$D$15)</f>
        <v>8.0207407407407395E-8</v>
      </c>
      <c r="G87" s="21">
        <f>E87*Parameters!$D$12*Parameters!$F$33*Parameters!$D$13*Parameters!$D$10*Parameters!$D$11*Parameters!$D$14/(Parameters!$D$8*Parameters!$D$15)</f>
        <v>7.2304680957745886E-8</v>
      </c>
      <c r="H87" s="21">
        <f>F87/Parameters!$B$33</f>
        <v>1.6041481481481479E-4</v>
      </c>
      <c r="I87" s="21">
        <f>G87/Parameters!$B$33</f>
        <v>1.4460936191549177E-4</v>
      </c>
      <c r="J87" s="21">
        <f t="shared" si="2"/>
        <v>3.0502417673030659E-4</v>
      </c>
      <c r="K87" s="21">
        <f>F87*Parameters!$D$15/Parameters!$D$16</f>
        <v>6.8749206349206338E-9</v>
      </c>
      <c r="L87" s="21">
        <f>G87*Parameters!$D$15/Parameters!$D$16</f>
        <v>6.197544082092504E-9</v>
      </c>
      <c r="M87" s="21">
        <f>K87*Parameters!$C$33</f>
        <v>3.0937142857142855E-8</v>
      </c>
      <c r="N87" s="21">
        <f>L87*Parameters!$C$33</f>
        <v>2.7888948369416267E-8</v>
      </c>
      <c r="O87" s="21">
        <f t="shared" si="3"/>
        <v>5.8826091226559118E-8</v>
      </c>
    </row>
    <row r="88" spans="1:15" ht="15" customHeight="1" x14ac:dyDescent="0.25">
      <c r="A88" s="10" t="s">
        <v>52</v>
      </c>
      <c r="B88" s="10" t="s">
        <v>170</v>
      </c>
      <c r="C88" s="10" t="s">
        <v>33</v>
      </c>
      <c r="D88" s="8">
        <f>Zone_Site_Means!$Q$6</f>
        <v>2.3713333333333333</v>
      </c>
      <c r="E88" s="21">
        <f>D88*Parameters!$B$4*Parameters!$B$5</f>
        <v>2.3713333333333335E-6</v>
      </c>
      <c r="F88" s="21">
        <f>E88*Parameters!$D$9*Parameters!$D$10*Parameters!$D$11/(Parameters!$D$8*Parameters!$D$15)</f>
        <v>1.5808888888888889E-7</v>
      </c>
      <c r="G88" s="21">
        <f>E88*Parameters!$D$12*Parameters!$F$34*Parameters!$D$13*Parameters!$D$10*Parameters!$D$11*Parameters!$D$14/(Parameters!$D$8*Parameters!$D$15)</f>
        <v>2.1137483549755271E-8</v>
      </c>
      <c r="H88" s="21">
        <f>F88/Parameters!$B$34</f>
        <v>1.2160683760683761E-2</v>
      </c>
      <c r="I88" s="21">
        <f>G88/Parameters!$B$34</f>
        <v>1.6259602730580979E-3</v>
      </c>
      <c r="J88" s="21">
        <f t="shared" si="2"/>
        <v>1.3786644033741859E-2</v>
      </c>
      <c r="K88" s="21">
        <f>F88*Parameters!$D$15/Parameters!$D$16</f>
        <v>1.355047619047619E-8</v>
      </c>
      <c r="L88" s="21">
        <f>G88*Parameters!$D$15/Parameters!$D$16</f>
        <v>1.8117843042647375E-9</v>
      </c>
      <c r="M88" s="21">
        <f>K88*Parameters!$C$34</f>
        <v>1.2330933333333333E-7</v>
      </c>
      <c r="N88" s="21">
        <f>L88*Parameters!$C$34</f>
        <v>1.648723716880911E-8</v>
      </c>
      <c r="O88" s="21">
        <f t="shared" si="3"/>
        <v>1.3979657050214243E-7</v>
      </c>
    </row>
    <row r="89" spans="1:15" ht="15" customHeight="1" x14ac:dyDescent="0.25">
      <c r="A89" s="10" t="s">
        <v>65</v>
      </c>
      <c r="B89" s="10" t="s">
        <v>169</v>
      </c>
      <c r="C89" s="10" t="s">
        <v>20</v>
      </c>
      <c r="D89" s="8">
        <f>Zone_Site_Means!$D$7</f>
        <v>6.1028666666666664</v>
      </c>
      <c r="E89" s="21">
        <f>D89*Parameters!$B$4*Parameters!$B$5</f>
        <v>6.1028666666666662E-6</v>
      </c>
      <c r="F89" s="21">
        <f>E89*Parameters!$C$9*Parameters!$C$10*Parameters!$C$11/(Parameters!$C$8*Parameters!$C$15)</f>
        <v>1.7436761904761904E-7</v>
      </c>
      <c r="G89" s="21">
        <f>E89*Parameters!$C$12*Parameters!$F$21*Parameters!$C$13*Parameters!$C$10*Parameters!$C$11*Parameters!$C$14/(Parameters!$C$8*Parameters!$C$15)</f>
        <v>4.5226433418698311E-7</v>
      </c>
      <c r="H89" s="21">
        <f>F89/Parameters!$B$21</f>
        <v>3.4873523809523805E-4</v>
      </c>
      <c r="I89" s="21">
        <f>G89/Parameters!$B$21</f>
        <v>9.0452866837396624E-4</v>
      </c>
      <c r="J89" s="21">
        <f t="shared" si="2"/>
        <v>1.2532639064692043E-3</v>
      </c>
      <c r="K89" s="21">
        <f>F89*Parameters!$C$15/Parameters!$C$16</f>
        <v>1.7436761904761904E-7</v>
      </c>
      <c r="L89" s="21">
        <f>G89*Parameters!$C$15/Parameters!$C$16</f>
        <v>4.5226433418698311E-7</v>
      </c>
      <c r="M89" s="21">
        <f>K89*Parameters!$C$21</f>
        <v>5.9284990476190476E-8</v>
      </c>
      <c r="N89" s="21">
        <f>L89*Parameters!$C$21</f>
        <v>1.5376987362357427E-7</v>
      </c>
      <c r="O89" s="21">
        <f t="shared" si="3"/>
        <v>2.1305486409976474E-7</v>
      </c>
    </row>
    <row r="90" spans="1:15" ht="15" customHeight="1" x14ac:dyDescent="0.25">
      <c r="A90" s="10" t="s">
        <v>65</v>
      </c>
      <c r="B90" s="10" t="s">
        <v>169</v>
      </c>
      <c r="C90" s="10" t="s">
        <v>21</v>
      </c>
      <c r="D90" s="8">
        <f>Zone_Site_Means!$E$7</f>
        <v>7.3476799999999995</v>
      </c>
      <c r="E90" s="21">
        <f>D90*Parameters!$B$4*Parameters!$B$5</f>
        <v>7.3476799999999994E-6</v>
      </c>
      <c r="F90" s="21">
        <f>E90*Parameters!$C$9*Parameters!$C$10*Parameters!$C$11/(Parameters!$C$8*Parameters!$C$15)</f>
        <v>2.099337142857143E-7</v>
      </c>
      <c r="G90" s="21">
        <f>E90*Parameters!$C$12*Parameters!$F$22*Parameters!$C$13*Parameters!$C$10*Parameters!$C$11*Parameters!$C$14/(Parameters!$C$8*Parameters!$C$15)</f>
        <v>6.5344447860766816E-7</v>
      </c>
      <c r="H90" s="21">
        <f>F90/Parameters!$B$22</f>
        <v>4.198674285714286E-4</v>
      </c>
      <c r="I90" s="21">
        <f>G90/Parameters!$B$22</f>
        <v>1.3068889572153363E-3</v>
      </c>
      <c r="J90" s="21">
        <f t="shared" si="2"/>
        <v>1.7267563857867648E-3</v>
      </c>
      <c r="K90" s="21">
        <f>F90*Parameters!$C$15/Parameters!$C$16</f>
        <v>2.099337142857143E-7</v>
      </c>
      <c r="L90" s="21">
        <f>G90*Parameters!$C$15/Parameters!$C$16</f>
        <v>6.5344447860766816E-7</v>
      </c>
      <c r="M90" s="21">
        <f>K90*Parameters!$C$22</f>
        <v>7.1377462857142867E-8</v>
      </c>
      <c r="N90" s="21">
        <f>L90*Parameters!$C$22</f>
        <v>2.2217112272660718E-7</v>
      </c>
      <c r="O90" s="21">
        <f t="shared" si="3"/>
        <v>2.9354858558375005E-7</v>
      </c>
    </row>
    <row r="91" spans="1:15" ht="15" customHeight="1" x14ac:dyDescent="0.25">
      <c r="A91" s="10" t="s">
        <v>65</v>
      </c>
      <c r="B91" s="10" t="s">
        <v>169</v>
      </c>
      <c r="C91" s="10" t="s">
        <v>22</v>
      </c>
      <c r="D91" s="8">
        <f>Zone_Site_Means!$F$7</f>
        <v>5.9378000000000002</v>
      </c>
      <c r="E91" s="21">
        <f>D91*Parameters!$B$4*Parameters!$B$5</f>
        <v>5.9378000000000001E-6</v>
      </c>
      <c r="F91" s="21">
        <f>E91*Parameters!$C$9*Parameters!$C$10*Parameters!$C$11/(Parameters!$C$8*Parameters!$C$15)</f>
        <v>1.6965142857142855E-7</v>
      </c>
      <c r="G91" s="21">
        <f>E91*Parameters!$C$12*Parameters!$F$23*Parameters!$C$13*Parameters!$C$10*Parameters!$C$11*Parameters!$C$14/(Parameters!$C$8*Parameters!$C$15)</f>
        <v>1.695133958015793E-7</v>
      </c>
      <c r="H91" s="21">
        <f>F91/Parameters!$B$23</f>
        <v>3.3930285714285711E-4</v>
      </c>
      <c r="I91" s="21">
        <f>G91/Parameters!$B$23</f>
        <v>3.390267916031586E-4</v>
      </c>
      <c r="J91" s="21">
        <f t="shared" si="2"/>
        <v>6.7832964874601576E-4</v>
      </c>
      <c r="K91" s="21">
        <f>F91*Parameters!$C$15/Parameters!$C$16</f>
        <v>1.6965142857142858E-7</v>
      </c>
      <c r="L91" s="21">
        <f>G91*Parameters!$C$15/Parameters!$C$16</f>
        <v>1.695133958015793E-7</v>
      </c>
      <c r="M91" s="21">
        <f>K91*Parameters!$C$23</f>
        <v>5.7681485714285717E-8</v>
      </c>
      <c r="N91" s="21">
        <f>L91*Parameters!$C$23</f>
        <v>5.7634554572536968E-8</v>
      </c>
      <c r="O91" s="21">
        <f t="shared" si="3"/>
        <v>1.1531604028682268E-7</v>
      </c>
    </row>
    <row r="92" spans="1:15" ht="15" customHeight="1" x14ac:dyDescent="0.25">
      <c r="A92" s="10" t="s">
        <v>65</v>
      </c>
      <c r="B92" s="10" t="s">
        <v>169</v>
      </c>
      <c r="C92" s="10" t="s">
        <v>23</v>
      </c>
      <c r="D92" s="8">
        <f>Zone_Site_Means!$G$7</f>
        <v>6.7560000000000002</v>
      </c>
      <c r="E92" s="21">
        <f>D92*Parameters!$B$4*Parameters!$B$5</f>
        <v>6.756000000000001E-6</v>
      </c>
      <c r="F92" s="21">
        <f>E92*Parameters!$C$9*Parameters!$C$10*Parameters!$C$11/(Parameters!$C$8*Parameters!$C$15)</f>
        <v>1.9302857142857144E-7</v>
      </c>
      <c r="G92" s="21">
        <f>E92*Parameters!$C$12*Parameters!$F$24*Parameters!$C$13*Parameters!$C$10*Parameters!$C$11*Parameters!$C$14/(Parameters!$C$8*Parameters!$C$15)</f>
        <v>2.4225240627063918E-7</v>
      </c>
      <c r="H92" s="21">
        <f>F92/Parameters!$B$24</f>
        <v>3.8605714285714287E-4</v>
      </c>
      <c r="I92" s="21">
        <f>G92/Parameters!$B$24</f>
        <v>4.8450481254127837E-4</v>
      </c>
      <c r="J92" s="21">
        <f t="shared" si="2"/>
        <v>8.7056195539842124E-4</v>
      </c>
      <c r="K92" s="21">
        <f>F92*Parameters!$C$15/Parameters!$C$16</f>
        <v>1.9302857142857144E-7</v>
      </c>
      <c r="L92" s="21">
        <f>G92*Parameters!$C$15/Parameters!$C$16</f>
        <v>2.4225240627063918E-7</v>
      </c>
      <c r="M92" s="21">
        <f>K92*Parameters!$C$24</f>
        <v>6.5629714285714292E-8</v>
      </c>
      <c r="N92" s="21">
        <f>L92*Parameters!$C$24</f>
        <v>8.2365818132017324E-8</v>
      </c>
      <c r="O92" s="21">
        <f t="shared" si="3"/>
        <v>1.479955324177316E-7</v>
      </c>
    </row>
    <row r="93" spans="1:15" ht="15" customHeight="1" x14ac:dyDescent="0.25">
      <c r="A93" s="10" t="s">
        <v>65</v>
      </c>
      <c r="B93" s="10" t="s">
        <v>169</v>
      </c>
      <c r="C93" s="10" t="s">
        <v>24</v>
      </c>
      <c r="D93" s="8">
        <f>Zone_Site_Means!$H$7</f>
        <v>7.3126666666666669</v>
      </c>
      <c r="E93" s="21">
        <f>D93*Parameters!$B$4*Parameters!$B$5</f>
        <v>7.3126666666666669E-6</v>
      </c>
      <c r="F93" s="21">
        <f>E93*Parameters!$C$9*Parameters!$C$10*Parameters!$C$11/(Parameters!$C$8*Parameters!$C$15)</f>
        <v>2.0893333333333332E-7</v>
      </c>
      <c r="G93" s="21">
        <f>E93*Parameters!$C$12*Parameters!$F$25*Parameters!$C$13*Parameters!$C$10*Parameters!$C$11*Parameters!$C$14/(Parameters!$C$8*Parameters!$C$15)</f>
        <v>2.6104190857402708E-7</v>
      </c>
      <c r="H93" s="21">
        <f>F93/Parameters!$B$25</f>
        <v>4.1786666666666661E-4</v>
      </c>
      <c r="I93" s="21">
        <f>G93/Parameters!$B$25</f>
        <v>5.220838171480542E-4</v>
      </c>
      <c r="J93" s="21">
        <f t="shared" si="2"/>
        <v>9.3995048381472087E-4</v>
      </c>
      <c r="K93" s="21">
        <f>F93*Parameters!$C$15/Parameters!$C$16</f>
        <v>2.0893333333333335E-7</v>
      </c>
      <c r="L93" s="21">
        <f>G93*Parameters!$C$15/Parameters!$C$16</f>
        <v>2.6104190857402708E-7</v>
      </c>
      <c r="M93" s="21">
        <f>K93*Parameters!$C$25</f>
        <v>7.1037333333333345E-8</v>
      </c>
      <c r="N93" s="21">
        <f>L93*Parameters!$C$25</f>
        <v>8.8754248915169219E-8</v>
      </c>
      <c r="O93" s="21">
        <f t="shared" si="3"/>
        <v>1.5979158224850258E-7</v>
      </c>
    </row>
    <row r="94" spans="1:15" ht="15" customHeight="1" x14ac:dyDescent="0.25">
      <c r="A94" s="10" t="s">
        <v>65</v>
      </c>
      <c r="B94" s="10" t="s">
        <v>169</v>
      </c>
      <c r="C94" s="10" t="s">
        <v>25</v>
      </c>
      <c r="D94" s="8">
        <f>Zone_Site_Means!$I$7</f>
        <v>16.397066666666671</v>
      </c>
      <c r="E94" s="21">
        <f>D94*Parameters!$B$4*Parameters!$B$5</f>
        <v>1.6397066666666673E-5</v>
      </c>
      <c r="F94" s="21">
        <f>E94*Parameters!$C$9*Parameters!$C$10*Parameters!$C$11/(Parameters!$C$8*Parameters!$C$15)</f>
        <v>4.6848761904761921E-7</v>
      </c>
      <c r="G94" s="21">
        <f>E94*Parameters!$C$12*Parameters!$F$26*Parameters!$C$13*Parameters!$C$10*Parameters!$C$11*Parameters!$C$14/(Parameters!$C$8*Parameters!$C$15)</f>
        <v>1.2705759221982536E-6</v>
      </c>
      <c r="H94" s="21">
        <f>F94/Parameters!$B$26</f>
        <v>9.3697523809523845E-4</v>
      </c>
      <c r="I94" s="21">
        <f>G94/Parameters!$B$26</f>
        <v>2.5411518443965073E-3</v>
      </c>
      <c r="J94" s="21">
        <f t="shared" si="2"/>
        <v>3.4781270824917458E-3</v>
      </c>
      <c r="K94" s="21">
        <f>F94*Parameters!$C$15/Parameters!$C$16</f>
        <v>4.6848761904761921E-7</v>
      </c>
      <c r="L94" s="21">
        <f>G94*Parameters!$C$15/Parameters!$C$16</f>
        <v>1.2705759221982536E-6</v>
      </c>
      <c r="M94" s="21">
        <f>K94*Parameters!$C$26</f>
        <v>1.5928579047619053E-7</v>
      </c>
      <c r="N94" s="21">
        <f>L94*Parameters!$C$26</f>
        <v>4.3199581354740627E-7</v>
      </c>
      <c r="O94" s="21">
        <f t="shared" si="3"/>
        <v>5.9128160402359678E-7</v>
      </c>
    </row>
    <row r="95" spans="1:15" ht="15" customHeight="1" x14ac:dyDescent="0.25">
      <c r="A95" s="10" t="s">
        <v>65</v>
      </c>
      <c r="B95" s="10" t="s">
        <v>169</v>
      </c>
      <c r="C95" s="10" t="s">
        <v>26</v>
      </c>
      <c r="D95" s="8">
        <f>Zone_Site_Means!$J$7</f>
        <v>6.3691666666666675</v>
      </c>
      <c r="E95" s="21">
        <f>D95*Parameters!$B$4*Parameters!$B$5</f>
        <v>6.3691666666666682E-6</v>
      </c>
      <c r="F95" s="21">
        <f>E95*Parameters!$C$9*Parameters!$C$10*Parameters!$C$11/(Parameters!$C$8*Parameters!$C$15)</f>
        <v>1.8197619047619053E-7</v>
      </c>
      <c r="G95" s="21">
        <f>E95*Parameters!$C$12*Parameters!$F$27*Parameters!$C$13*Parameters!$C$10*Parameters!$C$11*Parameters!$C$14/(Parameters!$C$8*Parameters!$C$15)</f>
        <v>1.1403471255703242E-8</v>
      </c>
      <c r="H95" s="21">
        <f>F95/Parameters!$B$27</f>
        <v>6.065873015873018E-4</v>
      </c>
      <c r="I95" s="21">
        <f>G95/Parameters!$B$27</f>
        <v>3.801157085234414E-5</v>
      </c>
      <c r="J95" s="21">
        <f t="shared" si="2"/>
        <v>6.4459887243964594E-4</v>
      </c>
      <c r="K95" s="21">
        <f>F95*Parameters!$C$15/Parameters!$C$16</f>
        <v>1.8197619047619056E-7</v>
      </c>
      <c r="L95" s="21">
        <f>G95*Parameters!$C$15/Parameters!$C$16</f>
        <v>1.1403471255703242E-8</v>
      </c>
      <c r="M95" s="21">
        <f>K95*Parameters!$C$27</f>
        <v>1.1464500000000005E-6</v>
      </c>
      <c r="N95" s="21">
        <f>L95*Parameters!$C$27</f>
        <v>7.1841868910930426E-8</v>
      </c>
      <c r="O95" s="21">
        <f t="shared" si="3"/>
        <v>1.218291868910931E-6</v>
      </c>
    </row>
    <row r="96" spans="1:15" ht="15" customHeight="1" x14ac:dyDescent="0.25">
      <c r="A96" s="10" t="s">
        <v>65</v>
      </c>
      <c r="B96" s="10" t="s">
        <v>169</v>
      </c>
      <c r="C96" s="10" t="s">
        <v>27</v>
      </c>
      <c r="D96" s="8">
        <f>Zone_Site_Means!$K$7</f>
        <v>11.444466666666667</v>
      </c>
      <c r="E96" s="21">
        <f>D96*Parameters!$B$4*Parameters!$B$5</f>
        <v>1.1444466666666667E-5</v>
      </c>
      <c r="F96" s="21">
        <f>E96*Parameters!$C$9*Parameters!$C$10*Parameters!$C$11/(Parameters!$C$8*Parameters!$C$15)</f>
        <v>3.2698476190476194E-7</v>
      </c>
      <c r="G96" s="21">
        <f>E96*Parameters!$C$12*Parameters!$F$28*Parameters!$C$13*Parameters!$C$10*Parameters!$C$11*Parameters!$C$14/(Parameters!$C$8*Parameters!$C$15)</f>
        <v>1.9876962446450457E-8</v>
      </c>
      <c r="H96" s="21">
        <f>F96/Parameters!$B$28</f>
        <v>1.0899492063492066E-3</v>
      </c>
      <c r="I96" s="21">
        <f>G96/Parameters!$B$28</f>
        <v>6.6256541488168198E-5</v>
      </c>
      <c r="J96" s="21">
        <f t="shared" si="2"/>
        <v>1.1562057478373747E-3</v>
      </c>
      <c r="K96" s="21">
        <f>F96*Parameters!$C$15/Parameters!$C$16</f>
        <v>3.2698476190476194E-7</v>
      </c>
      <c r="L96" s="21">
        <f>G96*Parameters!$C$15/Parameters!$C$16</f>
        <v>1.9876962446450457E-8</v>
      </c>
      <c r="M96" s="21">
        <f>K96*Parameters!$C$28</f>
        <v>5.8857257142857156E-7</v>
      </c>
      <c r="N96" s="21">
        <f>L96*Parameters!$C$28</f>
        <v>3.5778532403610824E-8</v>
      </c>
      <c r="O96" s="21">
        <f t="shared" si="3"/>
        <v>6.2435110383218243E-7</v>
      </c>
    </row>
    <row r="97" spans="1:15" ht="15" customHeight="1" x14ac:dyDescent="0.25">
      <c r="A97" s="10" t="s">
        <v>65</v>
      </c>
      <c r="B97" s="10" t="s">
        <v>169</v>
      </c>
      <c r="C97" s="10" t="s">
        <v>28</v>
      </c>
      <c r="D97" s="8">
        <f>Zone_Site_Means!$L$7</f>
        <v>3.2146666666666666</v>
      </c>
      <c r="E97" s="21">
        <f>D97*Parameters!$B$4*Parameters!$B$5</f>
        <v>3.2146666666666665E-6</v>
      </c>
      <c r="F97" s="21">
        <f>E97*Parameters!$C$9*Parameters!$C$10*Parameters!$C$11/(Parameters!$C$8*Parameters!$C$15)</f>
        <v>9.1847619047619038E-8</v>
      </c>
      <c r="G97" s="21">
        <f>E97*Parameters!$C$12*Parameters!$F$29*Parameters!$C$13*Parameters!$C$10*Parameters!$C$11*Parameters!$C$14/(Parameters!$C$8*Parameters!$C$15)</f>
        <v>5.096715662006465E-9</v>
      </c>
      <c r="H97" s="21">
        <f>F97/Parameters!$B$29</f>
        <v>3.0615873015873014E-4</v>
      </c>
      <c r="I97" s="21">
        <f>G97/Parameters!$B$29</f>
        <v>1.6989052206688218E-5</v>
      </c>
      <c r="J97" s="21">
        <f t="shared" si="2"/>
        <v>3.2314778236541836E-4</v>
      </c>
      <c r="K97" s="21">
        <f>F97*Parameters!$C$15/Parameters!$C$16</f>
        <v>9.1847619047619038E-8</v>
      </c>
      <c r="L97" s="21">
        <f>G97*Parameters!$C$15/Parameters!$C$16</f>
        <v>5.096715662006465E-9</v>
      </c>
      <c r="M97" s="21">
        <f>K97*Parameters!$C$29</f>
        <v>1.1940190476190475E-7</v>
      </c>
      <c r="N97" s="21">
        <f>L97*Parameters!$C$29</f>
        <v>6.6257303606084046E-9</v>
      </c>
      <c r="O97" s="21">
        <f t="shared" si="3"/>
        <v>1.2602763512251317E-7</v>
      </c>
    </row>
    <row r="98" spans="1:15" ht="15" customHeight="1" x14ac:dyDescent="0.25">
      <c r="A98" s="10" t="s">
        <v>65</v>
      </c>
      <c r="B98" s="10" t="s">
        <v>169</v>
      </c>
      <c r="C98" s="10" t="s">
        <v>29</v>
      </c>
      <c r="D98" s="8">
        <f>Zone_Site_Means!$M$7</f>
        <v>6.8411999999999988</v>
      </c>
      <c r="E98" s="21">
        <f>D98*Parameters!$B$4*Parameters!$B$5</f>
        <v>6.841199999999999E-6</v>
      </c>
      <c r="F98" s="21">
        <f>E98*Parameters!$C$9*Parameters!$C$10*Parameters!$C$11/(Parameters!$C$8*Parameters!$C$15)</f>
        <v>1.954628571428571E-7</v>
      </c>
      <c r="G98" s="21">
        <f>E98*Parameters!$C$12*Parameters!$F$30*Parameters!$C$13*Parameters!$C$10*Parameters!$C$11*Parameters!$C$14/(Parameters!$C$8*Parameters!$C$15)</f>
        <v>2.0534623555854804E-8</v>
      </c>
      <c r="H98" s="21">
        <f>F98/Parameters!$B$30</f>
        <v>6.5154285714285709E-4</v>
      </c>
      <c r="I98" s="21">
        <f>G98/Parameters!$B$30</f>
        <v>6.8448745186182691E-5</v>
      </c>
      <c r="J98" s="21">
        <f t="shared" si="2"/>
        <v>7.1999160232903974E-4</v>
      </c>
      <c r="K98" s="21">
        <f>F98*Parameters!$C$15/Parameters!$C$16</f>
        <v>1.954628571428571E-7</v>
      </c>
      <c r="L98" s="21">
        <f>G98*Parameters!$C$15/Parameters!$C$16</f>
        <v>2.0534623555854801E-8</v>
      </c>
      <c r="M98" s="21">
        <f>K98*Parameters!$C$30</f>
        <v>0</v>
      </c>
      <c r="N98" s="21">
        <f>L98*Parameters!$C$30</f>
        <v>0</v>
      </c>
      <c r="O98" s="21">
        <f t="shared" si="3"/>
        <v>0</v>
      </c>
    </row>
    <row r="99" spans="1:15" ht="15" customHeight="1" x14ac:dyDescent="0.25">
      <c r="A99" s="10" t="s">
        <v>65</v>
      </c>
      <c r="B99" s="10" t="s">
        <v>169</v>
      </c>
      <c r="C99" s="10" t="s">
        <v>30</v>
      </c>
      <c r="D99" s="8">
        <f>Zone_Site_Means!$N$7</f>
        <v>3.3355333333333332</v>
      </c>
      <c r="E99" s="21">
        <f>D99*Parameters!$B$4*Parameters!$B$5</f>
        <v>3.3355333333333335E-6</v>
      </c>
      <c r="F99" s="21">
        <f>E99*Parameters!$C$9*Parameters!$C$10*Parameters!$C$11/(Parameters!$C$8*Parameters!$C$15)</f>
        <v>9.5300952380952379E-8</v>
      </c>
      <c r="G99" s="21">
        <f>E99*Parameters!$C$12*Parameters!$F$31*Parameters!$C$13*Parameters!$C$10*Parameters!$C$11*Parameters!$C$14/(Parameters!$C$8*Parameters!$C$15)</f>
        <v>1.3908226149221743E-7</v>
      </c>
      <c r="H99" s="21">
        <f>F99/Parameters!$B$31</f>
        <v>3.1766984126984127E-3</v>
      </c>
      <c r="I99" s="21">
        <f>G99/Parameters!$B$31</f>
        <v>4.6360753830739145E-3</v>
      </c>
      <c r="J99" s="21">
        <f t="shared" si="2"/>
        <v>7.8127737957723268E-3</v>
      </c>
      <c r="K99" s="21">
        <f>F99*Parameters!$C$15/Parameters!$C$16</f>
        <v>9.5300952380952379E-8</v>
      </c>
      <c r="L99" s="21">
        <f>G99*Parameters!$C$15/Parameters!$C$16</f>
        <v>1.3908226149221743E-7</v>
      </c>
      <c r="M99" s="21">
        <f>K99*Parameters!$C$31</f>
        <v>1.6201161904761905E-6</v>
      </c>
      <c r="N99" s="21">
        <f>L99*Parameters!$C$31</f>
        <v>2.3643984453676965E-6</v>
      </c>
      <c r="O99" s="21">
        <f t="shared" si="3"/>
        <v>3.9845146358438866E-6</v>
      </c>
    </row>
    <row r="100" spans="1:15" ht="15" customHeight="1" x14ac:dyDescent="0.25">
      <c r="A100" s="10" t="s">
        <v>65</v>
      </c>
      <c r="B100" s="10" t="s">
        <v>169</v>
      </c>
      <c r="C100" s="10" t="s">
        <v>31</v>
      </c>
      <c r="D100" s="8">
        <f>Zone_Site_Means!$O$7</f>
        <v>5.179266666666666</v>
      </c>
      <c r="E100" s="21">
        <f>D100*Parameters!$B$4*Parameters!$B$5</f>
        <v>5.1792666666666663E-6</v>
      </c>
      <c r="F100" s="21">
        <f>E100*Parameters!$C$9*Parameters!$C$10*Parameters!$C$11/(Parameters!$C$8*Parameters!$C$15)</f>
        <v>1.4797904761904761E-7</v>
      </c>
      <c r="G100" s="21">
        <f>E100*Parameters!$C$12*Parameters!$F$32*Parameters!$C$13*Parameters!$C$10*Parameters!$C$11*Parameters!$C$14/(Parameters!$C$8*Parameters!$C$15)</f>
        <v>3.301982223814511E-8</v>
      </c>
      <c r="H100" s="21">
        <f>F100/Parameters!$B$32</f>
        <v>2.9595809523809522E-3</v>
      </c>
      <c r="I100" s="21">
        <f>G100/Parameters!$B$32</f>
        <v>6.6039644476290212E-4</v>
      </c>
      <c r="J100" s="21">
        <f t="shared" si="2"/>
        <v>3.6199773971438542E-3</v>
      </c>
      <c r="K100" s="21">
        <f>F100*Parameters!$C$15/Parameters!$C$16</f>
        <v>1.4797904761904761E-7</v>
      </c>
      <c r="L100" s="21">
        <f>G100*Parameters!$C$15/Parameters!$C$16</f>
        <v>3.301982223814511E-8</v>
      </c>
      <c r="M100" s="21">
        <f>K100*Parameters!$C$32</f>
        <v>2.3676647619047618E-6</v>
      </c>
      <c r="N100" s="21">
        <f>L100*Parameters!$C$32</f>
        <v>5.2831715581032176E-7</v>
      </c>
      <c r="O100" s="21">
        <f t="shared" si="3"/>
        <v>2.8959819177150837E-6</v>
      </c>
    </row>
    <row r="101" spans="1:15" ht="15" customHeight="1" x14ac:dyDescent="0.25">
      <c r="A101" s="10" t="s">
        <v>65</v>
      </c>
      <c r="B101" s="10" t="s">
        <v>169</v>
      </c>
      <c r="C101" s="10" t="s">
        <v>32</v>
      </c>
      <c r="D101" s="8">
        <f>Zone_Site_Means!$P$7</f>
        <v>3.5108666666666664</v>
      </c>
      <c r="E101" s="21">
        <f>D101*Parameters!$B$4*Parameters!$B$5</f>
        <v>3.5108666666666663E-6</v>
      </c>
      <c r="F101" s="21">
        <f>E101*Parameters!$C$9*Parameters!$C$10*Parameters!$C$11/(Parameters!$C$8*Parameters!$C$15)</f>
        <v>1.0031047619047617E-7</v>
      </c>
      <c r="G101" s="21">
        <f>E101*Parameters!$C$12*Parameters!$F$33*Parameters!$C$13*Parameters!$C$10*Parameters!$C$11*Parameters!$C$14/(Parameters!$C$8*Parameters!$C$15)</f>
        <v>7.1519553600729571E-8</v>
      </c>
      <c r="H101" s="21">
        <f>F101/Parameters!$B$33</f>
        <v>2.0062095238095235E-4</v>
      </c>
      <c r="I101" s="21">
        <f>G101/Parameters!$B$33</f>
        <v>1.4303910720145913E-4</v>
      </c>
      <c r="J101" s="21">
        <f t="shared" si="2"/>
        <v>3.4366005958241146E-4</v>
      </c>
      <c r="K101" s="21">
        <f>F101*Parameters!$C$15/Parameters!$C$16</f>
        <v>1.0031047619047617E-7</v>
      </c>
      <c r="L101" s="21">
        <f>G101*Parameters!$C$15/Parameters!$C$16</f>
        <v>7.1519553600729571E-8</v>
      </c>
      <c r="M101" s="21">
        <f>K101*Parameters!$C$33</f>
        <v>4.5139714285714275E-7</v>
      </c>
      <c r="N101" s="21">
        <f>L101*Parameters!$C$33</f>
        <v>3.2183799120328308E-7</v>
      </c>
      <c r="O101" s="21">
        <f t="shared" si="3"/>
        <v>7.7323513406042589E-7</v>
      </c>
    </row>
    <row r="102" spans="1:15" ht="15" customHeight="1" x14ac:dyDescent="0.25">
      <c r="A102" s="10" t="s">
        <v>65</v>
      </c>
      <c r="B102" s="10" t="s">
        <v>169</v>
      </c>
      <c r="C102" s="10" t="s">
        <v>33</v>
      </c>
      <c r="D102" s="8">
        <f>Zone_Site_Means!$Q$7</f>
        <v>5.4470666666666663</v>
      </c>
      <c r="E102" s="21">
        <f>D102*Parameters!$B$4*Parameters!$B$5</f>
        <v>5.4470666666666665E-6</v>
      </c>
      <c r="F102" s="21">
        <f>E102*Parameters!$C$9*Parameters!$C$10*Parameters!$C$11/(Parameters!$C$8*Parameters!$C$15)</f>
        <v>1.5563047619047619E-7</v>
      </c>
      <c r="G102" s="21">
        <f>E102*Parameters!$C$12*Parameters!$F$34*Parameters!$C$13*Parameters!$C$10*Parameters!$C$11*Parameters!$C$14/(Parameters!$C$8*Parameters!$C$15)</f>
        <v>1.6457851876824386E-8</v>
      </c>
      <c r="H102" s="21">
        <f>F102/Parameters!$B$34</f>
        <v>1.1971575091575093E-2</v>
      </c>
      <c r="I102" s="21">
        <f>G102/Parameters!$B$34</f>
        <v>1.2659886059095682E-3</v>
      </c>
      <c r="J102" s="21">
        <f t="shared" si="2"/>
        <v>1.3237563697484661E-2</v>
      </c>
      <c r="K102" s="21">
        <f>F102*Parameters!$C$15/Parameters!$C$16</f>
        <v>1.5563047619047619E-7</v>
      </c>
      <c r="L102" s="21">
        <f>G102*Parameters!$C$15/Parameters!$C$16</f>
        <v>1.6457851876824386E-8</v>
      </c>
      <c r="M102" s="21">
        <f>K102*Parameters!$C$34</f>
        <v>1.4162373333333334E-6</v>
      </c>
      <c r="N102" s="21">
        <f>L102*Parameters!$C$34</f>
        <v>1.4976645207910191E-7</v>
      </c>
      <c r="O102" s="21">
        <f t="shared" si="3"/>
        <v>1.5660037854124354E-6</v>
      </c>
    </row>
    <row r="103" spans="1:15" ht="15" customHeight="1" x14ac:dyDescent="0.25">
      <c r="A103" s="10" t="s">
        <v>65</v>
      </c>
      <c r="B103" s="10" t="s">
        <v>170</v>
      </c>
      <c r="C103" s="10" t="s">
        <v>20</v>
      </c>
      <c r="D103" s="8">
        <f>Zone_Site_Means!$D$7</f>
        <v>6.1028666666666664</v>
      </c>
      <c r="E103" s="21">
        <f>D103*Parameters!$B$4*Parameters!$B$5</f>
        <v>6.1028666666666662E-6</v>
      </c>
      <c r="F103" s="21">
        <f>E103*Parameters!$D$9*Parameters!$D$10*Parameters!$D$11/(Parameters!$D$8*Parameters!$D$15)</f>
        <v>4.0685777777777769E-7</v>
      </c>
      <c r="G103" s="21">
        <f>E103*Parameters!$D$12*Parameters!$F$21*Parameters!$D$13*Parameters!$D$10*Parameters!$D$11*Parameters!$D$14/(Parameters!$D$8*Parameters!$D$15)</f>
        <v>1.3342664265286475E-6</v>
      </c>
      <c r="H103" s="21">
        <f>F103/Parameters!$B$21</f>
        <v>8.1371555555555535E-4</v>
      </c>
      <c r="I103" s="21">
        <f>G103/Parameters!$B$21</f>
        <v>2.6685328530572949E-3</v>
      </c>
      <c r="J103" s="21">
        <f t="shared" si="2"/>
        <v>3.4822484086128504E-3</v>
      </c>
      <c r="K103" s="21">
        <f>F103*Parameters!$D$15/Parameters!$D$16</f>
        <v>3.4873523809523802E-8</v>
      </c>
      <c r="L103" s="21">
        <f>G103*Parameters!$D$15/Parameters!$D$16</f>
        <v>1.1436569370245551E-7</v>
      </c>
      <c r="M103" s="21">
        <f>K103*Parameters!$C$21</f>
        <v>1.1856998095238094E-8</v>
      </c>
      <c r="N103" s="21">
        <f>L103*Parameters!$C$21</f>
        <v>3.8884335858834873E-8</v>
      </c>
      <c r="O103" s="21">
        <f t="shared" si="3"/>
        <v>5.0741333954072965E-8</v>
      </c>
    </row>
    <row r="104" spans="1:15" ht="15" customHeight="1" x14ac:dyDescent="0.25">
      <c r="A104" s="10" t="s">
        <v>65</v>
      </c>
      <c r="B104" s="10" t="s">
        <v>170</v>
      </c>
      <c r="C104" s="10" t="s">
        <v>21</v>
      </c>
      <c r="D104" s="8">
        <f>Zone_Site_Means!$E$7</f>
        <v>7.3476799999999995</v>
      </c>
      <c r="E104" s="21">
        <f>D104*Parameters!$B$4*Parameters!$B$5</f>
        <v>7.3476799999999994E-6</v>
      </c>
      <c r="F104" s="21">
        <f>E104*Parameters!$D$9*Parameters!$D$10*Parameters!$D$11/(Parameters!$D$8*Parameters!$D$15)</f>
        <v>4.8984533333333327E-7</v>
      </c>
      <c r="G104" s="21">
        <f>E104*Parameters!$D$12*Parameters!$F$22*Parameters!$D$13*Parameters!$D$10*Parameters!$D$11*Parameters!$D$14/(Parameters!$D$8*Parameters!$D$15)</f>
        <v>1.9277863928272202E-6</v>
      </c>
      <c r="H104" s="21">
        <f>F104/Parameters!$B$22</f>
        <v>9.7969066666666661E-4</v>
      </c>
      <c r="I104" s="21">
        <f>G104/Parameters!$B$22</f>
        <v>3.8555727856544402E-3</v>
      </c>
      <c r="J104" s="21">
        <f t="shared" si="2"/>
        <v>4.835263452321107E-3</v>
      </c>
      <c r="K104" s="21">
        <f>F104*Parameters!$D$15/Parameters!$D$16</f>
        <v>4.1986742857142856E-8</v>
      </c>
      <c r="L104" s="21">
        <f>G104*Parameters!$D$15/Parameters!$D$16</f>
        <v>1.6523883367090459E-7</v>
      </c>
      <c r="M104" s="21">
        <f>K104*Parameters!$C$22</f>
        <v>1.4275492571428571E-8</v>
      </c>
      <c r="N104" s="21">
        <f>L104*Parameters!$C$22</f>
        <v>5.6181203448107561E-8</v>
      </c>
      <c r="O104" s="21">
        <f t="shared" si="3"/>
        <v>7.0456696019536129E-8</v>
      </c>
    </row>
    <row r="105" spans="1:15" ht="15" customHeight="1" x14ac:dyDescent="0.25">
      <c r="A105" s="10" t="s">
        <v>65</v>
      </c>
      <c r="B105" s="10" t="s">
        <v>170</v>
      </c>
      <c r="C105" s="10" t="s">
        <v>22</v>
      </c>
      <c r="D105" s="8">
        <f>Zone_Site_Means!$F$7</f>
        <v>5.9378000000000002</v>
      </c>
      <c r="E105" s="21">
        <f>D105*Parameters!$B$4*Parameters!$B$5</f>
        <v>5.9378000000000001E-6</v>
      </c>
      <c r="F105" s="21">
        <f>E105*Parameters!$D$9*Parameters!$D$10*Parameters!$D$11/(Parameters!$D$8*Parameters!$D$15)</f>
        <v>3.9585333333333331E-7</v>
      </c>
      <c r="G105" s="21">
        <f>E105*Parameters!$D$12*Parameters!$F$23*Parameters!$D$13*Parameters!$D$10*Parameters!$D$11*Parameters!$D$14/(Parameters!$D$8*Parameters!$D$15)</f>
        <v>5.0009699144527228E-7</v>
      </c>
      <c r="H105" s="21">
        <f>F105/Parameters!$B$23</f>
        <v>7.9170666666666663E-4</v>
      </c>
      <c r="I105" s="21">
        <f>G105/Parameters!$B$23</f>
        <v>1.0001939828905445E-3</v>
      </c>
      <c r="J105" s="21">
        <f t="shared" si="2"/>
        <v>1.7919006495572111E-3</v>
      </c>
      <c r="K105" s="21">
        <f>F105*Parameters!$D$15/Parameters!$D$16</f>
        <v>3.3930285714285707E-8</v>
      </c>
      <c r="L105" s="21">
        <f>G105*Parameters!$D$15/Parameters!$D$16</f>
        <v>4.2865456409594766E-8</v>
      </c>
      <c r="M105" s="21">
        <f>K105*Parameters!$C$23</f>
        <v>1.1536297142857141E-8</v>
      </c>
      <c r="N105" s="21">
        <f>L105*Parameters!$C$23</f>
        <v>1.4574255179262222E-8</v>
      </c>
      <c r="O105" s="21">
        <f t="shared" si="3"/>
        <v>2.6110552322119361E-8</v>
      </c>
    </row>
    <row r="106" spans="1:15" ht="15" customHeight="1" x14ac:dyDescent="0.25">
      <c r="A106" s="10" t="s">
        <v>65</v>
      </c>
      <c r="B106" s="10" t="s">
        <v>170</v>
      </c>
      <c r="C106" s="10" t="s">
        <v>23</v>
      </c>
      <c r="D106" s="8">
        <f>Zone_Site_Means!$G$7</f>
        <v>6.7560000000000002</v>
      </c>
      <c r="E106" s="21">
        <f>D106*Parameters!$B$4*Parameters!$B$5</f>
        <v>6.756000000000001E-6</v>
      </c>
      <c r="F106" s="21">
        <f>E106*Parameters!$D$9*Parameters!$D$10*Parameters!$D$11/(Parameters!$D$8*Parameters!$D$15)</f>
        <v>4.5040000000000006E-7</v>
      </c>
      <c r="G106" s="21">
        <f>E106*Parameters!$D$12*Parameters!$F$24*Parameters!$D$13*Parameters!$D$10*Parameters!$D$11*Parameters!$D$14/(Parameters!$D$8*Parameters!$D$15)</f>
        <v>7.1469100700533409E-7</v>
      </c>
      <c r="H106" s="21">
        <f>F106/Parameters!$B$24</f>
        <v>9.008000000000001E-4</v>
      </c>
      <c r="I106" s="21">
        <f>G106/Parameters!$B$24</f>
        <v>1.4293820140106682E-3</v>
      </c>
      <c r="J106" s="21">
        <f t="shared" si="2"/>
        <v>2.3301820140106681E-3</v>
      </c>
      <c r="K106" s="21">
        <f>F106*Parameters!$D$15/Parameters!$D$16</f>
        <v>3.8605714285714295E-8</v>
      </c>
      <c r="L106" s="21">
        <f>G106*Parameters!$D$15/Parameters!$D$16</f>
        <v>6.1259229171885778E-8</v>
      </c>
      <c r="M106" s="21">
        <f>K106*Parameters!$C$24</f>
        <v>1.312594285714286E-8</v>
      </c>
      <c r="N106" s="21">
        <f>L106*Parameters!$C$24</f>
        <v>2.0828137918441167E-8</v>
      </c>
      <c r="O106" s="21">
        <f t="shared" si="3"/>
        <v>3.3954080775584024E-8</v>
      </c>
    </row>
    <row r="107" spans="1:15" ht="15" customHeight="1" x14ac:dyDescent="0.25">
      <c r="A107" s="10" t="s">
        <v>65</v>
      </c>
      <c r="B107" s="10" t="s">
        <v>170</v>
      </c>
      <c r="C107" s="10" t="s">
        <v>24</v>
      </c>
      <c r="D107" s="8">
        <f>Zone_Site_Means!$H$7</f>
        <v>7.3126666666666669</v>
      </c>
      <c r="E107" s="21">
        <f>D107*Parameters!$B$4*Parameters!$B$5</f>
        <v>7.3126666666666669E-6</v>
      </c>
      <c r="F107" s="21">
        <f>E107*Parameters!$D$9*Parameters!$D$10*Parameters!$D$11/(Parameters!$D$8*Parameters!$D$15)</f>
        <v>4.8751111111111109E-7</v>
      </c>
      <c r="G107" s="21">
        <f>E107*Parameters!$D$12*Parameters!$F$25*Parameters!$D$13*Parameters!$D$10*Parameters!$D$11*Parameters!$D$14/(Parameters!$D$8*Parameters!$D$15)</f>
        <v>7.7012363832184248E-7</v>
      </c>
      <c r="H107" s="21">
        <f>F107/Parameters!$B$25</f>
        <v>9.7502222222222215E-4</v>
      </c>
      <c r="I107" s="21">
        <f>G107/Parameters!$B$25</f>
        <v>1.540247276643685E-3</v>
      </c>
      <c r="J107" s="21">
        <f t="shared" si="2"/>
        <v>2.515269498865907E-3</v>
      </c>
      <c r="K107" s="21">
        <f>F107*Parameters!$D$15/Parameters!$D$16</f>
        <v>4.1786666666666666E-8</v>
      </c>
      <c r="L107" s="21">
        <f>G107*Parameters!$D$15/Parameters!$D$16</f>
        <v>6.6010597570443644E-8</v>
      </c>
      <c r="M107" s="21">
        <f>K107*Parameters!$C$25</f>
        <v>1.4207466666666667E-8</v>
      </c>
      <c r="N107" s="21">
        <f>L107*Parameters!$C$25</f>
        <v>2.244360317395084E-8</v>
      </c>
      <c r="O107" s="21">
        <f t="shared" si="3"/>
        <v>3.6651069840617507E-8</v>
      </c>
    </row>
    <row r="108" spans="1:15" ht="15" customHeight="1" x14ac:dyDescent="0.25">
      <c r="A108" s="10" t="s">
        <v>65</v>
      </c>
      <c r="B108" s="10" t="s">
        <v>170</v>
      </c>
      <c r="C108" s="10" t="s">
        <v>25</v>
      </c>
      <c r="D108" s="8">
        <f>Zone_Site_Means!$I$7</f>
        <v>16.397066666666671</v>
      </c>
      <c r="E108" s="21">
        <f>D108*Parameters!$B$4*Parameters!$B$5</f>
        <v>1.6397066666666673E-5</v>
      </c>
      <c r="F108" s="21">
        <f>E108*Parameters!$D$9*Parameters!$D$10*Parameters!$D$11/(Parameters!$D$8*Parameters!$D$15)</f>
        <v>1.0931377777777781E-6</v>
      </c>
      <c r="G108" s="21">
        <f>E108*Parameters!$D$12*Parameters!$F$26*Parameters!$D$13*Parameters!$D$10*Parameters!$D$11*Parameters!$D$14/(Parameters!$D$8*Parameters!$D$15)</f>
        <v>3.7484423758339281E-6</v>
      </c>
      <c r="H108" s="21">
        <f>F108/Parameters!$B$26</f>
        <v>2.1862755555555561E-3</v>
      </c>
      <c r="I108" s="21">
        <f>G108/Parameters!$B$26</f>
        <v>7.4968847516678561E-3</v>
      </c>
      <c r="J108" s="21">
        <f t="shared" si="2"/>
        <v>9.6831603072234131E-3</v>
      </c>
      <c r="K108" s="21">
        <f>F108*Parameters!$D$15/Parameters!$D$16</f>
        <v>9.369752380952384E-8</v>
      </c>
      <c r="L108" s="21">
        <f>G108*Parameters!$D$15/Parameters!$D$16</f>
        <v>3.2129506078576528E-7</v>
      </c>
      <c r="M108" s="21">
        <f>K108*Parameters!$C$26</f>
        <v>3.1857158095238111E-8</v>
      </c>
      <c r="N108" s="21">
        <f>L108*Parameters!$C$26</f>
        <v>1.0924032066716021E-7</v>
      </c>
      <c r="O108" s="21">
        <f t="shared" si="3"/>
        <v>1.4109747876239831E-7</v>
      </c>
    </row>
    <row r="109" spans="1:15" ht="15" customHeight="1" x14ac:dyDescent="0.25">
      <c r="A109" s="10" t="s">
        <v>65</v>
      </c>
      <c r="B109" s="10" t="s">
        <v>170</v>
      </c>
      <c r="C109" s="10" t="s">
        <v>26</v>
      </c>
      <c r="D109" s="8">
        <f>Zone_Site_Means!$J$7</f>
        <v>6.3691666666666675</v>
      </c>
      <c r="E109" s="21">
        <f>D109*Parameters!$B$4*Parameters!$B$5</f>
        <v>6.3691666666666682E-6</v>
      </c>
      <c r="F109" s="21">
        <f>E109*Parameters!$D$9*Parameters!$D$10*Parameters!$D$11/(Parameters!$D$8*Parameters!$D$15)</f>
        <v>4.2461111111111118E-7</v>
      </c>
      <c r="G109" s="21">
        <f>E109*Parameters!$D$12*Parameters!$F$27*Parameters!$D$13*Parameters!$D$10*Parameters!$D$11*Parameters!$D$14/(Parameters!$D$8*Parameters!$D$15)</f>
        <v>3.3642424777362066E-8</v>
      </c>
      <c r="H109" s="21">
        <f>F109/Parameters!$B$27</f>
        <v>1.4153703703703707E-3</v>
      </c>
      <c r="I109" s="21">
        <f>G109/Parameters!$B$27</f>
        <v>1.1214141592454023E-4</v>
      </c>
      <c r="J109" s="21">
        <f t="shared" si="2"/>
        <v>1.527511786294911E-3</v>
      </c>
      <c r="K109" s="21">
        <f>F109*Parameters!$D$15/Parameters!$D$16</f>
        <v>3.6395238095238101E-8</v>
      </c>
      <c r="L109" s="21">
        <f>G109*Parameters!$D$15/Parameters!$D$16</f>
        <v>2.8836364094881772E-9</v>
      </c>
      <c r="M109" s="21">
        <f>K109*Parameters!$C$27</f>
        <v>2.2929000000000004E-7</v>
      </c>
      <c r="N109" s="21">
        <f>L109*Parameters!$C$27</f>
        <v>1.8166909379775514E-8</v>
      </c>
      <c r="O109" s="21">
        <f t="shared" si="3"/>
        <v>2.4745690937977556E-7</v>
      </c>
    </row>
    <row r="110" spans="1:15" ht="15" customHeight="1" x14ac:dyDescent="0.25">
      <c r="A110" s="10" t="s">
        <v>65</v>
      </c>
      <c r="B110" s="10" t="s">
        <v>170</v>
      </c>
      <c r="C110" s="10" t="s">
        <v>27</v>
      </c>
      <c r="D110" s="8">
        <f>Zone_Site_Means!$K$7</f>
        <v>11.444466666666667</v>
      </c>
      <c r="E110" s="21">
        <f>D110*Parameters!$B$4*Parameters!$B$5</f>
        <v>1.1444466666666667E-5</v>
      </c>
      <c r="F110" s="21">
        <f>E110*Parameters!$D$9*Parameters!$D$10*Parameters!$D$11/(Parameters!$D$8*Parameters!$D$15)</f>
        <v>7.6296444444444446E-7</v>
      </c>
      <c r="G110" s="21">
        <f>E110*Parameters!$D$12*Parameters!$F$28*Parameters!$D$13*Parameters!$D$10*Parameters!$D$11*Parameters!$D$14/(Parameters!$D$8*Parameters!$D$15)</f>
        <v>5.8640847064240815E-8</v>
      </c>
      <c r="H110" s="21">
        <f>F110/Parameters!$B$28</f>
        <v>2.5432148148148153E-3</v>
      </c>
      <c r="I110" s="21">
        <f>G110/Parameters!$B$28</f>
        <v>1.9546949021413606E-4</v>
      </c>
      <c r="J110" s="21">
        <f t="shared" si="2"/>
        <v>2.7386843050289512E-3</v>
      </c>
      <c r="K110" s="21">
        <f>F110*Parameters!$D$15/Parameters!$D$16</f>
        <v>6.5396952380952378E-8</v>
      </c>
      <c r="L110" s="21">
        <f>G110*Parameters!$D$15/Parameters!$D$16</f>
        <v>5.0263583197920703E-9</v>
      </c>
      <c r="M110" s="21">
        <f>K110*Parameters!$C$28</f>
        <v>1.1771451428571429E-7</v>
      </c>
      <c r="N110" s="21">
        <f>L110*Parameters!$C$28</f>
        <v>9.0474449756257264E-9</v>
      </c>
      <c r="O110" s="21">
        <f t="shared" si="3"/>
        <v>1.2676195926134002E-7</v>
      </c>
    </row>
    <row r="111" spans="1:15" ht="15" customHeight="1" x14ac:dyDescent="0.25">
      <c r="A111" s="10" t="s">
        <v>65</v>
      </c>
      <c r="B111" s="10" t="s">
        <v>170</v>
      </c>
      <c r="C111" s="10" t="s">
        <v>28</v>
      </c>
      <c r="D111" s="8">
        <f>Zone_Site_Means!$L$7</f>
        <v>3.2146666666666666</v>
      </c>
      <c r="E111" s="21">
        <f>D111*Parameters!$B$4*Parameters!$B$5</f>
        <v>3.2146666666666665E-6</v>
      </c>
      <c r="F111" s="21">
        <f>E111*Parameters!$D$9*Parameters!$D$10*Parameters!$D$11/(Parameters!$D$8*Parameters!$D$15)</f>
        <v>2.1431111111111108E-7</v>
      </c>
      <c r="G111" s="21">
        <f>E111*Parameters!$D$12*Parameters!$F$29*Parameters!$D$13*Parameters!$D$10*Parameters!$D$11*Parameters!$D$14/(Parameters!$D$8*Parameters!$D$15)</f>
        <v>1.5036287585229799E-8</v>
      </c>
      <c r="H111" s="21">
        <f>F111/Parameters!$B$29</f>
        <v>7.1437037037037031E-4</v>
      </c>
      <c r="I111" s="21">
        <f>G111/Parameters!$B$29</f>
        <v>5.0120958617432668E-5</v>
      </c>
      <c r="J111" s="21">
        <f t="shared" si="2"/>
        <v>7.6449132898780299E-4</v>
      </c>
      <c r="K111" s="21">
        <f>F111*Parameters!$D$15/Parameters!$D$16</f>
        <v>1.8369523809523809E-8</v>
      </c>
      <c r="L111" s="21">
        <f>G111*Parameters!$D$15/Parameters!$D$16</f>
        <v>1.2888246501625542E-9</v>
      </c>
      <c r="M111" s="21">
        <f>K111*Parameters!$C$29</f>
        <v>2.3880380952380951E-8</v>
      </c>
      <c r="N111" s="21">
        <f>L111*Parameters!$C$29</f>
        <v>1.6754720452113204E-9</v>
      </c>
      <c r="O111" s="21">
        <f t="shared" si="3"/>
        <v>2.5555852997592273E-8</v>
      </c>
    </row>
    <row r="112" spans="1:15" ht="15" customHeight="1" x14ac:dyDescent="0.25">
      <c r="A112" s="10" t="s">
        <v>65</v>
      </c>
      <c r="B112" s="10" t="s">
        <v>170</v>
      </c>
      <c r="C112" s="10" t="s">
        <v>29</v>
      </c>
      <c r="D112" s="8">
        <f>Zone_Site_Means!$M$7</f>
        <v>6.8411999999999988</v>
      </c>
      <c r="E112" s="21">
        <f>D112*Parameters!$B$4*Parameters!$B$5</f>
        <v>6.841199999999999E-6</v>
      </c>
      <c r="F112" s="21">
        <f>E112*Parameters!$D$9*Parameters!$D$10*Parameters!$D$11/(Parameters!$D$8*Parameters!$D$15)</f>
        <v>4.5607999999999989E-7</v>
      </c>
      <c r="G112" s="21">
        <f>E112*Parameters!$D$12*Parameters!$F$30*Parameters!$D$13*Parameters!$D$10*Parameters!$D$11*Parameters!$D$14/(Parameters!$D$8*Parameters!$D$15)</f>
        <v>6.0581073325701934E-8</v>
      </c>
      <c r="H112" s="21">
        <f>F112/Parameters!$B$30</f>
        <v>1.5202666666666665E-3</v>
      </c>
      <c r="I112" s="21">
        <f>G112/Parameters!$B$30</f>
        <v>2.0193691108567313E-4</v>
      </c>
      <c r="J112" s="21">
        <f t="shared" si="2"/>
        <v>1.7222035777523395E-3</v>
      </c>
      <c r="K112" s="21">
        <f>F112*Parameters!$D$15/Parameters!$D$16</f>
        <v>3.9092571428571418E-8</v>
      </c>
      <c r="L112" s="21">
        <f>G112*Parameters!$D$15/Parameters!$D$16</f>
        <v>5.1926634279173084E-9</v>
      </c>
      <c r="M112" s="21">
        <f>K112*Parameters!$C$30</f>
        <v>0</v>
      </c>
      <c r="N112" s="21">
        <f>L112*Parameters!$C$30</f>
        <v>0</v>
      </c>
      <c r="O112" s="21">
        <f t="shared" si="3"/>
        <v>0</v>
      </c>
    </row>
    <row r="113" spans="1:15" ht="15" customHeight="1" x14ac:dyDescent="0.25">
      <c r="A113" s="10" t="s">
        <v>65</v>
      </c>
      <c r="B113" s="10" t="s">
        <v>170</v>
      </c>
      <c r="C113" s="10" t="s">
        <v>30</v>
      </c>
      <c r="D113" s="8">
        <f>Zone_Site_Means!$N$7</f>
        <v>3.3355333333333332</v>
      </c>
      <c r="E113" s="21">
        <f>D113*Parameters!$B$4*Parameters!$B$5</f>
        <v>3.3355333333333335E-6</v>
      </c>
      <c r="F113" s="21">
        <f>E113*Parameters!$D$9*Parameters!$D$10*Parameters!$D$11/(Parameters!$D$8*Parameters!$D$15)</f>
        <v>2.2236888888888886E-7</v>
      </c>
      <c r="G113" s="21">
        <f>E113*Parameters!$D$12*Parameters!$F$31*Parameters!$D$13*Parameters!$D$10*Parameters!$D$11*Parameters!$D$14/(Parameters!$D$8*Parameters!$D$15)</f>
        <v>4.1031931551343843E-7</v>
      </c>
      <c r="H113" s="21">
        <f>F113/Parameters!$B$31</f>
        <v>7.4122962962962953E-3</v>
      </c>
      <c r="I113" s="21">
        <f>G113/Parameters!$B$31</f>
        <v>1.3677310517114615E-2</v>
      </c>
      <c r="J113" s="21">
        <f t="shared" si="2"/>
        <v>2.1089606813410912E-2</v>
      </c>
      <c r="K113" s="21">
        <f>F113*Parameters!$D$15/Parameters!$D$16</f>
        <v>1.9060190476190472E-8</v>
      </c>
      <c r="L113" s="21">
        <f>G113*Parameters!$D$15/Parameters!$D$16</f>
        <v>3.5170227044009012E-8</v>
      </c>
      <c r="M113" s="21">
        <f>K113*Parameters!$C$31</f>
        <v>3.2402323809523801E-7</v>
      </c>
      <c r="N113" s="21">
        <f>L113*Parameters!$C$31</f>
        <v>5.9789385974815316E-7</v>
      </c>
      <c r="O113" s="21">
        <f t="shared" si="3"/>
        <v>9.2191709784339123E-7</v>
      </c>
    </row>
    <row r="114" spans="1:15" ht="15" customHeight="1" x14ac:dyDescent="0.25">
      <c r="A114" s="10" t="s">
        <v>65</v>
      </c>
      <c r="B114" s="10" t="s">
        <v>170</v>
      </c>
      <c r="C114" s="10" t="s">
        <v>31</v>
      </c>
      <c r="D114" s="8">
        <f>Zone_Site_Means!$O$7</f>
        <v>5.179266666666666</v>
      </c>
      <c r="E114" s="21">
        <f>D114*Parameters!$B$4*Parameters!$B$5</f>
        <v>5.1792666666666663E-6</v>
      </c>
      <c r="F114" s="21">
        <f>E114*Parameters!$D$9*Parameters!$D$10*Parameters!$D$11/(Parameters!$D$8*Parameters!$D$15)</f>
        <v>3.4528444444444444E-7</v>
      </c>
      <c r="G114" s="21">
        <f>E114*Parameters!$D$12*Parameters!$F$32*Parameters!$D$13*Parameters!$D$10*Parameters!$D$11*Parameters!$D$14/(Parameters!$D$8*Parameters!$D$15)</f>
        <v>9.741480123897217E-8</v>
      </c>
      <c r="H114" s="21">
        <f>F114/Parameters!$B$32</f>
        <v>6.9056888888888888E-3</v>
      </c>
      <c r="I114" s="21">
        <f>G114/Parameters!$B$32</f>
        <v>1.9482960247794432E-3</v>
      </c>
      <c r="J114" s="21">
        <f t="shared" si="2"/>
        <v>8.8539849136683325E-3</v>
      </c>
      <c r="K114" s="21">
        <f>F114*Parameters!$D$15/Parameters!$D$16</f>
        <v>2.9595809523809523E-8</v>
      </c>
      <c r="L114" s="21">
        <f>G114*Parameters!$D$15/Parameters!$D$16</f>
        <v>8.3498401061976133E-9</v>
      </c>
      <c r="M114" s="21">
        <f>K114*Parameters!$C$32</f>
        <v>4.7353295238095237E-7</v>
      </c>
      <c r="N114" s="21">
        <f>L114*Parameters!$C$32</f>
        <v>1.3359744169916181E-7</v>
      </c>
      <c r="O114" s="21">
        <f t="shared" si="3"/>
        <v>6.0713039408011419E-7</v>
      </c>
    </row>
    <row r="115" spans="1:15" ht="15" customHeight="1" x14ac:dyDescent="0.25">
      <c r="A115" s="10" t="s">
        <v>65</v>
      </c>
      <c r="B115" s="10" t="s">
        <v>170</v>
      </c>
      <c r="C115" s="10" t="s">
        <v>32</v>
      </c>
      <c r="D115" s="8">
        <f>Zone_Site_Means!$P$7</f>
        <v>3.5108666666666664</v>
      </c>
      <c r="E115" s="21">
        <f>D115*Parameters!$B$4*Parameters!$B$5</f>
        <v>3.5108666666666663E-6</v>
      </c>
      <c r="F115" s="21">
        <f>E115*Parameters!$D$9*Parameters!$D$10*Parameters!$D$11/(Parameters!$D$8*Parameters!$D$15)</f>
        <v>2.3405777777777774E-7</v>
      </c>
      <c r="G115" s="21">
        <f>E115*Parameters!$D$12*Parameters!$F$33*Parameters!$D$13*Parameters!$D$10*Parameters!$D$11*Parameters!$D$14/(Parameters!$D$8*Parameters!$D$15)</f>
        <v>2.1099638418606043E-7</v>
      </c>
      <c r="H115" s="21">
        <f>F115/Parameters!$B$33</f>
        <v>4.6811555555555546E-4</v>
      </c>
      <c r="I115" s="21">
        <f>G115/Parameters!$B$33</f>
        <v>4.2199276837212086E-4</v>
      </c>
      <c r="J115" s="21">
        <f t="shared" si="2"/>
        <v>8.9010832392767626E-4</v>
      </c>
      <c r="K115" s="21">
        <f>F115*Parameters!$D$15/Parameters!$D$16</f>
        <v>2.0062095238095233E-8</v>
      </c>
      <c r="L115" s="21">
        <f>G115*Parameters!$D$15/Parameters!$D$16</f>
        <v>1.8085404358805181E-8</v>
      </c>
      <c r="M115" s="21">
        <f>K115*Parameters!$C$33</f>
        <v>9.0279428571428545E-8</v>
      </c>
      <c r="N115" s="21">
        <f>L115*Parameters!$C$33</f>
        <v>8.1384319614623308E-8</v>
      </c>
      <c r="O115" s="21">
        <f t="shared" si="3"/>
        <v>1.7166374818605185E-7</v>
      </c>
    </row>
    <row r="116" spans="1:15" ht="15" customHeight="1" x14ac:dyDescent="0.25">
      <c r="A116" s="10" t="s">
        <v>65</v>
      </c>
      <c r="B116" s="10" t="s">
        <v>170</v>
      </c>
      <c r="C116" s="10" t="s">
        <v>33</v>
      </c>
      <c r="D116" s="8">
        <f>Zone_Site_Means!$Q$7</f>
        <v>5.4470666666666663</v>
      </c>
      <c r="E116" s="21">
        <f>D116*Parameters!$B$4*Parameters!$B$5</f>
        <v>5.4470666666666665E-6</v>
      </c>
      <c r="F116" s="21">
        <f>E116*Parameters!$D$9*Parameters!$D$10*Parameters!$D$11/(Parameters!$D$8*Parameters!$D$15)</f>
        <v>3.6313777777777778E-7</v>
      </c>
      <c r="G116" s="21">
        <f>E116*Parameters!$D$12*Parameters!$F$34*Parameters!$D$13*Parameters!$D$10*Parameters!$D$11*Parameters!$D$14/(Parameters!$D$8*Parameters!$D$15)</f>
        <v>4.8553815881819065E-8</v>
      </c>
      <c r="H116" s="21">
        <f>F116/Parameters!$B$34</f>
        <v>2.7933675213675214E-2</v>
      </c>
      <c r="I116" s="21">
        <f>G116/Parameters!$B$34</f>
        <v>3.734908913986082E-3</v>
      </c>
      <c r="J116" s="21">
        <f t="shared" si="2"/>
        <v>3.1668584127661298E-2</v>
      </c>
      <c r="K116" s="21">
        <f>F116*Parameters!$D$15/Parameters!$D$16</f>
        <v>3.1126095238095241E-8</v>
      </c>
      <c r="L116" s="21">
        <f>G116*Parameters!$D$15/Parameters!$D$16</f>
        <v>4.1617556470130626E-9</v>
      </c>
      <c r="M116" s="21">
        <f>K116*Parameters!$C$34</f>
        <v>2.8324746666666667E-7</v>
      </c>
      <c r="N116" s="21">
        <f>L116*Parameters!$C$34</f>
        <v>3.7871976387818868E-8</v>
      </c>
      <c r="O116" s="21">
        <f t="shared" si="3"/>
        <v>3.2111944305448555E-7</v>
      </c>
    </row>
    <row r="117" spans="1:15" ht="15" customHeight="1" x14ac:dyDescent="0.25">
      <c r="A117" s="10" t="s">
        <v>40</v>
      </c>
      <c r="B117" s="10" t="s">
        <v>169</v>
      </c>
      <c r="C117" s="10" t="s">
        <v>20</v>
      </c>
      <c r="D117" s="8">
        <f>Zone_Site_Means!$D$8</f>
        <v>1.83</v>
      </c>
      <c r="E117" s="21">
        <f>D117*Parameters!$B$4*Parameters!$B$5</f>
        <v>1.8300000000000001E-6</v>
      </c>
      <c r="F117" s="21">
        <f>E117*Parameters!$C$9*Parameters!$C$10*Parameters!$C$11/(Parameters!$C$8*Parameters!$C$15)</f>
        <v>5.2285714285714295E-8</v>
      </c>
      <c r="G117" s="21">
        <f>E117*Parameters!$C$12*Parameters!$F$21*Parameters!$C$13*Parameters!$C$10*Parameters!$C$11*Parameters!$C$14/(Parameters!$C$8*Parameters!$C$15)</f>
        <v>1.3561556834965743E-7</v>
      </c>
      <c r="H117" s="21">
        <f>F117/Parameters!$B$21</f>
        <v>1.0457142857142859E-4</v>
      </c>
      <c r="I117" s="21">
        <f>G117/Parameters!$B$21</f>
        <v>2.7123113669931488E-4</v>
      </c>
      <c r="J117" s="21">
        <f t="shared" si="2"/>
        <v>3.7580256527074347E-4</v>
      </c>
      <c r="K117" s="21">
        <f>F117*Parameters!$C$15/Parameters!$C$16</f>
        <v>5.2285714285714295E-8</v>
      </c>
      <c r="L117" s="21">
        <f>G117*Parameters!$C$15/Parameters!$C$16</f>
        <v>1.3561556834965743E-7</v>
      </c>
      <c r="M117" s="21">
        <f>K117*Parameters!$C$21</f>
        <v>1.7777142857142861E-8</v>
      </c>
      <c r="N117" s="21">
        <f>L117*Parameters!$C$21</f>
        <v>4.6109293238883531E-8</v>
      </c>
      <c r="O117" s="21">
        <f t="shared" si="3"/>
        <v>6.3886436096026392E-8</v>
      </c>
    </row>
    <row r="118" spans="1:15" ht="15" customHeight="1" x14ac:dyDescent="0.25">
      <c r="A118" s="10" t="s">
        <v>40</v>
      </c>
      <c r="B118" s="10" t="s">
        <v>169</v>
      </c>
      <c r="C118" s="10" t="s">
        <v>21</v>
      </c>
      <c r="D118" s="8">
        <f>Zone_Site_Means!$E$8</f>
        <v>2.4656666666666669</v>
      </c>
      <c r="E118" s="21">
        <f>D118*Parameters!$B$4*Parameters!$B$5</f>
        <v>2.465666666666667E-6</v>
      </c>
      <c r="F118" s="21">
        <f>E118*Parameters!$C$9*Parameters!$C$10*Parameters!$C$11/(Parameters!$C$8*Parameters!$C$15)</f>
        <v>7.0447619047619058E-8</v>
      </c>
      <c r="G118" s="21">
        <f>E118*Parameters!$C$12*Parameters!$F$22*Parameters!$C$13*Parameters!$C$10*Parameters!$C$11*Parameters!$C$14/(Parameters!$C$8*Parameters!$C$15)</f>
        <v>2.1927686962691723E-7</v>
      </c>
      <c r="H118" s="21">
        <f>F118/Parameters!$B$22</f>
        <v>1.4089523809523812E-4</v>
      </c>
      <c r="I118" s="21">
        <f>G118/Parameters!$B$22</f>
        <v>4.3855373925383447E-4</v>
      </c>
      <c r="J118" s="21">
        <f t="shared" si="2"/>
        <v>5.7944897734907254E-4</v>
      </c>
      <c r="K118" s="21">
        <f>F118*Parameters!$C$15/Parameters!$C$16</f>
        <v>7.0447619047619058E-8</v>
      </c>
      <c r="L118" s="21">
        <f>G118*Parameters!$C$15/Parameters!$C$16</f>
        <v>2.1927686962691723E-7</v>
      </c>
      <c r="M118" s="21">
        <f>K118*Parameters!$C$22</f>
        <v>2.3952190476190481E-8</v>
      </c>
      <c r="N118" s="21">
        <f>L118*Parameters!$C$22</f>
        <v>7.455413567315186E-8</v>
      </c>
      <c r="O118" s="21">
        <f t="shared" si="3"/>
        <v>9.8506326149342338E-8</v>
      </c>
    </row>
    <row r="119" spans="1:15" ht="15" customHeight="1" x14ac:dyDescent="0.25">
      <c r="A119" s="10" t="s">
        <v>40</v>
      </c>
      <c r="B119" s="10" t="s">
        <v>169</v>
      </c>
      <c r="C119" s="10" t="s">
        <v>22</v>
      </c>
      <c r="D119" s="8">
        <f>Zone_Site_Means!$F$8</f>
        <v>1.9063333333333334</v>
      </c>
      <c r="E119" s="21">
        <f>D119*Parameters!$B$4*Parameters!$B$5</f>
        <v>1.9063333333333335E-6</v>
      </c>
      <c r="F119" s="21">
        <f>E119*Parameters!$C$9*Parameters!$C$10*Parameters!$C$11/(Parameters!$C$8*Parameters!$C$15)</f>
        <v>5.4466666666666665E-8</v>
      </c>
      <c r="G119" s="21">
        <f>E119*Parameters!$C$12*Parameters!$F$23*Parameters!$C$13*Parameters!$C$10*Parameters!$C$11*Parameters!$C$14/(Parameters!$C$8*Parameters!$C$15)</f>
        <v>5.442235118445845E-8</v>
      </c>
      <c r="H119" s="21">
        <f>F119/Parameters!$B$23</f>
        <v>1.0893333333333333E-4</v>
      </c>
      <c r="I119" s="21">
        <f>G119/Parameters!$B$23</f>
        <v>1.088447023689169E-4</v>
      </c>
      <c r="J119" s="21">
        <f t="shared" si="2"/>
        <v>2.1777803570225023E-4</v>
      </c>
      <c r="K119" s="21">
        <f>F119*Parameters!$C$15/Parameters!$C$16</f>
        <v>5.4466666666666658E-8</v>
      </c>
      <c r="L119" s="21">
        <f>G119*Parameters!$C$15/Parameters!$C$16</f>
        <v>5.442235118445845E-8</v>
      </c>
      <c r="M119" s="21">
        <f>K119*Parameters!$C$23</f>
        <v>1.8518666666666666E-8</v>
      </c>
      <c r="N119" s="21">
        <f>L119*Parameters!$C$23</f>
        <v>1.8503599402715875E-8</v>
      </c>
      <c r="O119" s="21">
        <f t="shared" si="3"/>
        <v>3.7022266069382544E-8</v>
      </c>
    </row>
    <row r="120" spans="1:15" ht="15" customHeight="1" x14ac:dyDescent="0.25">
      <c r="A120" s="10" t="s">
        <v>40</v>
      </c>
      <c r="B120" s="10" t="s">
        <v>169</v>
      </c>
      <c r="C120" s="10" t="s">
        <v>23</v>
      </c>
      <c r="D120" s="8">
        <f>Zone_Site_Means!$G$8</f>
        <v>3.0326666666666671</v>
      </c>
      <c r="E120" s="21">
        <f>D120*Parameters!$B$4*Parameters!$B$5</f>
        <v>3.0326666666666672E-6</v>
      </c>
      <c r="F120" s="21">
        <f>E120*Parameters!$C$9*Parameters!$C$10*Parameters!$C$11/(Parameters!$C$8*Parameters!$C$15)</f>
        <v>8.6647619047619058E-8</v>
      </c>
      <c r="G120" s="21">
        <f>E120*Parameters!$C$12*Parameters!$F$24*Parameters!$C$13*Parameters!$C$10*Parameters!$C$11*Parameters!$C$14/(Parameters!$C$8*Parameters!$C$15)</f>
        <v>1.0874345728489617E-7</v>
      </c>
      <c r="H120" s="21">
        <f>F120/Parameters!$B$24</f>
        <v>1.7329523809523812E-4</v>
      </c>
      <c r="I120" s="21">
        <f>G120/Parameters!$B$24</f>
        <v>2.1748691456979235E-4</v>
      </c>
      <c r="J120" s="21">
        <f t="shared" si="2"/>
        <v>3.9078215266503047E-4</v>
      </c>
      <c r="K120" s="21">
        <f>F120*Parameters!$C$15/Parameters!$C$16</f>
        <v>8.6647619047619058E-8</v>
      </c>
      <c r="L120" s="21">
        <f>G120*Parameters!$C$15/Parameters!$C$16</f>
        <v>1.0874345728489618E-7</v>
      </c>
      <c r="M120" s="21">
        <f>K120*Parameters!$C$24</f>
        <v>2.9460190476190483E-8</v>
      </c>
      <c r="N120" s="21">
        <f>L120*Parameters!$C$24</f>
        <v>3.6972775476864707E-8</v>
      </c>
      <c r="O120" s="21">
        <f t="shared" si="3"/>
        <v>6.643296595305519E-8</v>
      </c>
    </row>
    <row r="121" spans="1:15" ht="15" customHeight="1" x14ac:dyDescent="0.25">
      <c r="A121" s="10" t="s">
        <v>40</v>
      </c>
      <c r="B121" s="10" t="s">
        <v>169</v>
      </c>
      <c r="C121" s="10" t="s">
        <v>24</v>
      </c>
      <c r="D121" s="8">
        <f>Zone_Site_Means!$H$8</f>
        <v>4.4896666666666674</v>
      </c>
      <c r="E121" s="21">
        <f>D121*Parameters!$B$4*Parameters!$B$5</f>
        <v>4.4896666666666678E-6</v>
      </c>
      <c r="F121" s="21">
        <f>E121*Parameters!$C$9*Parameters!$C$10*Parameters!$C$11/(Parameters!$C$8*Parameters!$C$15)</f>
        <v>1.2827619047619052E-7</v>
      </c>
      <c r="G121" s="21">
        <f>E121*Parameters!$C$12*Parameters!$F$25*Parameters!$C$13*Parameters!$C$10*Parameters!$C$11*Parameters!$C$14/(Parameters!$C$8*Parameters!$C$15)</f>
        <v>1.6026864192650066E-7</v>
      </c>
      <c r="H121" s="21">
        <f>F121/Parameters!$B$25</f>
        <v>2.5655238095238103E-4</v>
      </c>
      <c r="I121" s="21">
        <f>G121/Parameters!$B$25</f>
        <v>3.205372838530013E-4</v>
      </c>
      <c r="J121" s="21">
        <f t="shared" si="2"/>
        <v>5.7708966480538232E-4</v>
      </c>
      <c r="K121" s="21">
        <f>F121*Parameters!$C$15/Parameters!$C$16</f>
        <v>1.2827619047619052E-7</v>
      </c>
      <c r="L121" s="21">
        <f>G121*Parameters!$C$15/Parameters!$C$16</f>
        <v>1.6026864192650066E-7</v>
      </c>
      <c r="M121" s="21">
        <f>K121*Parameters!$C$25</f>
        <v>4.3613904761904778E-8</v>
      </c>
      <c r="N121" s="21">
        <f>L121*Parameters!$C$25</f>
        <v>5.449133825501023E-8</v>
      </c>
      <c r="O121" s="21">
        <f t="shared" si="3"/>
        <v>9.8105243016915008E-8</v>
      </c>
    </row>
    <row r="122" spans="1:15" ht="15" customHeight="1" x14ac:dyDescent="0.25">
      <c r="A122" s="10" t="s">
        <v>40</v>
      </c>
      <c r="B122" s="10" t="s">
        <v>169</v>
      </c>
      <c r="C122" s="10" t="s">
        <v>25</v>
      </c>
      <c r="D122" s="8">
        <f>Zone_Site_Means!$I$8</f>
        <v>7.6759999999999993</v>
      </c>
      <c r="E122" s="21">
        <f>D122*Parameters!$B$4*Parameters!$B$5</f>
        <v>7.675999999999999E-6</v>
      </c>
      <c r="F122" s="21">
        <f>E122*Parameters!$C$9*Parameters!$C$10*Parameters!$C$11/(Parameters!$C$8*Parameters!$C$15)</f>
        <v>2.1931428571428571E-7</v>
      </c>
      <c r="G122" s="21">
        <f>E122*Parameters!$C$12*Parameters!$F$26*Parameters!$C$13*Parameters!$C$10*Parameters!$C$11*Parameters!$C$14/(Parameters!$C$8*Parameters!$C$15)</f>
        <v>5.9479789751787647E-7</v>
      </c>
      <c r="H122" s="21">
        <f>F122/Parameters!$B$26</f>
        <v>4.3862857142857139E-4</v>
      </c>
      <c r="I122" s="21">
        <f>G122/Parameters!$B$26</f>
        <v>1.1895957950357528E-3</v>
      </c>
      <c r="J122" s="21">
        <f t="shared" si="2"/>
        <v>1.6282243664643243E-3</v>
      </c>
      <c r="K122" s="21">
        <f>F122*Parameters!$C$15/Parameters!$C$16</f>
        <v>2.1931428571428571E-7</v>
      </c>
      <c r="L122" s="21">
        <f>G122*Parameters!$C$15/Parameters!$C$16</f>
        <v>5.9479789751787647E-7</v>
      </c>
      <c r="M122" s="21">
        <f>K122*Parameters!$C$26</f>
        <v>7.4566857142857142E-8</v>
      </c>
      <c r="N122" s="21">
        <f>L122*Parameters!$C$26</f>
        <v>2.02231285156078E-7</v>
      </c>
      <c r="O122" s="21">
        <f t="shared" si="3"/>
        <v>2.7679814229893516E-7</v>
      </c>
    </row>
    <row r="123" spans="1:15" ht="15" customHeight="1" x14ac:dyDescent="0.25">
      <c r="A123" s="10" t="s">
        <v>40</v>
      </c>
      <c r="B123" s="10" t="s">
        <v>169</v>
      </c>
      <c r="C123" s="10" t="s">
        <v>26</v>
      </c>
      <c r="D123" s="8">
        <f>Zone_Site_Means!$J$8</f>
        <v>2.7520000000000002</v>
      </c>
      <c r="E123" s="21">
        <f>D123*Parameters!$B$4*Parameters!$B$5</f>
        <v>2.7520000000000001E-6</v>
      </c>
      <c r="F123" s="21">
        <f>E123*Parameters!$C$9*Parameters!$C$10*Parameters!$C$11/(Parameters!$C$8*Parameters!$C$15)</f>
        <v>7.8628571428571435E-8</v>
      </c>
      <c r="G123" s="21">
        <f>E123*Parameters!$C$12*Parameters!$F$27*Parameters!$C$13*Parameters!$C$10*Parameters!$C$11*Parameters!$C$14/(Parameters!$C$8*Parameters!$C$15)</f>
        <v>4.9272305998736597E-9</v>
      </c>
      <c r="H123" s="21">
        <f>F123/Parameters!$B$27</f>
        <v>2.6209523809523814E-4</v>
      </c>
      <c r="I123" s="21">
        <f>G123/Parameters!$B$27</f>
        <v>1.6424101999578868E-5</v>
      </c>
      <c r="J123" s="21">
        <f t="shared" si="2"/>
        <v>2.7851934009481702E-4</v>
      </c>
      <c r="K123" s="21">
        <f>F123*Parameters!$C$15/Parameters!$C$16</f>
        <v>7.8628571428571435E-8</v>
      </c>
      <c r="L123" s="21">
        <f>G123*Parameters!$C$15/Parameters!$C$16</f>
        <v>4.9272305998736597E-9</v>
      </c>
      <c r="M123" s="21">
        <f>K123*Parameters!$C$27</f>
        <v>4.9536000000000001E-7</v>
      </c>
      <c r="N123" s="21">
        <f>L123*Parameters!$C$27</f>
        <v>3.1041552779204055E-8</v>
      </c>
      <c r="O123" s="21">
        <f t="shared" si="3"/>
        <v>5.264015527792041E-7</v>
      </c>
    </row>
    <row r="124" spans="1:15" ht="15" customHeight="1" x14ac:dyDescent="0.25">
      <c r="A124" s="10" t="s">
        <v>40</v>
      </c>
      <c r="B124" s="10" t="s">
        <v>169</v>
      </c>
      <c r="C124" s="10" t="s">
        <v>27</v>
      </c>
      <c r="D124" s="8">
        <f>Zone_Site_Means!$K$8</f>
        <v>4.1206666666666658</v>
      </c>
      <c r="E124" s="21">
        <f>D124*Parameters!$B$4*Parameters!$B$5</f>
        <v>4.120666666666666E-6</v>
      </c>
      <c r="F124" s="21">
        <f>E124*Parameters!$C$9*Parameters!$C$10*Parameters!$C$11/(Parameters!$C$8*Parameters!$C$15)</f>
        <v>1.177333333333333E-7</v>
      </c>
      <c r="G124" s="21">
        <f>E124*Parameters!$C$12*Parameters!$F$28*Parameters!$C$13*Parameters!$C$10*Parameters!$C$11*Parameters!$C$14/(Parameters!$C$8*Parameters!$C$15)</f>
        <v>7.1568504652327042E-9</v>
      </c>
      <c r="H124" s="21">
        <f>F124/Parameters!$B$28</f>
        <v>3.9244444444444439E-4</v>
      </c>
      <c r="I124" s="21">
        <f>G124/Parameters!$B$28</f>
        <v>2.3856168217442349E-5</v>
      </c>
      <c r="J124" s="21">
        <f t="shared" si="2"/>
        <v>4.1630061266188675E-4</v>
      </c>
      <c r="K124" s="21">
        <f>F124*Parameters!$C$15/Parameters!$C$16</f>
        <v>1.177333333333333E-7</v>
      </c>
      <c r="L124" s="21">
        <f>G124*Parameters!$C$15/Parameters!$C$16</f>
        <v>7.1568504652327042E-9</v>
      </c>
      <c r="M124" s="21">
        <f>K124*Parameters!$C$28</f>
        <v>2.1191999999999995E-7</v>
      </c>
      <c r="N124" s="21">
        <f>L124*Parameters!$C$28</f>
        <v>1.2882330837418867E-8</v>
      </c>
      <c r="O124" s="21">
        <f t="shared" si="3"/>
        <v>2.2480233083741882E-7</v>
      </c>
    </row>
    <row r="125" spans="1:15" ht="15" customHeight="1" x14ac:dyDescent="0.25">
      <c r="A125" s="10" t="s">
        <v>40</v>
      </c>
      <c r="B125" s="10" t="s">
        <v>169</v>
      </c>
      <c r="C125" s="10" t="s">
        <v>28</v>
      </c>
      <c r="D125" s="8">
        <f>Zone_Site_Means!$L$8</f>
        <v>0.5</v>
      </c>
      <c r="E125" s="21">
        <f>D125*Parameters!$B$4*Parameters!$B$5</f>
        <v>4.9999999999999998E-7</v>
      </c>
      <c r="F125" s="21">
        <f>E125*Parameters!$C$9*Parameters!$C$10*Parameters!$C$11/(Parameters!$C$8*Parameters!$C$15)</f>
        <v>1.4285714285714286E-8</v>
      </c>
      <c r="G125" s="21">
        <f>E125*Parameters!$C$12*Parameters!$F$29*Parameters!$C$13*Parameters!$C$10*Parameters!$C$11*Parameters!$C$14/(Parameters!$C$8*Parameters!$C$15)</f>
        <v>7.9272848330668775E-10</v>
      </c>
      <c r="H125" s="21">
        <f>F125/Parameters!$B$29</f>
        <v>4.7619047619047627E-5</v>
      </c>
      <c r="I125" s="21">
        <f>G125/Parameters!$B$29</f>
        <v>2.6424282776889595E-6</v>
      </c>
      <c r="J125" s="21">
        <f t="shared" si="2"/>
        <v>5.0261475896736588E-5</v>
      </c>
      <c r="K125" s="21">
        <f>F125*Parameters!$C$15/Parameters!$C$16</f>
        <v>1.4285714285714284E-8</v>
      </c>
      <c r="L125" s="21">
        <f>G125*Parameters!$C$15/Parameters!$C$16</f>
        <v>7.9272848330668775E-10</v>
      </c>
      <c r="M125" s="21">
        <f>K125*Parameters!$C$29</f>
        <v>1.8571428571428572E-8</v>
      </c>
      <c r="N125" s="21">
        <f>L125*Parameters!$C$29</f>
        <v>1.0305470282986941E-9</v>
      </c>
      <c r="O125" s="21">
        <f t="shared" si="3"/>
        <v>1.9601975599727267E-8</v>
      </c>
    </row>
    <row r="126" spans="1:15" ht="15" customHeight="1" x14ac:dyDescent="0.25">
      <c r="A126" s="10" t="s">
        <v>40</v>
      </c>
      <c r="B126" s="10" t="s">
        <v>169</v>
      </c>
      <c r="C126" s="10" t="s">
        <v>29</v>
      </c>
      <c r="D126" s="8">
        <f>Zone_Site_Means!$M$8</f>
        <v>0.5</v>
      </c>
      <c r="E126" s="21">
        <f>D126*Parameters!$B$4*Parameters!$B$5</f>
        <v>4.9999999999999998E-7</v>
      </c>
      <c r="F126" s="21">
        <f>E126*Parameters!$C$9*Parameters!$C$10*Parameters!$C$11/(Parameters!$C$8*Parameters!$C$15)</f>
        <v>1.4285714285714286E-8</v>
      </c>
      <c r="G126" s="21">
        <f>E126*Parameters!$C$12*Parameters!$F$30*Parameters!$C$13*Parameters!$C$10*Parameters!$C$11*Parameters!$C$14/(Parameters!$C$8*Parameters!$C$15)</f>
        <v>1.5008056741401222E-9</v>
      </c>
      <c r="H126" s="21">
        <f>F126/Parameters!$B$30</f>
        <v>4.7619047619047627E-5</v>
      </c>
      <c r="I126" s="21">
        <f>G126/Parameters!$B$30</f>
        <v>5.0026855804670745E-6</v>
      </c>
      <c r="J126" s="21">
        <f t="shared" si="2"/>
        <v>5.2621733199514702E-5</v>
      </c>
      <c r="K126" s="21">
        <f>F126*Parameters!$C$15/Parameters!$C$16</f>
        <v>1.4285714285714284E-8</v>
      </c>
      <c r="L126" s="21">
        <f>G126*Parameters!$C$15/Parameters!$C$16</f>
        <v>1.5008056741401222E-9</v>
      </c>
      <c r="M126" s="21">
        <f>K126*Parameters!$C$30</f>
        <v>0</v>
      </c>
      <c r="N126" s="21">
        <f>L126*Parameters!$C$30</f>
        <v>0</v>
      </c>
      <c r="O126" s="21">
        <f t="shared" si="3"/>
        <v>0</v>
      </c>
    </row>
    <row r="127" spans="1:15" ht="15" customHeight="1" x14ac:dyDescent="0.25">
      <c r="A127" s="10" t="s">
        <v>40</v>
      </c>
      <c r="B127" s="10" t="s">
        <v>169</v>
      </c>
      <c r="C127" s="10" t="s">
        <v>30</v>
      </c>
      <c r="D127" s="8">
        <f>Zone_Site_Means!$N$8</f>
        <v>0.5</v>
      </c>
      <c r="E127" s="21">
        <f>D127*Parameters!$B$4*Parameters!$B$5</f>
        <v>4.9999999999999998E-7</v>
      </c>
      <c r="F127" s="21">
        <f>E127*Parameters!$C$9*Parameters!$C$10*Parameters!$C$11/(Parameters!$C$8*Parameters!$C$15)</f>
        <v>1.4285714285714286E-8</v>
      </c>
      <c r="G127" s="21">
        <f>E127*Parameters!$C$12*Parameters!$F$31*Parameters!$C$13*Parameters!$C$10*Parameters!$C$11*Parameters!$C$14/(Parameters!$C$8*Parameters!$C$15)</f>
        <v>2.0848579161585962E-8</v>
      </c>
      <c r="H127" s="21">
        <f>F127/Parameters!$B$31</f>
        <v>4.7619047619047619E-4</v>
      </c>
      <c r="I127" s="21">
        <f>G127/Parameters!$B$31</f>
        <v>6.9495263871953211E-4</v>
      </c>
      <c r="J127" s="21">
        <f t="shared" si="2"/>
        <v>1.1711431149100083E-3</v>
      </c>
      <c r="K127" s="21">
        <f>F127*Parameters!$C$15/Parameters!$C$16</f>
        <v>1.4285714285714284E-8</v>
      </c>
      <c r="L127" s="21">
        <f>G127*Parameters!$C$15/Parameters!$C$16</f>
        <v>2.0848579161585962E-8</v>
      </c>
      <c r="M127" s="21">
        <f>K127*Parameters!$C$31</f>
        <v>2.4285714285714282E-7</v>
      </c>
      <c r="N127" s="21">
        <f>L127*Parameters!$C$31</f>
        <v>3.5442584574696135E-7</v>
      </c>
      <c r="O127" s="21">
        <f t="shared" si="3"/>
        <v>5.9728298860410421E-7</v>
      </c>
    </row>
    <row r="128" spans="1:15" ht="15" customHeight="1" x14ac:dyDescent="0.25">
      <c r="A128" s="10" t="s">
        <v>40</v>
      </c>
      <c r="B128" s="10" t="s">
        <v>169</v>
      </c>
      <c r="C128" s="10" t="s">
        <v>31</v>
      </c>
      <c r="D128" s="8">
        <f>Zone_Site_Means!$O$8</f>
        <v>1.43</v>
      </c>
      <c r="E128" s="21">
        <f>D128*Parameters!$B$4*Parameters!$B$5</f>
        <v>1.4300000000000001E-6</v>
      </c>
      <c r="F128" s="21">
        <f>E128*Parameters!$C$9*Parameters!$C$10*Parameters!$C$11/(Parameters!$C$8*Parameters!$C$15)</f>
        <v>4.0857142857142853E-8</v>
      </c>
      <c r="G128" s="21">
        <f>E128*Parameters!$C$12*Parameters!$F$32*Parameters!$C$13*Parameters!$C$10*Parameters!$C$11*Parameters!$C$14/(Parameters!$C$8*Parameters!$C$15)</f>
        <v>9.1168014391768829E-9</v>
      </c>
      <c r="H128" s="21">
        <f>F128/Parameters!$B$32</f>
        <v>8.1714285714285699E-4</v>
      </c>
      <c r="I128" s="21">
        <f>G128/Parameters!$B$32</f>
        <v>1.8233602878353766E-4</v>
      </c>
      <c r="J128" s="21">
        <f t="shared" si="2"/>
        <v>9.9947888592639457E-4</v>
      </c>
      <c r="K128" s="21">
        <f>F128*Parameters!$C$15/Parameters!$C$16</f>
        <v>4.0857142857142853E-8</v>
      </c>
      <c r="L128" s="21">
        <f>G128*Parameters!$C$15/Parameters!$C$16</f>
        <v>9.1168014391768829E-9</v>
      </c>
      <c r="M128" s="21">
        <f>K128*Parameters!$C$32</f>
        <v>6.5371428571428565E-7</v>
      </c>
      <c r="N128" s="21">
        <f>L128*Parameters!$C$32</f>
        <v>1.4586882302683013E-7</v>
      </c>
      <c r="O128" s="21">
        <f t="shared" si="3"/>
        <v>7.9958310874111578E-7</v>
      </c>
    </row>
    <row r="129" spans="1:15" ht="15" customHeight="1" x14ac:dyDescent="0.25">
      <c r="A129" s="10" t="s">
        <v>40</v>
      </c>
      <c r="B129" s="10" t="s">
        <v>169</v>
      </c>
      <c r="C129" s="10" t="s">
        <v>32</v>
      </c>
      <c r="D129" s="8">
        <f>Zone_Site_Means!$P$8</f>
        <v>0.5</v>
      </c>
      <c r="E129" s="21">
        <f>D129*Parameters!$B$4*Parameters!$B$5</f>
        <v>4.9999999999999998E-7</v>
      </c>
      <c r="F129" s="21">
        <f>E129*Parameters!$C$9*Parameters!$C$10*Parameters!$C$11/(Parameters!$C$8*Parameters!$C$15)</f>
        <v>1.4285714285714286E-8</v>
      </c>
      <c r="G129" s="21">
        <f>E129*Parameters!$C$12*Parameters!$F$33*Parameters!$C$13*Parameters!$C$10*Parameters!$C$11*Parameters!$C$14/(Parameters!$C$8*Parameters!$C$15)</f>
        <v>1.018545567106834E-8</v>
      </c>
      <c r="H129" s="21">
        <f>F129/Parameters!$B$33</f>
        <v>2.8571428571428571E-5</v>
      </c>
      <c r="I129" s="21">
        <f>G129/Parameters!$B$33</f>
        <v>2.0370911342136681E-5</v>
      </c>
      <c r="J129" s="21">
        <f t="shared" si="2"/>
        <v>4.8942339913565251E-5</v>
      </c>
      <c r="K129" s="21">
        <f>F129*Parameters!$C$15/Parameters!$C$16</f>
        <v>1.4285714285714284E-8</v>
      </c>
      <c r="L129" s="21">
        <f>G129*Parameters!$C$15/Parameters!$C$16</f>
        <v>1.0185455671068339E-8</v>
      </c>
      <c r="M129" s="21">
        <f>K129*Parameters!$C$33</f>
        <v>6.4285714285714277E-8</v>
      </c>
      <c r="N129" s="21">
        <f>L129*Parameters!$C$33</f>
        <v>4.5834550519807525E-8</v>
      </c>
      <c r="O129" s="21">
        <f t="shared" si="3"/>
        <v>1.1012026480552181E-7</v>
      </c>
    </row>
    <row r="130" spans="1:15" ht="15" customHeight="1" x14ac:dyDescent="0.25">
      <c r="A130" s="10" t="s">
        <v>40</v>
      </c>
      <c r="B130" s="10" t="s">
        <v>169</v>
      </c>
      <c r="C130" s="10" t="s">
        <v>33</v>
      </c>
      <c r="D130" s="8">
        <f>Zone_Site_Means!$Q$8</f>
        <v>1.9633333333333336</v>
      </c>
      <c r="E130" s="21">
        <f>D130*Parameters!$B$4*Parameters!$B$5</f>
        <v>1.9633333333333333E-6</v>
      </c>
      <c r="F130" s="21">
        <f>E130*Parameters!$C$9*Parameters!$C$10*Parameters!$C$11/(Parameters!$C$8*Parameters!$C$15)</f>
        <v>5.6095238095238092E-8</v>
      </c>
      <c r="G130" s="21">
        <f>E130*Parameters!$C$12*Parameters!$F$34*Parameters!$C$13*Parameters!$C$10*Parameters!$C$11*Parameters!$C$14/(Parameters!$C$8*Parameters!$C$15)</f>
        <v>5.932045844521555E-9</v>
      </c>
      <c r="H130" s="21">
        <f>F130/Parameters!$B$34</f>
        <v>4.3150183150183147E-3</v>
      </c>
      <c r="I130" s="21">
        <f>G130/Parameters!$B$34</f>
        <v>4.563112188093504E-4</v>
      </c>
      <c r="J130" s="21">
        <f t="shared" si="2"/>
        <v>4.7713295338276647E-3</v>
      </c>
      <c r="K130" s="21">
        <f>F130*Parameters!$C$15/Parameters!$C$16</f>
        <v>5.6095238095238092E-8</v>
      </c>
      <c r="L130" s="21">
        <f>G130*Parameters!$C$15/Parameters!$C$16</f>
        <v>5.932045844521555E-9</v>
      </c>
      <c r="M130" s="21">
        <f>K130*Parameters!$C$34</f>
        <v>5.1046666666666662E-7</v>
      </c>
      <c r="N130" s="21">
        <f>L130*Parameters!$C$34</f>
        <v>5.3981617185146149E-8</v>
      </c>
      <c r="O130" s="21">
        <f t="shared" si="3"/>
        <v>5.6444828385181272E-7</v>
      </c>
    </row>
    <row r="131" spans="1:15" ht="15" customHeight="1" x14ac:dyDescent="0.25">
      <c r="A131" s="10" t="s">
        <v>40</v>
      </c>
      <c r="B131" s="10" t="s">
        <v>170</v>
      </c>
      <c r="C131" s="10" t="s">
        <v>20</v>
      </c>
      <c r="D131" s="8">
        <f>Zone_Site_Means!$D$8</f>
        <v>1.83</v>
      </c>
      <c r="E131" s="21">
        <f>D131*Parameters!$B$4*Parameters!$B$5</f>
        <v>1.8300000000000001E-6</v>
      </c>
      <c r="F131" s="21">
        <f>E131*Parameters!$D$9*Parameters!$D$10*Parameters!$D$11/(Parameters!$D$8*Parameters!$D$15)</f>
        <v>1.2200000000000001E-7</v>
      </c>
      <c r="G131" s="21">
        <f>E131*Parameters!$D$12*Parameters!$F$21*Parameters!$D$13*Parameters!$D$10*Parameters!$D$11*Parameters!$D$14/(Parameters!$D$8*Parameters!$D$15)</f>
        <v>4.0009190662542606E-7</v>
      </c>
      <c r="H131" s="21">
        <f>F131/Parameters!$B$21</f>
        <v>2.4400000000000002E-4</v>
      </c>
      <c r="I131" s="21">
        <f>G131/Parameters!$B$21</f>
        <v>8.0018381325085207E-4</v>
      </c>
      <c r="J131" s="21">
        <f t="shared" si="2"/>
        <v>1.044183813250852E-3</v>
      </c>
      <c r="K131" s="21">
        <f>F131*Parameters!$D$15/Parameters!$D$16</f>
        <v>1.0457142857142857E-8</v>
      </c>
      <c r="L131" s="21">
        <f>G131*Parameters!$D$15/Parameters!$D$16</f>
        <v>3.4293591996465092E-8</v>
      </c>
      <c r="M131" s="21">
        <f>K131*Parameters!$C$21</f>
        <v>3.555428571428572E-9</v>
      </c>
      <c r="N131" s="21">
        <f>L131*Parameters!$C$21</f>
        <v>1.1659821278798133E-8</v>
      </c>
      <c r="O131" s="21">
        <f t="shared" si="3"/>
        <v>1.5215249850226706E-8</v>
      </c>
    </row>
    <row r="132" spans="1:15" ht="15" customHeight="1" x14ac:dyDescent="0.25">
      <c r="A132" s="10" t="s">
        <v>40</v>
      </c>
      <c r="B132" s="10" t="s">
        <v>170</v>
      </c>
      <c r="C132" s="10" t="s">
        <v>21</v>
      </c>
      <c r="D132" s="8">
        <f>Zone_Site_Means!$E$8</f>
        <v>2.4656666666666669</v>
      </c>
      <c r="E132" s="21">
        <f>D132*Parameters!$B$4*Parameters!$B$5</f>
        <v>2.465666666666667E-6</v>
      </c>
      <c r="F132" s="21">
        <f>E132*Parameters!$D$9*Parameters!$D$10*Parameters!$D$11/(Parameters!$D$8*Parameters!$D$15)</f>
        <v>1.6437777777777782E-7</v>
      </c>
      <c r="G132" s="21">
        <f>E132*Parameters!$D$12*Parameters!$F$22*Parameters!$D$13*Parameters!$D$10*Parameters!$D$11*Parameters!$D$14/(Parameters!$D$8*Parameters!$D$15)</f>
        <v>6.4690877246255268E-7</v>
      </c>
      <c r="H132" s="21">
        <f>F132/Parameters!$B$22</f>
        <v>3.2875555555555563E-4</v>
      </c>
      <c r="I132" s="21">
        <f>G132/Parameters!$B$22</f>
        <v>1.2938175449251053E-3</v>
      </c>
      <c r="J132" s="21">
        <f t="shared" si="2"/>
        <v>1.6225731004806609E-3</v>
      </c>
      <c r="K132" s="21">
        <f>F132*Parameters!$D$15/Parameters!$D$16</f>
        <v>1.4089523809523813E-8</v>
      </c>
      <c r="L132" s="21">
        <f>G132*Parameters!$D$15/Parameters!$D$16</f>
        <v>5.5449323353933084E-8</v>
      </c>
      <c r="M132" s="21">
        <f>K132*Parameters!$C$22</f>
        <v>4.7904380952380966E-9</v>
      </c>
      <c r="N132" s="21">
        <f>L132*Parameters!$C$22</f>
        <v>1.8852769940337249E-8</v>
      </c>
      <c r="O132" s="21">
        <f t="shared" si="3"/>
        <v>2.3643208035575346E-8</v>
      </c>
    </row>
    <row r="133" spans="1:15" ht="15" customHeight="1" x14ac:dyDescent="0.25">
      <c r="A133" s="10" t="s">
        <v>40</v>
      </c>
      <c r="B133" s="10" t="s">
        <v>170</v>
      </c>
      <c r="C133" s="10" t="s">
        <v>22</v>
      </c>
      <c r="D133" s="8">
        <f>Zone_Site_Means!$F$8</f>
        <v>1.9063333333333334</v>
      </c>
      <c r="E133" s="21">
        <f>D133*Parameters!$B$4*Parameters!$B$5</f>
        <v>1.9063333333333335E-6</v>
      </c>
      <c r="F133" s="21">
        <f>E133*Parameters!$D$9*Parameters!$D$10*Parameters!$D$11/(Parameters!$D$8*Parameters!$D$15)</f>
        <v>1.2708888888888892E-7</v>
      </c>
      <c r="G133" s="21">
        <f>E133*Parameters!$D$12*Parameters!$F$23*Parameters!$D$13*Parameters!$D$10*Parameters!$D$11*Parameters!$D$14/(Parameters!$D$8*Parameters!$D$15)</f>
        <v>1.6055636173192724E-7</v>
      </c>
      <c r="H133" s="21">
        <f>F133/Parameters!$B$23</f>
        <v>2.5417777777777785E-4</v>
      </c>
      <c r="I133" s="21">
        <f>G133/Parameters!$B$23</f>
        <v>3.211127234638545E-4</v>
      </c>
      <c r="J133" s="21">
        <f t="shared" ref="J133:J196" si="4">H133+I133</f>
        <v>5.752905012416324E-4</v>
      </c>
      <c r="K133" s="21">
        <f>F133*Parameters!$D$15/Parameters!$D$16</f>
        <v>1.0893333333333336E-8</v>
      </c>
      <c r="L133" s="21">
        <f>G133*Parameters!$D$15/Parameters!$D$16</f>
        <v>1.3761973862736621E-8</v>
      </c>
      <c r="M133" s="21">
        <f>K133*Parameters!$C$23</f>
        <v>3.7037333333333345E-9</v>
      </c>
      <c r="N133" s="21">
        <f>L133*Parameters!$C$23</f>
        <v>4.6790711133304519E-9</v>
      </c>
      <c r="O133" s="21">
        <f t="shared" ref="O133:O196" si="5">M133+N133</f>
        <v>8.3828044466637864E-9</v>
      </c>
    </row>
    <row r="134" spans="1:15" ht="15" customHeight="1" x14ac:dyDescent="0.25">
      <c r="A134" s="10" t="s">
        <v>40</v>
      </c>
      <c r="B134" s="10" t="s">
        <v>170</v>
      </c>
      <c r="C134" s="10" t="s">
        <v>23</v>
      </c>
      <c r="D134" s="8">
        <f>Zone_Site_Means!$G$8</f>
        <v>3.0326666666666671</v>
      </c>
      <c r="E134" s="21">
        <f>D134*Parameters!$B$4*Parameters!$B$5</f>
        <v>3.0326666666666672E-6</v>
      </c>
      <c r="F134" s="21">
        <f>E134*Parameters!$D$9*Parameters!$D$10*Parameters!$D$11/(Parameters!$D$8*Parameters!$D$15)</f>
        <v>2.0217777777777782E-7</v>
      </c>
      <c r="G134" s="21">
        <f>E134*Parameters!$D$12*Parameters!$F$24*Parameters!$D$13*Parameters!$D$10*Parameters!$D$11*Parameters!$D$14/(Parameters!$D$8*Parameters!$D$15)</f>
        <v>3.2081403107038334E-7</v>
      </c>
      <c r="H134" s="21">
        <f>F134/Parameters!$B$24</f>
        <v>4.0435555555555562E-4</v>
      </c>
      <c r="I134" s="21">
        <f>G134/Parameters!$B$24</f>
        <v>6.416280621407667E-4</v>
      </c>
      <c r="J134" s="21">
        <f t="shared" si="4"/>
        <v>1.0459836176963224E-3</v>
      </c>
      <c r="K134" s="21">
        <f>F134*Parameters!$D$15/Parameters!$D$16</f>
        <v>1.7329523809523814E-8</v>
      </c>
      <c r="L134" s="21">
        <f>G134*Parameters!$D$15/Parameters!$D$16</f>
        <v>2.7498345520318572E-8</v>
      </c>
      <c r="M134" s="21">
        <f>K134*Parameters!$C$24</f>
        <v>5.8920380952380971E-9</v>
      </c>
      <c r="N134" s="21">
        <f>L134*Parameters!$C$24</f>
        <v>9.3494374769083155E-9</v>
      </c>
      <c r="O134" s="21">
        <f t="shared" si="5"/>
        <v>1.5241475572146413E-8</v>
      </c>
    </row>
    <row r="135" spans="1:15" ht="15" customHeight="1" x14ac:dyDescent="0.25">
      <c r="A135" s="10" t="s">
        <v>40</v>
      </c>
      <c r="B135" s="10" t="s">
        <v>170</v>
      </c>
      <c r="C135" s="10" t="s">
        <v>24</v>
      </c>
      <c r="D135" s="8">
        <f>Zone_Site_Means!$H$8</f>
        <v>4.4896666666666674</v>
      </c>
      <c r="E135" s="21">
        <f>D135*Parameters!$B$4*Parameters!$B$5</f>
        <v>4.4896666666666678E-6</v>
      </c>
      <c r="F135" s="21">
        <f>E135*Parameters!$D$9*Parameters!$D$10*Parameters!$D$11/(Parameters!$D$8*Parameters!$D$15)</f>
        <v>2.9931111111111114E-7</v>
      </c>
      <c r="G135" s="21">
        <f>E135*Parameters!$D$12*Parameters!$F$25*Parameters!$D$13*Parameters!$D$10*Parameters!$D$11*Parameters!$D$14/(Parameters!$D$8*Parameters!$D$15)</f>
        <v>4.7282319648814384E-7</v>
      </c>
      <c r="H135" s="21">
        <f>F135/Parameters!$B$25</f>
        <v>5.9862222222222222E-4</v>
      </c>
      <c r="I135" s="21">
        <f>G135/Parameters!$B$25</f>
        <v>9.4564639297628765E-4</v>
      </c>
      <c r="J135" s="21">
        <f t="shared" si="4"/>
        <v>1.5442686151985099E-3</v>
      </c>
      <c r="K135" s="21">
        <f>F135*Parameters!$D$15/Parameters!$D$16</f>
        <v>2.5655238095238098E-8</v>
      </c>
      <c r="L135" s="21">
        <f>G135*Parameters!$D$15/Parameters!$D$16</f>
        <v>4.0527702556126617E-8</v>
      </c>
      <c r="M135" s="21">
        <f>K135*Parameters!$C$25</f>
        <v>8.7227809523809536E-9</v>
      </c>
      <c r="N135" s="21">
        <f>L135*Parameters!$C$25</f>
        <v>1.3779418869083051E-8</v>
      </c>
      <c r="O135" s="21">
        <f t="shared" si="5"/>
        <v>2.2502199821464006E-8</v>
      </c>
    </row>
    <row r="136" spans="1:15" ht="15" customHeight="1" x14ac:dyDescent="0.25">
      <c r="A136" s="10" t="s">
        <v>40</v>
      </c>
      <c r="B136" s="10" t="s">
        <v>170</v>
      </c>
      <c r="C136" s="10" t="s">
        <v>25</v>
      </c>
      <c r="D136" s="8">
        <f>Zone_Site_Means!$I$8</f>
        <v>7.6759999999999993</v>
      </c>
      <c r="E136" s="21">
        <f>D136*Parameters!$B$4*Parameters!$B$5</f>
        <v>7.675999999999999E-6</v>
      </c>
      <c r="F136" s="21">
        <f>E136*Parameters!$D$9*Parameters!$D$10*Parameters!$D$11/(Parameters!$D$8*Parameters!$D$15)</f>
        <v>5.117333333333332E-7</v>
      </c>
      <c r="G136" s="21">
        <f>E136*Parameters!$D$12*Parameters!$F$26*Parameters!$D$13*Parameters!$D$10*Parameters!$D$11*Parameters!$D$14/(Parameters!$D$8*Parameters!$D$15)</f>
        <v>1.7547677436351149E-6</v>
      </c>
      <c r="H136" s="21">
        <f>F136/Parameters!$B$26</f>
        <v>1.0234666666666663E-3</v>
      </c>
      <c r="I136" s="21">
        <f>G136/Parameters!$B$26</f>
        <v>3.5095354872702296E-3</v>
      </c>
      <c r="J136" s="21">
        <f t="shared" si="4"/>
        <v>4.5330021539368957E-3</v>
      </c>
      <c r="K136" s="21">
        <f>F136*Parameters!$D$15/Parameters!$D$16</f>
        <v>4.3862857142857134E-8</v>
      </c>
      <c r="L136" s="21">
        <f>G136*Parameters!$D$15/Parameters!$D$16</f>
        <v>1.5040866374015272E-7</v>
      </c>
      <c r="M136" s="21">
        <f>K136*Parameters!$C$26</f>
        <v>1.4913371428571426E-8</v>
      </c>
      <c r="N136" s="21">
        <f>L136*Parameters!$C$26</f>
        <v>5.1138945671651928E-8</v>
      </c>
      <c r="O136" s="21">
        <f t="shared" si="5"/>
        <v>6.6052317100223347E-8</v>
      </c>
    </row>
    <row r="137" spans="1:15" ht="15" customHeight="1" x14ac:dyDescent="0.25">
      <c r="A137" s="10" t="s">
        <v>40</v>
      </c>
      <c r="B137" s="10" t="s">
        <v>170</v>
      </c>
      <c r="C137" s="10" t="s">
        <v>26</v>
      </c>
      <c r="D137" s="8">
        <f>Zone_Site_Means!$J$8</f>
        <v>2.7520000000000002</v>
      </c>
      <c r="E137" s="21">
        <f>D137*Parameters!$B$4*Parameters!$B$5</f>
        <v>2.7520000000000001E-6</v>
      </c>
      <c r="F137" s="21">
        <f>E137*Parameters!$D$9*Parameters!$D$10*Parameters!$D$11/(Parameters!$D$8*Parameters!$D$15)</f>
        <v>1.8346666666666667E-7</v>
      </c>
      <c r="G137" s="21">
        <f>E137*Parameters!$D$12*Parameters!$F$27*Parameters!$D$13*Parameters!$D$10*Parameters!$D$11*Parameters!$D$14/(Parameters!$D$8*Parameters!$D$15)</f>
        <v>1.4536274183535319E-8</v>
      </c>
      <c r="H137" s="21">
        <f>F137/Parameters!$B$27</f>
        <v>6.1155555555555562E-4</v>
      </c>
      <c r="I137" s="21">
        <f>G137/Parameters!$B$27</f>
        <v>4.8454247278451066E-5</v>
      </c>
      <c r="J137" s="21">
        <f t="shared" si="4"/>
        <v>6.6000980283400666E-4</v>
      </c>
      <c r="K137" s="21">
        <f>F137*Parameters!$D$15/Parameters!$D$16</f>
        <v>1.5725714285714284E-8</v>
      </c>
      <c r="L137" s="21">
        <f>G137*Parameters!$D$15/Parameters!$D$16</f>
        <v>1.2459663585887417E-9</v>
      </c>
      <c r="M137" s="21">
        <f>K137*Parameters!$C$27</f>
        <v>9.9071999999999989E-8</v>
      </c>
      <c r="N137" s="21">
        <f>L137*Parameters!$C$27</f>
        <v>7.8495880591090727E-9</v>
      </c>
      <c r="O137" s="21">
        <f t="shared" si="5"/>
        <v>1.0692158805910907E-7</v>
      </c>
    </row>
    <row r="138" spans="1:15" ht="15" customHeight="1" x14ac:dyDescent="0.25">
      <c r="A138" s="10" t="s">
        <v>40</v>
      </c>
      <c r="B138" s="10" t="s">
        <v>170</v>
      </c>
      <c r="C138" s="10" t="s">
        <v>27</v>
      </c>
      <c r="D138" s="8">
        <f>Zone_Site_Means!$K$8</f>
        <v>4.1206666666666658</v>
      </c>
      <c r="E138" s="21">
        <f>D138*Parameters!$B$4*Parameters!$B$5</f>
        <v>4.120666666666666E-6</v>
      </c>
      <c r="F138" s="21">
        <f>E138*Parameters!$D$9*Parameters!$D$10*Parameters!$D$11/(Parameters!$D$8*Parameters!$D$15)</f>
        <v>2.7471111111111104E-7</v>
      </c>
      <c r="G138" s="21">
        <f>E138*Parameters!$D$12*Parameters!$F$28*Parameters!$D$13*Parameters!$D$10*Parameters!$D$11*Parameters!$D$14/(Parameters!$D$8*Parameters!$D$15)</f>
        <v>2.1114079916586907E-8</v>
      </c>
      <c r="H138" s="21">
        <f>F138/Parameters!$B$28</f>
        <v>9.1570370370370351E-4</v>
      </c>
      <c r="I138" s="21">
        <f>G138/Parameters!$B$28</f>
        <v>7.0380266388623034E-5</v>
      </c>
      <c r="J138" s="21">
        <f t="shared" si="4"/>
        <v>9.8608397009232658E-4</v>
      </c>
      <c r="K138" s="21">
        <f>F138*Parameters!$D$15/Parameters!$D$16</f>
        <v>2.354666666666666E-8</v>
      </c>
      <c r="L138" s="21">
        <f>G138*Parameters!$D$15/Parameters!$D$16</f>
        <v>1.809778278564592E-9</v>
      </c>
      <c r="M138" s="21">
        <f>K138*Parameters!$C$28</f>
        <v>4.2383999999999991E-8</v>
      </c>
      <c r="N138" s="21">
        <f>L138*Parameters!$C$28</f>
        <v>3.2576009014162654E-9</v>
      </c>
      <c r="O138" s="21">
        <f t="shared" si="5"/>
        <v>4.5641600901416258E-8</v>
      </c>
    </row>
    <row r="139" spans="1:15" ht="15" customHeight="1" x14ac:dyDescent="0.25">
      <c r="A139" s="10" t="s">
        <v>40</v>
      </c>
      <c r="B139" s="10" t="s">
        <v>170</v>
      </c>
      <c r="C139" s="10" t="s">
        <v>28</v>
      </c>
      <c r="D139" s="8">
        <f>Zone_Site_Means!$L$8</f>
        <v>0.5</v>
      </c>
      <c r="E139" s="21">
        <f>D139*Parameters!$B$4*Parameters!$B$5</f>
        <v>4.9999999999999998E-7</v>
      </c>
      <c r="F139" s="21">
        <f>E139*Parameters!$D$9*Parameters!$D$10*Parameters!$D$11/(Parameters!$D$8*Parameters!$D$15)</f>
        <v>3.3333333333333334E-8</v>
      </c>
      <c r="G139" s="21">
        <f>E139*Parameters!$D$12*Parameters!$F$29*Parameters!$D$13*Parameters!$D$10*Parameters!$D$11*Parameters!$D$14/(Parameters!$D$8*Parameters!$D$15)</f>
        <v>2.3387008894488494E-9</v>
      </c>
      <c r="H139" s="21">
        <f>F139/Parameters!$B$29</f>
        <v>1.1111111111111112E-4</v>
      </c>
      <c r="I139" s="21">
        <f>G139/Parameters!$B$29</f>
        <v>7.795669631496165E-6</v>
      </c>
      <c r="J139" s="21">
        <f t="shared" si="4"/>
        <v>1.1890678074260729E-4</v>
      </c>
      <c r="K139" s="21">
        <f>F139*Parameters!$D$15/Parameters!$D$16</f>
        <v>2.8571428571428572E-9</v>
      </c>
      <c r="L139" s="21">
        <f>G139*Parameters!$D$15/Parameters!$D$16</f>
        <v>2.004600762384728E-10</v>
      </c>
      <c r="M139" s="21">
        <f>K139*Parameters!$C$29</f>
        <v>3.7142857142857147E-9</v>
      </c>
      <c r="N139" s="21">
        <f>L139*Parameters!$C$29</f>
        <v>2.6059809911001464E-10</v>
      </c>
      <c r="O139" s="21">
        <f t="shared" si="5"/>
        <v>3.9748838133957295E-9</v>
      </c>
    </row>
    <row r="140" spans="1:15" ht="15" customHeight="1" x14ac:dyDescent="0.25">
      <c r="A140" s="10" t="s">
        <v>40</v>
      </c>
      <c r="B140" s="10" t="s">
        <v>170</v>
      </c>
      <c r="C140" s="10" t="s">
        <v>29</v>
      </c>
      <c r="D140" s="8">
        <f>Zone_Site_Means!$M$8</f>
        <v>0.5</v>
      </c>
      <c r="E140" s="21">
        <f>D140*Parameters!$B$4*Parameters!$B$5</f>
        <v>4.9999999999999998E-7</v>
      </c>
      <c r="F140" s="21">
        <f>E140*Parameters!$D$9*Parameters!$D$10*Parameters!$D$11/(Parameters!$D$8*Parameters!$D$15)</f>
        <v>3.3333333333333334E-8</v>
      </c>
      <c r="G140" s="21">
        <f>E140*Parameters!$D$12*Parameters!$F$30*Parameters!$D$13*Parameters!$D$10*Parameters!$D$11*Parameters!$D$14/(Parameters!$D$8*Parameters!$D$15)</f>
        <v>4.4276642493789062E-9</v>
      </c>
      <c r="H140" s="21">
        <f>F140/Parameters!$B$30</f>
        <v>1.1111111111111112E-4</v>
      </c>
      <c r="I140" s="21">
        <f>G140/Parameters!$B$30</f>
        <v>1.4758880831263022E-5</v>
      </c>
      <c r="J140" s="21">
        <f t="shared" si="4"/>
        <v>1.2586999194237413E-4</v>
      </c>
      <c r="K140" s="21">
        <f>F140*Parameters!$D$15/Parameters!$D$16</f>
        <v>2.8571428571428572E-9</v>
      </c>
      <c r="L140" s="21">
        <f>G140*Parameters!$D$15/Parameters!$D$16</f>
        <v>3.79514078518192E-10</v>
      </c>
      <c r="M140" s="21">
        <f>K140*Parameters!$C$30</f>
        <v>0</v>
      </c>
      <c r="N140" s="21">
        <f>L140*Parameters!$C$30</f>
        <v>0</v>
      </c>
      <c r="O140" s="21">
        <f t="shared" si="5"/>
        <v>0</v>
      </c>
    </row>
    <row r="141" spans="1:15" ht="15" customHeight="1" x14ac:dyDescent="0.25">
      <c r="A141" s="10" t="s">
        <v>40</v>
      </c>
      <c r="B141" s="10" t="s">
        <v>170</v>
      </c>
      <c r="C141" s="10" t="s">
        <v>30</v>
      </c>
      <c r="D141" s="8">
        <f>Zone_Site_Means!$N$8</f>
        <v>0.5</v>
      </c>
      <c r="E141" s="21">
        <f>D141*Parameters!$B$4*Parameters!$B$5</f>
        <v>4.9999999999999998E-7</v>
      </c>
      <c r="F141" s="21">
        <f>E141*Parameters!$D$9*Parameters!$D$10*Parameters!$D$11/(Parameters!$D$8*Parameters!$D$15)</f>
        <v>3.3333333333333334E-8</v>
      </c>
      <c r="G141" s="21">
        <f>E141*Parameters!$D$12*Parameters!$F$31*Parameters!$D$13*Parameters!$D$10*Parameters!$D$11*Parameters!$D$14/(Parameters!$D$8*Parameters!$D$15)</f>
        <v>6.1507302507360883E-8</v>
      </c>
      <c r="H141" s="21">
        <f>F141/Parameters!$B$31</f>
        <v>1.1111111111111111E-3</v>
      </c>
      <c r="I141" s="21">
        <f>G141/Parameters!$B$31</f>
        <v>2.0502434169120294E-3</v>
      </c>
      <c r="J141" s="21">
        <f t="shared" si="4"/>
        <v>3.1613545280231407E-3</v>
      </c>
      <c r="K141" s="21">
        <f>F141*Parameters!$D$15/Parameters!$D$16</f>
        <v>2.8571428571428572E-9</v>
      </c>
      <c r="L141" s="21">
        <f>G141*Parameters!$D$15/Parameters!$D$16</f>
        <v>5.2720545006309328E-9</v>
      </c>
      <c r="M141" s="21">
        <f>K141*Parameters!$C$31</f>
        <v>4.8571428571428572E-8</v>
      </c>
      <c r="N141" s="21">
        <f>L141*Parameters!$C$31</f>
        <v>8.9624926510725854E-8</v>
      </c>
      <c r="O141" s="21">
        <f t="shared" si="5"/>
        <v>1.3819635508215443E-7</v>
      </c>
    </row>
    <row r="142" spans="1:15" ht="15" customHeight="1" x14ac:dyDescent="0.25">
      <c r="A142" s="10" t="s">
        <v>40</v>
      </c>
      <c r="B142" s="10" t="s">
        <v>170</v>
      </c>
      <c r="C142" s="10" t="s">
        <v>31</v>
      </c>
      <c r="D142" s="8">
        <f>Zone_Site_Means!$O$8</f>
        <v>1.43</v>
      </c>
      <c r="E142" s="21">
        <f>D142*Parameters!$B$4*Parameters!$B$5</f>
        <v>1.4300000000000001E-6</v>
      </c>
      <c r="F142" s="21">
        <f>E142*Parameters!$D$9*Parameters!$D$10*Parameters!$D$11/(Parameters!$D$8*Parameters!$D$15)</f>
        <v>9.5333333333333327E-8</v>
      </c>
      <c r="G142" s="21">
        <f>E142*Parameters!$D$12*Parameters!$F$32*Parameters!$D$13*Parameters!$D$10*Parameters!$D$11*Parameters!$D$14/(Parameters!$D$8*Parameters!$D$15)</f>
        <v>2.6896310759257472E-8</v>
      </c>
      <c r="H142" s="21">
        <f>F142/Parameters!$B$32</f>
        <v>1.9066666666666665E-3</v>
      </c>
      <c r="I142" s="21">
        <f>G142/Parameters!$B$32</f>
        <v>5.3792621518514942E-4</v>
      </c>
      <c r="J142" s="21">
        <f t="shared" si="4"/>
        <v>2.4445928818518162E-3</v>
      </c>
      <c r="K142" s="21">
        <f>F142*Parameters!$D$15/Parameters!$D$16</f>
        <v>8.1714285714285713E-9</v>
      </c>
      <c r="L142" s="21">
        <f>G142*Parameters!$D$15/Parameters!$D$16</f>
        <v>2.3053980650792119E-9</v>
      </c>
      <c r="M142" s="21">
        <f>K142*Parameters!$C$32</f>
        <v>1.3074285714285714E-7</v>
      </c>
      <c r="N142" s="21">
        <f>L142*Parameters!$C$32</f>
        <v>3.6886369041267391E-8</v>
      </c>
      <c r="O142" s="21">
        <f t="shared" si="5"/>
        <v>1.6762922618412453E-7</v>
      </c>
    </row>
    <row r="143" spans="1:15" ht="15" customHeight="1" x14ac:dyDescent="0.25">
      <c r="A143" s="10" t="s">
        <v>40</v>
      </c>
      <c r="B143" s="10" t="s">
        <v>170</v>
      </c>
      <c r="C143" s="10" t="s">
        <v>32</v>
      </c>
      <c r="D143" s="8">
        <f>Zone_Site_Means!$P$8</f>
        <v>0.5</v>
      </c>
      <c r="E143" s="21">
        <f>D143*Parameters!$B$4*Parameters!$B$5</f>
        <v>4.9999999999999998E-7</v>
      </c>
      <c r="F143" s="21">
        <f>E143*Parameters!$D$9*Parameters!$D$10*Parameters!$D$11/(Parameters!$D$8*Parameters!$D$15)</f>
        <v>3.3333333333333334E-8</v>
      </c>
      <c r="G143" s="21">
        <f>E143*Parameters!$D$12*Parameters!$F$33*Parameters!$D$13*Parameters!$D$10*Parameters!$D$11*Parameters!$D$14/(Parameters!$D$8*Parameters!$D$15)</f>
        <v>3.0049045466370191E-8</v>
      </c>
      <c r="H143" s="21">
        <f>F143/Parameters!$B$33</f>
        <v>6.666666666666667E-5</v>
      </c>
      <c r="I143" s="21">
        <f>G143/Parameters!$B$33</f>
        <v>6.0098090932740382E-5</v>
      </c>
      <c r="J143" s="21">
        <f t="shared" si="4"/>
        <v>1.2676475759940706E-4</v>
      </c>
      <c r="K143" s="21">
        <f>F143*Parameters!$D$15/Parameters!$D$16</f>
        <v>2.8571428571428572E-9</v>
      </c>
      <c r="L143" s="21">
        <f>G143*Parameters!$D$15/Parameters!$D$16</f>
        <v>2.575632468546016E-9</v>
      </c>
      <c r="M143" s="21">
        <f>K143*Parameters!$C$33</f>
        <v>1.2857142857142857E-8</v>
      </c>
      <c r="N143" s="21">
        <f>L143*Parameters!$C$33</f>
        <v>1.1590346108457072E-8</v>
      </c>
      <c r="O143" s="21">
        <f t="shared" si="5"/>
        <v>2.4447488965599928E-8</v>
      </c>
    </row>
    <row r="144" spans="1:15" ht="15" customHeight="1" x14ac:dyDescent="0.25">
      <c r="A144" s="10" t="s">
        <v>40</v>
      </c>
      <c r="B144" s="10" t="s">
        <v>170</v>
      </c>
      <c r="C144" s="10" t="s">
        <v>33</v>
      </c>
      <c r="D144" s="8">
        <f>Zone_Site_Means!$Q$8</f>
        <v>1.9633333333333336</v>
      </c>
      <c r="E144" s="21">
        <f>D144*Parameters!$B$4*Parameters!$B$5</f>
        <v>1.9633333333333333E-6</v>
      </c>
      <c r="F144" s="21">
        <f>E144*Parameters!$D$9*Parameters!$D$10*Parameters!$D$11/(Parameters!$D$8*Parameters!$D$15)</f>
        <v>1.3088888888888889E-7</v>
      </c>
      <c r="G144" s="21">
        <f>E144*Parameters!$D$12*Parameters!$F$34*Parameters!$D$13*Parameters!$D$10*Parameters!$D$11*Parameters!$D$14/(Parameters!$D$8*Parameters!$D$15)</f>
        <v>1.7500671648588497E-8</v>
      </c>
      <c r="H144" s="21">
        <f>F144/Parameters!$B$34</f>
        <v>1.0068376068376069E-2</v>
      </c>
      <c r="I144" s="21">
        <f>G144/Parameters!$B$34</f>
        <v>1.3462055114298844E-3</v>
      </c>
      <c r="J144" s="21">
        <f t="shared" si="4"/>
        <v>1.1414581579805953E-2</v>
      </c>
      <c r="K144" s="21">
        <f>F144*Parameters!$D$15/Parameters!$D$16</f>
        <v>1.121904761904762E-8</v>
      </c>
      <c r="L144" s="21">
        <f>G144*Parameters!$D$15/Parameters!$D$16</f>
        <v>1.5000575698790141E-9</v>
      </c>
      <c r="M144" s="21">
        <f>K144*Parameters!$C$34</f>
        <v>1.0209333333333334E-7</v>
      </c>
      <c r="N144" s="21">
        <f>L144*Parameters!$C$34</f>
        <v>1.3650523885899027E-8</v>
      </c>
      <c r="O144" s="21">
        <f t="shared" si="5"/>
        <v>1.1574385721923237E-7</v>
      </c>
    </row>
    <row r="145" spans="1:15" ht="15" customHeight="1" x14ac:dyDescent="0.25">
      <c r="A145" s="10" t="s">
        <v>44</v>
      </c>
      <c r="B145" s="10" t="s">
        <v>169</v>
      </c>
      <c r="C145" s="10" t="s">
        <v>20</v>
      </c>
      <c r="D145" s="8">
        <f>Zone_Site_Means!$D$9</f>
        <v>0.5</v>
      </c>
      <c r="E145" s="21">
        <f>D145*Parameters!$B$4*Parameters!$B$5</f>
        <v>4.9999999999999998E-7</v>
      </c>
      <c r="F145" s="21">
        <f>E145*Parameters!$C$9*Parameters!$C$10*Parameters!$C$11/(Parameters!$C$8*Parameters!$C$15)</f>
        <v>1.4285714285714286E-8</v>
      </c>
      <c r="G145" s="21">
        <f>E145*Parameters!$C$12*Parameters!$F$21*Parameters!$C$13*Parameters!$C$10*Parameters!$C$11*Parameters!$C$14/(Parameters!$C$8*Parameters!$C$15)</f>
        <v>3.7053433975316223E-8</v>
      </c>
      <c r="H145" s="21">
        <f>F145/Parameters!$B$21</f>
        <v>2.8571428571428571E-5</v>
      </c>
      <c r="I145" s="21">
        <f>G145/Parameters!$B$21</f>
        <v>7.4106867950632439E-5</v>
      </c>
      <c r="J145" s="21">
        <f t="shared" si="4"/>
        <v>1.0267829652206101E-4</v>
      </c>
      <c r="K145" s="21">
        <f>F145*Parameters!$C$15/Parameters!$C$16</f>
        <v>1.4285714285714284E-8</v>
      </c>
      <c r="L145" s="21">
        <f>G145*Parameters!$C$15/Parameters!$C$16</f>
        <v>3.7053433975316223E-8</v>
      </c>
      <c r="M145" s="21">
        <f>K145*Parameters!$C$21</f>
        <v>4.8571428571428569E-9</v>
      </c>
      <c r="N145" s="21">
        <f>L145*Parameters!$C$21</f>
        <v>1.2598167551607517E-8</v>
      </c>
      <c r="O145" s="21">
        <f t="shared" si="5"/>
        <v>1.7455310408750373E-8</v>
      </c>
    </row>
    <row r="146" spans="1:15" ht="15" customHeight="1" x14ac:dyDescent="0.25">
      <c r="A146" s="10" t="s">
        <v>44</v>
      </c>
      <c r="B146" s="10" t="s">
        <v>169</v>
      </c>
      <c r="C146" s="10" t="s">
        <v>21</v>
      </c>
      <c r="D146" s="8">
        <f>Zone_Site_Means!$E$9</f>
        <v>0.5</v>
      </c>
      <c r="E146" s="21">
        <f>D146*Parameters!$B$4*Parameters!$B$5</f>
        <v>4.9999999999999998E-7</v>
      </c>
      <c r="F146" s="21">
        <f>E146*Parameters!$C$9*Parameters!$C$10*Parameters!$C$11/(Parameters!$C$8*Parameters!$C$15)</f>
        <v>1.4285714285714286E-8</v>
      </c>
      <c r="G146" s="21">
        <f>E146*Parameters!$C$12*Parameters!$F$22*Parameters!$C$13*Parameters!$C$10*Parameters!$C$11*Parameters!$C$14/(Parameters!$C$8*Parameters!$C$15)</f>
        <v>4.4466040886896815E-8</v>
      </c>
      <c r="H146" s="21">
        <f>F146/Parameters!$B$22</f>
        <v>2.8571428571428571E-5</v>
      </c>
      <c r="I146" s="21">
        <f>G146/Parameters!$B$22</f>
        <v>8.8932081773793623E-5</v>
      </c>
      <c r="J146" s="21">
        <f t="shared" si="4"/>
        <v>1.1750351034522219E-4</v>
      </c>
      <c r="K146" s="21">
        <f>F146*Parameters!$C$15/Parameters!$C$16</f>
        <v>1.4285714285714284E-8</v>
      </c>
      <c r="L146" s="21">
        <f>G146*Parameters!$C$15/Parameters!$C$16</f>
        <v>4.4466040886896815E-8</v>
      </c>
      <c r="M146" s="21">
        <f>K146*Parameters!$C$22</f>
        <v>4.8571428571428569E-9</v>
      </c>
      <c r="N146" s="21">
        <f>L146*Parameters!$C$22</f>
        <v>1.5118453901544919E-8</v>
      </c>
      <c r="O146" s="21">
        <f t="shared" si="5"/>
        <v>1.9975596758687778E-8</v>
      </c>
    </row>
    <row r="147" spans="1:15" ht="15" customHeight="1" x14ac:dyDescent="0.25">
      <c r="A147" s="10" t="s">
        <v>44</v>
      </c>
      <c r="B147" s="10" t="s">
        <v>169</v>
      </c>
      <c r="C147" s="10" t="s">
        <v>22</v>
      </c>
      <c r="D147" s="8">
        <f>Zone_Site_Means!$F$9</f>
        <v>0.5</v>
      </c>
      <c r="E147" s="21">
        <f>D147*Parameters!$B$4*Parameters!$B$5</f>
        <v>4.9999999999999998E-7</v>
      </c>
      <c r="F147" s="21">
        <f>E147*Parameters!$C$9*Parameters!$C$10*Parameters!$C$11/(Parameters!$C$8*Parameters!$C$15)</f>
        <v>1.4285714285714286E-8</v>
      </c>
      <c r="G147" s="21">
        <f>E147*Parameters!$C$12*Parameters!$F$23*Parameters!$C$13*Parameters!$C$10*Parameters!$C$11*Parameters!$C$14/(Parameters!$C$8*Parameters!$C$15)</f>
        <v>1.4274091060795183E-8</v>
      </c>
      <c r="H147" s="21">
        <f>F147/Parameters!$B$23</f>
        <v>2.8571428571428571E-5</v>
      </c>
      <c r="I147" s="21">
        <f>G147/Parameters!$B$23</f>
        <v>2.8548182121590366E-5</v>
      </c>
      <c r="J147" s="21">
        <f t="shared" si="4"/>
        <v>5.7119610693018934E-5</v>
      </c>
      <c r="K147" s="21">
        <f>F147*Parameters!$C$15/Parameters!$C$16</f>
        <v>1.4285714285714284E-8</v>
      </c>
      <c r="L147" s="21">
        <f>G147*Parameters!$C$15/Parameters!$C$16</f>
        <v>1.4274091060795183E-8</v>
      </c>
      <c r="M147" s="21">
        <f>K147*Parameters!$C$23</f>
        <v>4.8571428571428569E-9</v>
      </c>
      <c r="N147" s="21">
        <f>L147*Parameters!$C$23</f>
        <v>4.8531909606703629E-9</v>
      </c>
      <c r="O147" s="21">
        <f t="shared" si="5"/>
        <v>9.7103338178132198E-9</v>
      </c>
    </row>
    <row r="148" spans="1:15" ht="15" customHeight="1" x14ac:dyDescent="0.25">
      <c r="A148" s="10" t="s">
        <v>44</v>
      </c>
      <c r="B148" s="10" t="s">
        <v>169</v>
      </c>
      <c r="C148" s="10" t="s">
        <v>23</v>
      </c>
      <c r="D148" s="8">
        <f>Zone_Site_Means!$G$9</f>
        <v>0.5</v>
      </c>
      <c r="E148" s="21">
        <f>D148*Parameters!$B$4*Parameters!$B$5</f>
        <v>4.9999999999999998E-7</v>
      </c>
      <c r="F148" s="21">
        <f>E148*Parameters!$C$9*Parameters!$C$10*Parameters!$C$11/(Parameters!$C$8*Parameters!$C$15)</f>
        <v>1.4285714285714286E-8</v>
      </c>
      <c r="G148" s="21">
        <f>E148*Parameters!$C$12*Parameters!$F$24*Parameters!$C$13*Parameters!$C$10*Parameters!$C$11*Parameters!$C$14/(Parameters!$C$8*Parameters!$C$15)</f>
        <v>1.7928686076867906E-8</v>
      </c>
      <c r="H148" s="21">
        <f>F148/Parameters!$B$24</f>
        <v>2.8571428571428571E-5</v>
      </c>
      <c r="I148" s="21">
        <f>G148/Parameters!$B$24</f>
        <v>3.5857372153735812E-5</v>
      </c>
      <c r="J148" s="21">
        <f t="shared" si="4"/>
        <v>6.4428800725164383E-5</v>
      </c>
      <c r="K148" s="21">
        <f>F148*Parameters!$C$15/Parameters!$C$16</f>
        <v>1.4285714285714284E-8</v>
      </c>
      <c r="L148" s="21">
        <f>G148*Parameters!$C$15/Parameters!$C$16</f>
        <v>1.7928686076867906E-8</v>
      </c>
      <c r="M148" s="21">
        <f>K148*Parameters!$C$24</f>
        <v>4.8571428571428569E-9</v>
      </c>
      <c r="N148" s="21">
        <f>L148*Parameters!$C$24</f>
        <v>6.0957532661350888E-9</v>
      </c>
      <c r="O148" s="21">
        <f t="shared" si="5"/>
        <v>1.0952896123277945E-8</v>
      </c>
    </row>
    <row r="149" spans="1:15" ht="15" customHeight="1" x14ac:dyDescent="0.25">
      <c r="A149" s="10" t="s">
        <v>44</v>
      </c>
      <c r="B149" s="10" t="s">
        <v>169</v>
      </c>
      <c r="C149" s="10" t="s">
        <v>24</v>
      </c>
      <c r="D149" s="8">
        <f>Zone_Site_Means!$H$9</f>
        <v>2.8270000000000004</v>
      </c>
      <c r="E149" s="21">
        <f>D149*Parameters!$B$4*Parameters!$B$5</f>
        <v>2.8270000000000006E-6</v>
      </c>
      <c r="F149" s="21">
        <f>E149*Parameters!$C$9*Parameters!$C$10*Parameters!$C$11/(Parameters!$C$8*Parameters!$C$15)</f>
        <v>8.0771428571428589E-8</v>
      </c>
      <c r="G149" s="21">
        <f>E149*Parameters!$C$12*Parameters!$F$25*Parameters!$C$13*Parameters!$C$10*Parameters!$C$11*Parameters!$C$14/(Parameters!$C$8*Parameters!$C$15)</f>
        <v>1.0091605554819603E-7</v>
      </c>
      <c r="H149" s="21">
        <f>F149/Parameters!$B$25</f>
        <v>1.6154285714285719E-4</v>
      </c>
      <c r="I149" s="21">
        <f>G149/Parameters!$B$25</f>
        <v>2.0183211109639206E-4</v>
      </c>
      <c r="J149" s="21">
        <f t="shared" si="4"/>
        <v>3.6337496823924927E-4</v>
      </c>
      <c r="K149" s="21">
        <f>F149*Parameters!$C$15/Parameters!$C$16</f>
        <v>8.0771428571428576E-8</v>
      </c>
      <c r="L149" s="21">
        <f>G149*Parameters!$C$15/Parameters!$C$16</f>
        <v>1.0091605554819603E-7</v>
      </c>
      <c r="M149" s="21">
        <f>K149*Parameters!$C$25</f>
        <v>2.7462285714285718E-8</v>
      </c>
      <c r="N149" s="21">
        <f>L149*Parameters!$C$25</f>
        <v>3.4311458886386656E-8</v>
      </c>
      <c r="O149" s="21">
        <f t="shared" si="5"/>
        <v>6.1773744600672375E-8</v>
      </c>
    </row>
    <row r="150" spans="1:15" ht="15" customHeight="1" x14ac:dyDescent="0.25">
      <c r="A150" s="10" t="s">
        <v>44</v>
      </c>
      <c r="B150" s="10" t="s">
        <v>169</v>
      </c>
      <c r="C150" s="10" t="s">
        <v>25</v>
      </c>
      <c r="D150" s="8">
        <f>Zone_Site_Means!$I$9</f>
        <v>5.8826666666666663</v>
      </c>
      <c r="E150" s="21">
        <f>D150*Parameters!$B$4*Parameters!$B$5</f>
        <v>5.8826666666666662E-6</v>
      </c>
      <c r="F150" s="21">
        <f>E150*Parameters!$C$9*Parameters!$C$10*Parameters!$C$11/(Parameters!$C$8*Parameters!$C$15)</f>
        <v>1.6807619047619049E-7</v>
      </c>
      <c r="G150" s="21">
        <f>E150*Parameters!$C$12*Parameters!$F$26*Parameters!$C$13*Parameters!$C$10*Parameters!$C$11*Parameters!$C$14/(Parameters!$C$8*Parameters!$C$15)</f>
        <v>4.5583608196089478E-7</v>
      </c>
      <c r="H150" s="21">
        <f>F150/Parameters!$B$26</f>
        <v>3.3615238095238096E-4</v>
      </c>
      <c r="I150" s="21">
        <f>G150/Parameters!$B$26</f>
        <v>9.1167216392178954E-4</v>
      </c>
      <c r="J150" s="21">
        <f t="shared" si="4"/>
        <v>1.2478245448741705E-3</v>
      </c>
      <c r="K150" s="21">
        <f>F150*Parameters!$C$15/Parameters!$C$16</f>
        <v>1.6807619047619049E-7</v>
      </c>
      <c r="L150" s="21">
        <f>G150*Parameters!$C$15/Parameters!$C$16</f>
        <v>4.5583608196089478E-7</v>
      </c>
      <c r="M150" s="21">
        <f>K150*Parameters!$C$26</f>
        <v>5.714590476190477E-8</v>
      </c>
      <c r="N150" s="21">
        <f>L150*Parameters!$C$26</f>
        <v>1.5498426786670422E-7</v>
      </c>
      <c r="O150" s="21">
        <f t="shared" si="5"/>
        <v>2.1213017262860901E-7</v>
      </c>
    </row>
    <row r="151" spans="1:15" ht="15" customHeight="1" x14ac:dyDescent="0.25">
      <c r="A151" s="10" t="s">
        <v>44</v>
      </c>
      <c r="B151" s="10" t="s">
        <v>169</v>
      </c>
      <c r="C151" s="10" t="s">
        <v>26</v>
      </c>
      <c r="D151" s="8">
        <f>Zone_Site_Means!$J$9</f>
        <v>1.421</v>
      </c>
      <c r="E151" s="21">
        <f>D151*Parameters!$B$4*Parameters!$B$5</f>
        <v>1.4210000000000002E-6</v>
      </c>
      <c r="F151" s="21">
        <f>E151*Parameters!$C$9*Parameters!$C$10*Parameters!$C$11/(Parameters!$C$8*Parameters!$C$15)</f>
        <v>4.0600000000000006E-8</v>
      </c>
      <c r="G151" s="21">
        <f>E151*Parameters!$C$12*Parameters!$F$27*Parameters!$C$13*Parameters!$C$10*Parameters!$C$11*Parameters!$C$14/(Parameters!$C$8*Parameters!$C$15)</f>
        <v>2.5441841142516249E-9</v>
      </c>
      <c r="H151" s="21">
        <f>F151/Parameters!$B$27</f>
        <v>1.3533333333333336E-4</v>
      </c>
      <c r="I151" s="21">
        <f>G151/Parameters!$B$27</f>
        <v>8.4806137141720842E-6</v>
      </c>
      <c r="J151" s="21">
        <f t="shared" si="4"/>
        <v>1.4381394704750545E-4</v>
      </c>
      <c r="K151" s="21">
        <f>F151*Parameters!$C$15/Parameters!$C$16</f>
        <v>4.0600000000000006E-8</v>
      </c>
      <c r="L151" s="21">
        <f>G151*Parameters!$C$15/Parameters!$C$16</f>
        <v>2.5441841142516249E-9</v>
      </c>
      <c r="M151" s="21">
        <f>K151*Parameters!$C$27</f>
        <v>2.5578000000000003E-7</v>
      </c>
      <c r="N151" s="21">
        <f>L151*Parameters!$C$27</f>
        <v>1.6028359919785237E-8</v>
      </c>
      <c r="O151" s="21">
        <f t="shared" si="5"/>
        <v>2.7180835991978527E-7</v>
      </c>
    </row>
    <row r="152" spans="1:15" ht="15" customHeight="1" x14ac:dyDescent="0.25">
      <c r="A152" s="10" t="s">
        <v>44</v>
      </c>
      <c r="B152" s="10" t="s">
        <v>169</v>
      </c>
      <c r="C152" s="10" t="s">
        <v>27</v>
      </c>
      <c r="D152" s="8">
        <f>Zone_Site_Means!$K$9</f>
        <v>2.4376666666666669</v>
      </c>
      <c r="E152" s="21">
        <f>D152*Parameters!$B$4*Parameters!$B$5</f>
        <v>2.437666666666667E-6</v>
      </c>
      <c r="F152" s="21">
        <f>E152*Parameters!$C$9*Parameters!$C$10*Parameters!$C$11/(Parameters!$C$8*Parameters!$C$15)</f>
        <v>6.9647619047619064E-8</v>
      </c>
      <c r="G152" s="21">
        <f>E152*Parameters!$C$12*Parameters!$F$28*Parameters!$C$13*Parameters!$C$10*Parameters!$C$11*Parameters!$C$14/(Parameters!$C$8*Parameters!$C$15)</f>
        <v>4.2337847801526277E-9</v>
      </c>
      <c r="H152" s="21">
        <f>F152/Parameters!$B$28</f>
        <v>2.3215873015873024E-4</v>
      </c>
      <c r="I152" s="21">
        <f>G152/Parameters!$B$28</f>
        <v>1.4112615933842093E-5</v>
      </c>
      <c r="J152" s="21">
        <f t="shared" si="4"/>
        <v>2.4627134609257235E-4</v>
      </c>
      <c r="K152" s="21">
        <f>F152*Parameters!$C$15/Parameters!$C$16</f>
        <v>6.9647619047619064E-8</v>
      </c>
      <c r="L152" s="21">
        <f>G152*Parameters!$C$15/Parameters!$C$16</f>
        <v>4.2337847801526277E-9</v>
      </c>
      <c r="M152" s="21">
        <f>K152*Parameters!$C$28</f>
        <v>1.2536571428571433E-7</v>
      </c>
      <c r="N152" s="21">
        <f>L152*Parameters!$C$28</f>
        <v>7.6208126042747295E-9</v>
      </c>
      <c r="O152" s="21">
        <f t="shared" si="5"/>
        <v>1.3298652688998906E-7</v>
      </c>
    </row>
    <row r="153" spans="1:15" ht="15" customHeight="1" x14ac:dyDescent="0.25">
      <c r="A153" s="10" t="s">
        <v>44</v>
      </c>
      <c r="B153" s="10" t="s">
        <v>169</v>
      </c>
      <c r="C153" s="10" t="s">
        <v>28</v>
      </c>
      <c r="D153" s="8">
        <f>Zone_Site_Means!$L$9</f>
        <v>0.5</v>
      </c>
      <c r="E153" s="21">
        <f>D153*Parameters!$B$4*Parameters!$B$5</f>
        <v>4.9999999999999998E-7</v>
      </c>
      <c r="F153" s="21">
        <f>E153*Parameters!$C$9*Parameters!$C$10*Parameters!$C$11/(Parameters!$C$8*Parameters!$C$15)</f>
        <v>1.4285714285714286E-8</v>
      </c>
      <c r="G153" s="21">
        <f>E153*Parameters!$C$12*Parameters!$F$29*Parameters!$C$13*Parameters!$C$10*Parameters!$C$11*Parameters!$C$14/(Parameters!$C$8*Parameters!$C$15)</f>
        <v>7.9272848330668775E-10</v>
      </c>
      <c r="H153" s="21">
        <f>F153/Parameters!$B$29</f>
        <v>4.7619047619047627E-5</v>
      </c>
      <c r="I153" s="21">
        <f>G153/Parameters!$B$29</f>
        <v>2.6424282776889595E-6</v>
      </c>
      <c r="J153" s="21">
        <f t="shared" si="4"/>
        <v>5.0261475896736588E-5</v>
      </c>
      <c r="K153" s="21">
        <f>F153*Parameters!$C$15/Parameters!$C$16</f>
        <v>1.4285714285714284E-8</v>
      </c>
      <c r="L153" s="21">
        <f>G153*Parameters!$C$15/Parameters!$C$16</f>
        <v>7.9272848330668775E-10</v>
      </c>
      <c r="M153" s="21">
        <f>K153*Parameters!$C$29</f>
        <v>1.8571428571428572E-8</v>
      </c>
      <c r="N153" s="21">
        <f>L153*Parameters!$C$29</f>
        <v>1.0305470282986941E-9</v>
      </c>
      <c r="O153" s="21">
        <f t="shared" si="5"/>
        <v>1.9601975599727267E-8</v>
      </c>
    </row>
    <row r="154" spans="1:15" ht="15" customHeight="1" x14ac:dyDescent="0.25">
      <c r="A154" s="10" t="s">
        <v>44</v>
      </c>
      <c r="B154" s="10" t="s">
        <v>169</v>
      </c>
      <c r="C154" s="10" t="s">
        <v>29</v>
      </c>
      <c r="D154" s="8">
        <f>Zone_Site_Means!$M$9</f>
        <v>0.5</v>
      </c>
      <c r="E154" s="21">
        <f>D154*Parameters!$B$4*Parameters!$B$5</f>
        <v>4.9999999999999998E-7</v>
      </c>
      <c r="F154" s="21">
        <f>E154*Parameters!$C$9*Parameters!$C$10*Parameters!$C$11/(Parameters!$C$8*Parameters!$C$15)</f>
        <v>1.4285714285714286E-8</v>
      </c>
      <c r="G154" s="21">
        <f>E154*Parameters!$C$12*Parameters!$F$30*Parameters!$C$13*Parameters!$C$10*Parameters!$C$11*Parameters!$C$14/(Parameters!$C$8*Parameters!$C$15)</f>
        <v>1.5008056741401222E-9</v>
      </c>
      <c r="H154" s="21">
        <f>F154/Parameters!$B$30</f>
        <v>4.7619047619047627E-5</v>
      </c>
      <c r="I154" s="21">
        <f>G154/Parameters!$B$30</f>
        <v>5.0026855804670745E-6</v>
      </c>
      <c r="J154" s="21">
        <f t="shared" si="4"/>
        <v>5.2621733199514702E-5</v>
      </c>
      <c r="K154" s="21">
        <f>F154*Parameters!$C$15/Parameters!$C$16</f>
        <v>1.4285714285714284E-8</v>
      </c>
      <c r="L154" s="21">
        <f>G154*Parameters!$C$15/Parameters!$C$16</f>
        <v>1.5008056741401222E-9</v>
      </c>
      <c r="M154" s="21">
        <f>K154*Parameters!$C$30</f>
        <v>0</v>
      </c>
      <c r="N154" s="21">
        <f>L154*Parameters!$C$30</f>
        <v>0</v>
      </c>
      <c r="O154" s="21">
        <f t="shared" si="5"/>
        <v>0</v>
      </c>
    </row>
    <row r="155" spans="1:15" ht="15" customHeight="1" x14ac:dyDescent="0.25">
      <c r="A155" s="10" t="s">
        <v>44</v>
      </c>
      <c r="B155" s="10" t="s">
        <v>169</v>
      </c>
      <c r="C155" s="10" t="s">
        <v>30</v>
      </c>
      <c r="D155" s="8">
        <f>Zone_Site_Means!$N$9</f>
        <v>0.5</v>
      </c>
      <c r="E155" s="21">
        <f>D155*Parameters!$B$4*Parameters!$B$5</f>
        <v>4.9999999999999998E-7</v>
      </c>
      <c r="F155" s="21">
        <f>E155*Parameters!$C$9*Parameters!$C$10*Parameters!$C$11/(Parameters!$C$8*Parameters!$C$15)</f>
        <v>1.4285714285714286E-8</v>
      </c>
      <c r="G155" s="21">
        <f>E155*Parameters!$C$12*Parameters!$F$31*Parameters!$C$13*Parameters!$C$10*Parameters!$C$11*Parameters!$C$14/(Parameters!$C$8*Parameters!$C$15)</f>
        <v>2.0848579161585962E-8</v>
      </c>
      <c r="H155" s="21">
        <f>F155/Parameters!$B$31</f>
        <v>4.7619047619047619E-4</v>
      </c>
      <c r="I155" s="21">
        <f>G155/Parameters!$B$31</f>
        <v>6.9495263871953211E-4</v>
      </c>
      <c r="J155" s="21">
        <f t="shared" si="4"/>
        <v>1.1711431149100083E-3</v>
      </c>
      <c r="K155" s="21">
        <f>F155*Parameters!$C$15/Parameters!$C$16</f>
        <v>1.4285714285714284E-8</v>
      </c>
      <c r="L155" s="21">
        <f>G155*Parameters!$C$15/Parameters!$C$16</f>
        <v>2.0848579161585962E-8</v>
      </c>
      <c r="M155" s="21">
        <f>K155*Parameters!$C$31</f>
        <v>2.4285714285714282E-7</v>
      </c>
      <c r="N155" s="21">
        <f>L155*Parameters!$C$31</f>
        <v>3.5442584574696135E-7</v>
      </c>
      <c r="O155" s="21">
        <f t="shared" si="5"/>
        <v>5.9728298860410421E-7</v>
      </c>
    </row>
    <row r="156" spans="1:15" ht="15" customHeight="1" x14ac:dyDescent="0.25">
      <c r="A156" s="10" t="s">
        <v>44</v>
      </c>
      <c r="B156" s="10" t="s">
        <v>169</v>
      </c>
      <c r="C156" s="10" t="s">
        <v>31</v>
      </c>
      <c r="D156" s="8">
        <f>Zone_Site_Means!$O$9</f>
        <v>0.5</v>
      </c>
      <c r="E156" s="21">
        <f>D156*Parameters!$B$4*Parameters!$B$5</f>
        <v>4.9999999999999998E-7</v>
      </c>
      <c r="F156" s="21">
        <f>E156*Parameters!$C$9*Parameters!$C$10*Parameters!$C$11/(Parameters!$C$8*Parameters!$C$15)</f>
        <v>1.4285714285714286E-8</v>
      </c>
      <c r="G156" s="21">
        <f>E156*Parameters!$C$12*Parameters!$F$32*Parameters!$C$13*Parameters!$C$10*Parameters!$C$11*Parameters!$C$14/(Parameters!$C$8*Parameters!$C$15)</f>
        <v>3.187692810901007E-9</v>
      </c>
      <c r="H156" s="21">
        <f>F156/Parameters!$B$32</f>
        <v>2.8571428571428568E-4</v>
      </c>
      <c r="I156" s="21">
        <f>G156/Parameters!$B$32</f>
        <v>6.3753856218020134E-5</v>
      </c>
      <c r="J156" s="21">
        <f t="shared" si="4"/>
        <v>3.4946814193230583E-4</v>
      </c>
      <c r="K156" s="21">
        <f>F156*Parameters!$C$15/Parameters!$C$16</f>
        <v>1.4285714285714284E-8</v>
      </c>
      <c r="L156" s="21">
        <f>G156*Parameters!$C$15/Parameters!$C$16</f>
        <v>3.187692810901007E-9</v>
      </c>
      <c r="M156" s="21">
        <f>K156*Parameters!$C$32</f>
        <v>2.2857142857142855E-7</v>
      </c>
      <c r="N156" s="21">
        <f>L156*Parameters!$C$32</f>
        <v>5.1003084974416112E-8</v>
      </c>
      <c r="O156" s="21">
        <f t="shared" si="5"/>
        <v>2.7957451354584467E-7</v>
      </c>
    </row>
    <row r="157" spans="1:15" ht="15" customHeight="1" x14ac:dyDescent="0.25">
      <c r="A157" s="10" t="s">
        <v>44</v>
      </c>
      <c r="B157" s="10" t="s">
        <v>169</v>
      </c>
      <c r="C157" s="10" t="s">
        <v>32</v>
      </c>
      <c r="D157" s="8">
        <f>Zone_Site_Means!$P$9</f>
        <v>0.5</v>
      </c>
      <c r="E157" s="21">
        <f>D157*Parameters!$B$4*Parameters!$B$5</f>
        <v>4.9999999999999998E-7</v>
      </c>
      <c r="F157" s="21">
        <f>E157*Parameters!$C$9*Parameters!$C$10*Parameters!$C$11/(Parameters!$C$8*Parameters!$C$15)</f>
        <v>1.4285714285714286E-8</v>
      </c>
      <c r="G157" s="21">
        <f>E157*Parameters!$C$12*Parameters!$F$33*Parameters!$C$13*Parameters!$C$10*Parameters!$C$11*Parameters!$C$14/(Parameters!$C$8*Parameters!$C$15)</f>
        <v>1.018545567106834E-8</v>
      </c>
      <c r="H157" s="21">
        <f>F157/Parameters!$B$33</f>
        <v>2.8571428571428571E-5</v>
      </c>
      <c r="I157" s="21">
        <f>G157/Parameters!$B$33</f>
        <v>2.0370911342136681E-5</v>
      </c>
      <c r="J157" s="21">
        <f t="shared" si="4"/>
        <v>4.8942339913565251E-5</v>
      </c>
      <c r="K157" s="21">
        <f>F157*Parameters!$C$15/Parameters!$C$16</f>
        <v>1.4285714285714284E-8</v>
      </c>
      <c r="L157" s="21">
        <f>G157*Parameters!$C$15/Parameters!$C$16</f>
        <v>1.0185455671068339E-8</v>
      </c>
      <c r="M157" s="21">
        <f>K157*Parameters!$C$33</f>
        <v>6.4285714285714277E-8</v>
      </c>
      <c r="N157" s="21">
        <f>L157*Parameters!$C$33</f>
        <v>4.5834550519807525E-8</v>
      </c>
      <c r="O157" s="21">
        <f t="shared" si="5"/>
        <v>1.1012026480552181E-7</v>
      </c>
    </row>
    <row r="158" spans="1:15" ht="15" customHeight="1" x14ac:dyDescent="0.25">
      <c r="A158" s="10" t="s">
        <v>44</v>
      </c>
      <c r="B158" s="10" t="s">
        <v>169</v>
      </c>
      <c r="C158" s="10" t="s">
        <v>33</v>
      </c>
      <c r="D158" s="8">
        <f>Zone_Site_Means!$Q$9</f>
        <v>0.5</v>
      </c>
      <c r="E158" s="21">
        <f>D158*Parameters!$B$4*Parameters!$B$5</f>
        <v>4.9999999999999998E-7</v>
      </c>
      <c r="F158" s="21">
        <f>E158*Parameters!$C$9*Parameters!$C$10*Parameters!$C$11/(Parameters!$C$8*Parameters!$C$15)</f>
        <v>1.4285714285714286E-8</v>
      </c>
      <c r="G158" s="21">
        <f>E158*Parameters!$C$12*Parameters!$F$34*Parameters!$C$13*Parameters!$C$10*Parameters!$C$11*Parameters!$C$14/(Parameters!$C$8*Parameters!$C$15)</f>
        <v>1.5107077702516691E-9</v>
      </c>
      <c r="H158" s="21">
        <f>F158/Parameters!$B$34</f>
        <v>1.0989010989010989E-3</v>
      </c>
      <c r="I158" s="21">
        <f>G158/Parameters!$B$34</f>
        <v>1.1620829001935916E-4</v>
      </c>
      <c r="J158" s="21">
        <f t="shared" si="4"/>
        <v>1.2151093889204581E-3</v>
      </c>
      <c r="K158" s="21">
        <f>F158*Parameters!$C$15/Parameters!$C$16</f>
        <v>1.4285714285714284E-8</v>
      </c>
      <c r="L158" s="21">
        <f>G158*Parameters!$C$15/Parameters!$C$16</f>
        <v>1.5107077702516691E-9</v>
      </c>
      <c r="M158" s="21">
        <f>K158*Parameters!$C$34</f>
        <v>1.2999999999999997E-7</v>
      </c>
      <c r="N158" s="21">
        <f>L158*Parameters!$C$34</f>
        <v>1.3747440709290188E-8</v>
      </c>
      <c r="O158" s="21">
        <f t="shared" si="5"/>
        <v>1.4374744070929017E-7</v>
      </c>
    </row>
    <row r="159" spans="1:15" ht="15" customHeight="1" x14ac:dyDescent="0.25">
      <c r="A159" s="10" t="s">
        <v>44</v>
      </c>
      <c r="B159" s="10" t="s">
        <v>170</v>
      </c>
      <c r="C159" s="10" t="s">
        <v>20</v>
      </c>
      <c r="D159" s="8">
        <f>Zone_Site_Means!$D$9</f>
        <v>0.5</v>
      </c>
      <c r="E159" s="21">
        <f>D159*Parameters!$B$4*Parameters!$B$5</f>
        <v>4.9999999999999998E-7</v>
      </c>
      <c r="F159" s="21">
        <f>E159*Parameters!$D$9*Parameters!$D$10*Parameters!$D$11/(Parameters!$D$8*Parameters!$D$15)</f>
        <v>3.3333333333333334E-8</v>
      </c>
      <c r="G159" s="21">
        <f>E159*Parameters!$D$12*Parameters!$F$21*Parameters!$D$13*Parameters!$D$10*Parameters!$D$11*Parameters!$D$14/(Parameters!$D$8*Parameters!$D$15)</f>
        <v>1.0931472858618201E-7</v>
      </c>
      <c r="H159" s="21">
        <f>F159/Parameters!$B$21</f>
        <v>6.666666666666667E-5</v>
      </c>
      <c r="I159" s="21">
        <f>G159/Parameters!$B$21</f>
        <v>2.1862945717236401E-4</v>
      </c>
      <c r="J159" s="21">
        <f t="shared" si="4"/>
        <v>2.8529612383903071E-4</v>
      </c>
      <c r="K159" s="21">
        <f>F159*Parameters!$D$15/Parameters!$D$16</f>
        <v>2.8571428571428572E-9</v>
      </c>
      <c r="L159" s="21">
        <f>G159*Parameters!$D$15/Parameters!$D$16</f>
        <v>9.3698338788156006E-9</v>
      </c>
      <c r="M159" s="21">
        <f>K159*Parameters!$C$21</f>
        <v>9.7142857142857159E-10</v>
      </c>
      <c r="N159" s="21">
        <f>L159*Parameters!$C$21</f>
        <v>3.1857435187973044E-9</v>
      </c>
      <c r="O159" s="21">
        <f t="shared" si="5"/>
        <v>4.1571720902258758E-9</v>
      </c>
    </row>
    <row r="160" spans="1:15" ht="15" customHeight="1" x14ac:dyDescent="0.25">
      <c r="A160" s="10" t="s">
        <v>44</v>
      </c>
      <c r="B160" s="10" t="s">
        <v>170</v>
      </c>
      <c r="C160" s="10" t="s">
        <v>21</v>
      </c>
      <c r="D160" s="8">
        <f>Zone_Site_Means!$E$9</f>
        <v>0.5</v>
      </c>
      <c r="E160" s="21">
        <f>D160*Parameters!$B$4*Parameters!$B$5</f>
        <v>4.9999999999999998E-7</v>
      </c>
      <c r="F160" s="21">
        <f>E160*Parameters!$D$9*Parameters!$D$10*Parameters!$D$11/(Parameters!$D$8*Parameters!$D$15)</f>
        <v>3.3333333333333334E-8</v>
      </c>
      <c r="G160" s="21">
        <f>E160*Parameters!$D$12*Parameters!$F$22*Parameters!$D$13*Parameters!$D$10*Parameters!$D$11*Parameters!$D$14/(Parameters!$D$8*Parameters!$D$15)</f>
        <v>1.3118333901498298E-7</v>
      </c>
      <c r="H160" s="21">
        <f>F160/Parameters!$B$22</f>
        <v>6.666666666666667E-5</v>
      </c>
      <c r="I160" s="21">
        <f>G160/Parameters!$B$22</f>
        <v>2.6236667802996598E-4</v>
      </c>
      <c r="J160" s="21">
        <f t="shared" si="4"/>
        <v>3.2903334469663263E-4</v>
      </c>
      <c r="K160" s="21">
        <f>F160*Parameters!$D$15/Parameters!$D$16</f>
        <v>2.8571428571428572E-9</v>
      </c>
      <c r="L160" s="21">
        <f>G160*Parameters!$D$15/Parameters!$D$16</f>
        <v>1.1244286201284256E-8</v>
      </c>
      <c r="M160" s="21">
        <f>K160*Parameters!$C$22</f>
        <v>9.7142857142857159E-10</v>
      </c>
      <c r="N160" s="21">
        <f>L160*Parameters!$C$22</f>
        <v>3.8230573084366473E-9</v>
      </c>
      <c r="O160" s="21">
        <f t="shared" si="5"/>
        <v>4.7944858798652187E-9</v>
      </c>
    </row>
    <row r="161" spans="1:15" ht="15" customHeight="1" x14ac:dyDescent="0.25">
      <c r="A161" s="10" t="s">
        <v>44</v>
      </c>
      <c r="B161" s="10" t="s">
        <v>170</v>
      </c>
      <c r="C161" s="10" t="s">
        <v>22</v>
      </c>
      <c r="D161" s="8">
        <f>Zone_Site_Means!$F$9</f>
        <v>0.5</v>
      </c>
      <c r="E161" s="21">
        <f>D161*Parameters!$B$4*Parameters!$B$5</f>
        <v>4.9999999999999998E-7</v>
      </c>
      <c r="F161" s="21">
        <f>E161*Parameters!$D$9*Parameters!$D$10*Parameters!$D$11/(Parameters!$D$8*Parameters!$D$15)</f>
        <v>3.3333333333333334E-8</v>
      </c>
      <c r="G161" s="21">
        <f>E161*Parameters!$D$12*Parameters!$F$23*Parameters!$D$13*Parameters!$D$10*Parameters!$D$11*Parameters!$D$14/(Parameters!$D$8*Parameters!$D$15)</f>
        <v>4.2111303129549024E-8</v>
      </c>
      <c r="H161" s="21">
        <f>F161/Parameters!$B$23</f>
        <v>6.666666666666667E-5</v>
      </c>
      <c r="I161" s="21">
        <f>G161/Parameters!$B$23</f>
        <v>8.422260625909804E-5</v>
      </c>
      <c r="J161" s="21">
        <f t="shared" si="4"/>
        <v>1.508892729257647E-4</v>
      </c>
      <c r="K161" s="21">
        <f>F161*Parameters!$D$15/Parameters!$D$16</f>
        <v>2.8571428571428572E-9</v>
      </c>
      <c r="L161" s="21">
        <f>G161*Parameters!$D$15/Parameters!$D$16</f>
        <v>3.6095402682470592E-9</v>
      </c>
      <c r="M161" s="21">
        <f>K161*Parameters!$C$23</f>
        <v>9.7142857142857159E-10</v>
      </c>
      <c r="N161" s="21">
        <f>L161*Parameters!$C$23</f>
        <v>1.2272436912040001E-9</v>
      </c>
      <c r="O161" s="21">
        <f t="shared" si="5"/>
        <v>2.1986722626325717E-9</v>
      </c>
    </row>
    <row r="162" spans="1:15" ht="15" customHeight="1" x14ac:dyDescent="0.25">
      <c r="A162" s="10" t="s">
        <v>44</v>
      </c>
      <c r="B162" s="10" t="s">
        <v>170</v>
      </c>
      <c r="C162" s="10" t="s">
        <v>23</v>
      </c>
      <c r="D162" s="8">
        <f>Zone_Site_Means!$G$9</f>
        <v>0.5</v>
      </c>
      <c r="E162" s="21">
        <f>D162*Parameters!$B$4*Parameters!$B$5</f>
        <v>4.9999999999999998E-7</v>
      </c>
      <c r="F162" s="21">
        <f>E162*Parameters!$D$9*Parameters!$D$10*Parameters!$D$11/(Parameters!$D$8*Parameters!$D$15)</f>
        <v>3.3333333333333334E-8</v>
      </c>
      <c r="G162" s="21">
        <f>E162*Parameters!$D$12*Parameters!$F$24*Parameters!$D$13*Parameters!$D$10*Parameters!$D$11*Parameters!$D$14/(Parameters!$D$8*Parameters!$D$15)</f>
        <v>5.2893058540951293E-8</v>
      </c>
      <c r="H162" s="21">
        <f>F162/Parameters!$B$24</f>
        <v>6.666666666666667E-5</v>
      </c>
      <c r="I162" s="21">
        <f>G162/Parameters!$B$24</f>
        <v>1.0578611708190258E-4</v>
      </c>
      <c r="J162" s="21">
        <f t="shared" si="4"/>
        <v>1.7245278374856927E-4</v>
      </c>
      <c r="K162" s="21">
        <f>F162*Parameters!$D$15/Parameters!$D$16</f>
        <v>2.8571428571428572E-9</v>
      </c>
      <c r="L162" s="21">
        <f>G162*Parameters!$D$15/Parameters!$D$16</f>
        <v>4.5336907320815392E-9</v>
      </c>
      <c r="M162" s="21">
        <f>K162*Parameters!$C$24</f>
        <v>9.7142857142857159E-10</v>
      </c>
      <c r="N162" s="21">
        <f>L162*Parameters!$C$24</f>
        <v>1.5414548489077235E-9</v>
      </c>
      <c r="O162" s="21">
        <f t="shared" si="5"/>
        <v>2.5128834203362949E-9</v>
      </c>
    </row>
    <row r="163" spans="1:15" ht="15" customHeight="1" x14ac:dyDescent="0.25">
      <c r="A163" s="10" t="s">
        <v>44</v>
      </c>
      <c r="B163" s="10" t="s">
        <v>170</v>
      </c>
      <c r="C163" s="10" t="s">
        <v>24</v>
      </c>
      <c r="D163" s="8">
        <f>Zone_Site_Means!$H$9</f>
        <v>2.8270000000000004</v>
      </c>
      <c r="E163" s="21">
        <f>D163*Parameters!$B$4*Parameters!$B$5</f>
        <v>2.8270000000000006E-6</v>
      </c>
      <c r="F163" s="21">
        <f>E163*Parameters!$D$9*Parameters!$D$10*Parameters!$D$11/(Parameters!$D$8*Parameters!$D$15)</f>
        <v>1.884666666666667E-7</v>
      </c>
      <c r="G163" s="21">
        <f>E163*Parameters!$D$12*Parameters!$F$25*Parameters!$D$13*Parameters!$D$10*Parameters!$D$11*Parameters!$D$14/(Parameters!$D$8*Parameters!$D$15)</f>
        <v>2.9772169644486949E-7</v>
      </c>
      <c r="H163" s="21">
        <f>F163/Parameters!$B$25</f>
        <v>3.7693333333333341E-4</v>
      </c>
      <c r="I163" s="21">
        <f>G163/Parameters!$B$25</f>
        <v>5.9544339288973894E-4</v>
      </c>
      <c r="J163" s="21">
        <f t="shared" si="4"/>
        <v>9.723767262230724E-4</v>
      </c>
      <c r="K163" s="21">
        <f>F163*Parameters!$D$15/Parameters!$D$16</f>
        <v>1.6154285714285717E-8</v>
      </c>
      <c r="L163" s="21">
        <f>G163*Parameters!$D$15/Parameters!$D$16</f>
        <v>2.5519002552417387E-8</v>
      </c>
      <c r="M163" s="21">
        <f>K163*Parameters!$C$25</f>
        <v>5.4924571428571447E-9</v>
      </c>
      <c r="N163" s="21">
        <f>L163*Parameters!$C$25</f>
        <v>8.6764608678219123E-9</v>
      </c>
      <c r="O163" s="21">
        <f t="shared" si="5"/>
        <v>1.4168918010679057E-8</v>
      </c>
    </row>
    <row r="164" spans="1:15" ht="15" customHeight="1" x14ac:dyDescent="0.25">
      <c r="A164" s="10" t="s">
        <v>44</v>
      </c>
      <c r="B164" s="10" t="s">
        <v>170</v>
      </c>
      <c r="C164" s="10" t="s">
        <v>25</v>
      </c>
      <c r="D164" s="8">
        <f>Zone_Site_Means!$I$9</f>
        <v>5.8826666666666663</v>
      </c>
      <c r="E164" s="21">
        <f>D164*Parameters!$B$4*Parameters!$B$5</f>
        <v>5.8826666666666662E-6</v>
      </c>
      <c r="F164" s="21">
        <f>E164*Parameters!$D$9*Parameters!$D$10*Parameters!$D$11/(Parameters!$D$8*Parameters!$D$15)</f>
        <v>3.9217777777777772E-7</v>
      </c>
      <c r="G164" s="21">
        <f>E164*Parameters!$D$12*Parameters!$F$26*Parameters!$D$13*Parameters!$D$10*Parameters!$D$11*Parameters!$D$14/(Parameters!$D$8*Parameters!$D$15)</f>
        <v>1.3448037667045554E-6</v>
      </c>
      <c r="H164" s="21">
        <f>F164/Parameters!$B$26</f>
        <v>7.8435555555555548E-4</v>
      </c>
      <c r="I164" s="21">
        <f>G164/Parameters!$B$26</f>
        <v>2.6896075334091108E-3</v>
      </c>
      <c r="J164" s="21">
        <f t="shared" si="4"/>
        <v>3.4739630889646664E-3</v>
      </c>
      <c r="K164" s="21">
        <f>F164*Parameters!$D$15/Parameters!$D$16</f>
        <v>3.3615238095238092E-8</v>
      </c>
      <c r="L164" s="21">
        <f>G164*Parameters!$D$15/Parameters!$D$16</f>
        <v>1.1526889428896189E-7</v>
      </c>
      <c r="M164" s="21">
        <f>K164*Parameters!$C$26</f>
        <v>1.1429180952380952E-8</v>
      </c>
      <c r="N164" s="21">
        <f>L164*Parameters!$C$26</f>
        <v>3.9191424058247047E-8</v>
      </c>
      <c r="O164" s="21">
        <f t="shared" si="5"/>
        <v>5.0620605010627997E-8</v>
      </c>
    </row>
    <row r="165" spans="1:15" ht="15" customHeight="1" x14ac:dyDescent="0.25">
      <c r="A165" s="10" t="s">
        <v>44</v>
      </c>
      <c r="B165" s="10" t="s">
        <v>170</v>
      </c>
      <c r="C165" s="10" t="s">
        <v>26</v>
      </c>
      <c r="D165" s="8">
        <f>Zone_Site_Means!$J$9</f>
        <v>1.421</v>
      </c>
      <c r="E165" s="21">
        <f>D165*Parameters!$B$4*Parameters!$B$5</f>
        <v>1.4210000000000002E-6</v>
      </c>
      <c r="F165" s="21">
        <f>E165*Parameters!$D$9*Parameters!$D$10*Parameters!$D$11/(Parameters!$D$8*Parameters!$D$15)</f>
        <v>9.4733333333333335E-8</v>
      </c>
      <c r="G165" s="21">
        <f>E165*Parameters!$D$12*Parameters!$F$27*Parameters!$D$13*Parameters!$D$10*Parameters!$D$11*Parameters!$D$14/(Parameters!$D$8*Parameters!$D$15)</f>
        <v>7.5058305286350622E-9</v>
      </c>
      <c r="H165" s="21">
        <f>F165/Parameters!$B$27</f>
        <v>3.1577777777777783E-4</v>
      </c>
      <c r="I165" s="21">
        <f>G165/Parameters!$B$27</f>
        <v>2.501943509545021E-5</v>
      </c>
      <c r="J165" s="21">
        <f t="shared" si="4"/>
        <v>3.4079721287322805E-4</v>
      </c>
      <c r="K165" s="21">
        <f>F165*Parameters!$D$15/Parameters!$D$16</f>
        <v>8.1200000000000009E-9</v>
      </c>
      <c r="L165" s="21">
        <f>G165*Parameters!$D$15/Parameters!$D$16</f>
        <v>6.4335690245443387E-10</v>
      </c>
      <c r="M165" s="21">
        <f>K165*Parameters!$C$27</f>
        <v>5.1156000000000005E-8</v>
      </c>
      <c r="N165" s="21">
        <f>L165*Parameters!$C$27</f>
        <v>4.0531484854629337E-9</v>
      </c>
      <c r="O165" s="21">
        <f t="shared" si="5"/>
        <v>5.520914848546294E-8</v>
      </c>
    </row>
    <row r="166" spans="1:15" ht="15" customHeight="1" x14ac:dyDescent="0.25">
      <c r="A166" s="10" t="s">
        <v>44</v>
      </c>
      <c r="B166" s="10" t="s">
        <v>170</v>
      </c>
      <c r="C166" s="10" t="s">
        <v>27</v>
      </c>
      <c r="D166" s="8">
        <f>Zone_Site_Means!$K$9</f>
        <v>2.4376666666666669</v>
      </c>
      <c r="E166" s="21">
        <f>D166*Parameters!$B$4*Parameters!$B$5</f>
        <v>2.437666666666667E-6</v>
      </c>
      <c r="F166" s="21">
        <f>E166*Parameters!$D$9*Parameters!$D$10*Parameters!$D$11/(Parameters!$D$8*Parameters!$D$15)</f>
        <v>1.6251111111111116E-7</v>
      </c>
      <c r="G166" s="21">
        <f>E166*Parameters!$D$12*Parameters!$F$28*Parameters!$D$13*Parameters!$D$10*Parameters!$D$11*Parameters!$D$14/(Parameters!$D$8*Parameters!$D$15)</f>
        <v>1.2490476171331507E-8</v>
      </c>
      <c r="H166" s="21">
        <f>F166/Parameters!$B$28</f>
        <v>5.4170370370370396E-4</v>
      </c>
      <c r="I166" s="21">
        <f>G166/Parameters!$B$28</f>
        <v>4.1634920571105031E-5</v>
      </c>
      <c r="J166" s="21">
        <f t="shared" si="4"/>
        <v>5.8333862427480902E-4</v>
      </c>
      <c r="K166" s="21">
        <f>F166*Parameters!$D$15/Parameters!$D$16</f>
        <v>1.3929523809523814E-8</v>
      </c>
      <c r="L166" s="21">
        <f>G166*Parameters!$D$15/Parameters!$D$16</f>
        <v>1.0706122432569864E-9</v>
      </c>
      <c r="M166" s="21">
        <f>K166*Parameters!$C$28</f>
        <v>2.5073142857142866E-8</v>
      </c>
      <c r="N166" s="21">
        <f>L166*Parameters!$C$28</f>
        <v>1.9271020378625757E-9</v>
      </c>
      <c r="O166" s="21">
        <f t="shared" si="5"/>
        <v>2.7000244895005441E-8</v>
      </c>
    </row>
    <row r="167" spans="1:15" ht="15" customHeight="1" x14ac:dyDescent="0.25">
      <c r="A167" s="10" t="s">
        <v>44</v>
      </c>
      <c r="B167" s="10" t="s">
        <v>170</v>
      </c>
      <c r="C167" s="10" t="s">
        <v>28</v>
      </c>
      <c r="D167" s="8">
        <f>Zone_Site_Means!$L$9</f>
        <v>0.5</v>
      </c>
      <c r="E167" s="21">
        <f>D167*Parameters!$B$4*Parameters!$B$5</f>
        <v>4.9999999999999998E-7</v>
      </c>
      <c r="F167" s="21">
        <f>E167*Parameters!$D$9*Parameters!$D$10*Parameters!$D$11/(Parameters!$D$8*Parameters!$D$15)</f>
        <v>3.3333333333333334E-8</v>
      </c>
      <c r="G167" s="21">
        <f>E167*Parameters!$D$12*Parameters!$F$29*Parameters!$D$13*Parameters!$D$10*Parameters!$D$11*Parameters!$D$14/(Parameters!$D$8*Parameters!$D$15)</f>
        <v>2.3387008894488494E-9</v>
      </c>
      <c r="H167" s="21">
        <f>F167/Parameters!$B$29</f>
        <v>1.1111111111111112E-4</v>
      </c>
      <c r="I167" s="21">
        <f>G167/Parameters!$B$29</f>
        <v>7.795669631496165E-6</v>
      </c>
      <c r="J167" s="21">
        <f t="shared" si="4"/>
        <v>1.1890678074260729E-4</v>
      </c>
      <c r="K167" s="21">
        <f>F167*Parameters!$D$15/Parameters!$D$16</f>
        <v>2.8571428571428572E-9</v>
      </c>
      <c r="L167" s="21">
        <f>G167*Parameters!$D$15/Parameters!$D$16</f>
        <v>2.004600762384728E-10</v>
      </c>
      <c r="M167" s="21">
        <f>K167*Parameters!$C$29</f>
        <v>3.7142857142857147E-9</v>
      </c>
      <c r="N167" s="21">
        <f>L167*Parameters!$C$29</f>
        <v>2.6059809911001464E-10</v>
      </c>
      <c r="O167" s="21">
        <f t="shared" si="5"/>
        <v>3.9748838133957295E-9</v>
      </c>
    </row>
    <row r="168" spans="1:15" ht="15" customHeight="1" x14ac:dyDescent="0.25">
      <c r="A168" s="10" t="s">
        <v>44</v>
      </c>
      <c r="B168" s="10" t="s">
        <v>170</v>
      </c>
      <c r="C168" s="10" t="s">
        <v>29</v>
      </c>
      <c r="D168" s="8">
        <f>Zone_Site_Means!$M$9</f>
        <v>0.5</v>
      </c>
      <c r="E168" s="21">
        <f>D168*Parameters!$B$4*Parameters!$B$5</f>
        <v>4.9999999999999998E-7</v>
      </c>
      <c r="F168" s="21">
        <f>E168*Parameters!$D$9*Parameters!$D$10*Parameters!$D$11/(Parameters!$D$8*Parameters!$D$15)</f>
        <v>3.3333333333333334E-8</v>
      </c>
      <c r="G168" s="21">
        <f>E168*Parameters!$D$12*Parameters!$F$30*Parameters!$D$13*Parameters!$D$10*Parameters!$D$11*Parameters!$D$14/(Parameters!$D$8*Parameters!$D$15)</f>
        <v>4.4276642493789062E-9</v>
      </c>
      <c r="H168" s="21">
        <f>F168/Parameters!$B$30</f>
        <v>1.1111111111111112E-4</v>
      </c>
      <c r="I168" s="21">
        <f>G168/Parameters!$B$30</f>
        <v>1.4758880831263022E-5</v>
      </c>
      <c r="J168" s="21">
        <f t="shared" si="4"/>
        <v>1.2586999194237413E-4</v>
      </c>
      <c r="K168" s="21">
        <f>F168*Parameters!$D$15/Parameters!$D$16</f>
        <v>2.8571428571428572E-9</v>
      </c>
      <c r="L168" s="21">
        <f>G168*Parameters!$D$15/Parameters!$D$16</f>
        <v>3.79514078518192E-10</v>
      </c>
      <c r="M168" s="21">
        <f>K168*Parameters!$C$30</f>
        <v>0</v>
      </c>
      <c r="N168" s="21">
        <f>L168*Parameters!$C$30</f>
        <v>0</v>
      </c>
      <c r="O168" s="21">
        <f t="shared" si="5"/>
        <v>0</v>
      </c>
    </row>
    <row r="169" spans="1:15" ht="15" customHeight="1" x14ac:dyDescent="0.25">
      <c r="A169" s="10" t="s">
        <v>44</v>
      </c>
      <c r="B169" s="10" t="s">
        <v>170</v>
      </c>
      <c r="C169" s="10" t="s">
        <v>30</v>
      </c>
      <c r="D169" s="8">
        <f>Zone_Site_Means!$N$9</f>
        <v>0.5</v>
      </c>
      <c r="E169" s="21">
        <f>D169*Parameters!$B$4*Parameters!$B$5</f>
        <v>4.9999999999999998E-7</v>
      </c>
      <c r="F169" s="21">
        <f>E169*Parameters!$D$9*Parameters!$D$10*Parameters!$D$11/(Parameters!$D$8*Parameters!$D$15)</f>
        <v>3.3333333333333334E-8</v>
      </c>
      <c r="G169" s="21">
        <f>E169*Parameters!$D$12*Parameters!$F$31*Parameters!$D$13*Parameters!$D$10*Parameters!$D$11*Parameters!$D$14/(Parameters!$D$8*Parameters!$D$15)</f>
        <v>6.1507302507360883E-8</v>
      </c>
      <c r="H169" s="21">
        <f>F169/Parameters!$B$31</f>
        <v>1.1111111111111111E-3</v>
      </c>
      <c r="I169" s="21">
        <f>G169/Parameters!$B$31</f>
        <v>2.0502434169120294E-3</v>
      </c>
      <c r="J169" s="21">
        <f t="shared" si="4"/>
        <v>3.1613545280231407E-3</v>
      </c>
      <c r="K169" s="21">
        <f>F169*Parameters!$D$15/Parameters!$D$16</f>
        <v>2.8571428571428572E-9</v>
      </c>
      <c r="L169" s="21">
        <f>G169*Parameters!$D$15/Parameters!$D$16</f>
        <v>5.2720545006309328E-9</v>
      </c>
      <c r="M169" s="21">
        <f>K169*Parameters!$C$31</f>
        <v>4.8571428571428572E-8</v>
      </c>
      <c r="N169" s="21">
        <f>L169*Parameters!$C$31</f>
        <v>8.9624926510725854E-8</v>
      </c>
      <c r="O169" s="21">
        <f t="shared" si="5"/>
        <v>1.3819635508215443E-7</v>
      </c>
    </row>
    <row r="170" spans="1:15" ht="15" customHeight="1" x14ac:dyDescent="0.25">
      <c r="A170" s="10" t="s">
        <v>44</v>
      </c>
      <c r="B170" s="10" t="s">
        <v>170</v>
      </c>
      <c r="C170" s="10" t="s">
        <v>31</v>
      </c>
      <c r="D170" s="8">
        <f>Zone_Site_Means!$O$9</f>
        <v>0.5</v>
      </c>
      <c r="E170" s="21">
        <f>D170*Parameters!$B$4*Parameters!$B$5</f>
        <v>4.9999999999999998E-7</v>
      </c>
      <c r="F170" s="21">
        <f>E170*Parameters!$D$9*Parameters!$D$10*Parameters!$D$11/(Parameters!$D$8*Parameters!$D$15)</f>
        <v>3.3333333333333334E-8</v>
      </c>
      <c r="G170" s="21">
        <f>E170*Parameters!$D$12*Parameters!$F$32*Parameters!$D$13*Parameters!$D$10*Parameters!$D$11*Parameters!$D$14/(Parameters!$D$8*Parameters!$D$15)</f>
        <v>9.4043044612788339E-9</v>
      </c>
      <c r="H170" s="21">
        <f>F170/Parameters!$B$32</f>
        <v>6.6666666666666664E-4</v>
      </c>
      <c r="I170" s="21">
        <f>G170/Parameters!$B$32</f>
        <v>1.8808608922557668E-4</v>
      </c>
      <c r="J170" s="21">
        <f t="shared" si="4"/>
        <v>8.5475275589224329E-4</v>
      </c>
      <c r="K170" s="21">
        <f>F170*Parameters!$D$15/Parameters!$D$16</f>
        <v>2.8571428571428572E-9</v>
      </c>
      <c r="L170" s="21">
        <f>G170*Parameters!$D$15/Parameters!$D$16</f>
        <v>8.0608323953818572E-10</v>
      </c>
      <c r="M170" s="21">
        <f>K170*Parameters!$C$32</f>
        <v>4.5714285714285715E-8</v>
      </c>
      <c r="N170" s="21">
        <f>L170*Parameters!$C$32</f>
        <v>1.2897331832610971E-8</v>
      </c>
      <c r="O170" s="21">
        <f t="shared" si="5"/>
        <v>5.8611617546896685E-8</v>
      </c>
    </row>
    <row r="171" spans="1:15" ht="15" customHeight="1" x14ac:dyDescent="0.25">
      <c r="A171" s="10" t="s">
        <v>44</v>
      </c>
      <c r="B171" s="10" t="s">
        <v>170</v>
      </c>
      <c r="C171" s="10" t="s">
        <v>32</v>
      </c>
      <c r="D171" s="8">
        <f>Zone_Site_Means!$P$9</f>
        <v>0.5</v>
      </c>
      <c r="E171" s="21">
        <f>D171*Parameters!$B$4*Parameters!$B$5</f>
        <v>4.9999999999999998E-7</v>
      </c>
      <c r="F171" s="21">
        <f>E171*Parameters!$D$9*Parameters!$D$10*Parameters!$D$11/(Parameters!$D$8*Parameters!$D$15)</f>
        <v>3.3333333333333334E-8</v>
      </c>
      <c r="G171" s="21">
        <f>E171*Parameters!$D$12*Parameters!$F$33*Parameters!$D$13*Parameters!$D$10*Parameters!$D$11*Parameters!$D$14/(Parameters!$D$8*Parameters!$D$15)</f>
        <v>3.0049045466370191E-8</v>
      </c>
      <c r="H171" s="21">
        <f>F171/Parameters!$B$33</f>
        <v>6.666666666666667E-5</v>
      </c>
      <c r="I171" s="21">
        <f>G171/Parameters!$B$33</f>
        <v>6.0098090932740382E-5</v>
      </c>
      <c r="J171" s="21">
        <f t="shared" si="4"/>
        <v>1.2676475759940706E-4</v>
      </c>
      <c r="K171" s="21">
        <f>F171*Parameters!$D$15/Parameters!$D$16</f>
        <v>2.8571428571428572E-9</v>
      </c>
      <c r="L171" s="21">
        <f>G171*Parameters!$D$15/Parameters!$D$16</f>
        <v>2.575632468546016E-9</v>
      </c>
      <c r="M171" s="21">
        <f>K171*Parameters!$C$33</f>
        <v>1.2857142857142857E-8</v>
      </c>
      <c r="N171" s="21">
        <f>L171*Parameters!$C$33</f>
        <v>1.1590346108457072E-8</v>
      </c>
      <c r="O171" s="21">
        <f t="shared" si="5"/>
        <v>2.4447488965599928E-8</v>
      </c>
    </row>
    <row r="172" spans="1:15" ht="15" customHeight="1" x14ac:dyDescent="0.25">
      <c r="A172" s="10" t="s">
        <v>44</v>
      </c>
      <c r="B172" s="10" t="s">
        <v>170</v>
      </c>
      <c r="C172" s="10" t="s">
        <v>33</v>
      </c>
      <c r="D172" s="8">
        <f>Zone_Site_Means!$Q$9</f>
        <v>0.5</v>
      </c>
      <c r="E172" s="21">
        <f>D172*Parameters!$B$4*Parameters!$B$5</f>
        <v>4.9999999999999998E-7</v>
      </c>
      <c r="F172" s="21">
        <f>E172*Parameters!$D$9*Parameters!$D$10*Parameters!$D$11/(Parameters!$D$8*Parameters!$D$15)</f>
        <v>3.3333333333333334E-8</v>
      </c>
      <c r="G172" s="21">
        <f>E172*Parameters!$D$12*Parameters!$F$34*Parameters!$D$13*Parameters!$D$10*Parameters!$D$11*Parameters!$D$14/(Parameters!$D$8*Parameters!$D$15)</f>
        <v>4.4568773298612478E-9</v>
      </c>
      <c r="H172" s="21">
        <f>F172/Parameters!$B$34</f>
        <v>2.5641025641025641E-3</v>
      </c>
      <c r="I172" s="21">
        <f>G172/Parameters!$B$34</f>
        <v>3.4283671768163445E-4</v>
      </c>
      <c r="J172" s="21">
        <f t="shared" si="4"/>
        <v>2.9069392817841987E-3</v>
      </c>
      <c r="K172" s="21">
        <f>F172*Parameters!$D$15/Parameters!$D$16</f>
        <v>2.8571428571428572E-9</v>
      </c>
      <c r="L172" s="21">
        <f>G172*Parameters!$D$15/Parameters!$D$16</f>
        <v>3.8201805684524981E-10</v>
      </c>
      <c r="M172" s="21">
        <f>K172*Parameters!$C$34</f>
        <v>2.5999999999999998E-8</v>
      </c>
      <c r="N172" s="21">
        <f>L172*Parameters!$C$34</f>
        <v>3.476364317291773E-9</v>
      </c>
      <c r="O172" s="21">
        <f t="shared" si="5"/>
        <v>2.9476364317291771E-8</v>
      </c>
    </row>
    <row r="173" spans="1:15" ht="15" customHeight="1" x14ac:dyDescent="0.25">
      <c r="A173" s="10" t="s">
        <v>48</v>
      </c>
      <c r="B173" s="10" t="s">
        <v>169</v>
      </c>
      <c r="C173" s="10" t="s">
        <v>20</v>
      </c>
      <c r="D173" s="8">
        <f>Zone_Site_Means!$D$10</f>
        <v>5.7290000000000001</v>
      </c>
      <c r="E173" s="21">
        <f>D173*Parameters!$B$4*Parameters!$B$5</f>
        <v>5.7290000000000005E-6</v>
      </c>
      <c r="F173" s="21">
        <f>E173*Parameters!$C$9*Parameters!$C$10*Parameters!$C$11/(Parameters!$C$8*Parameters!$C$15)</f>
        <v>1.6368571428571432E-7</v>
      </c>
      <c r="G173" s="21">
        <f>E173*Parameters!$C$12*Parameters!$F$21*Parameters!$C$13*Parameters!$C$10*Parameters!$C$11*Parameters!$C$14/(Parameters!$C$8*Parameters!$C$15)</f>
        <v>4.2455824648917336E-7</v>
      </c>
      <c r="H173" s="21">
        <f>F173/Parameters!$B$21</f>
        <v>3.2737142857142864E-4</v>
      </c>
      <c r="I173" s="21">
        <f>G173/Parameters!$B$21</f>
        <v>8.4911649297834675E-4</v>
      </c>
      <c r="J173" s="21">
        <f t="shared" si="4"/>
        <v>1.1764879215497754E-3</v>
      </c>
      <c r="K173" s="21">
        <f>F173*Parameters!$C$15/Parameters!$C$16</f>
        <v>1.6368571428571432E-7</v>
      </c>
      <c r="L173" s="21">
        <f>G173*Parameters!$C$15/Parameters!$C$16</f>
        <v>4.2455824648917336E-7</v>
      </c>
      <c r="M173" s="21">
        <f>K173*Parameters!$C$21</f>
        <v>5.5653142857142875E-8</v>
      </c>
      <c r="N173" s="21">
        <f>L173*Parameters!$C$21</f>
        <v>1.4434980380631895E-7</v>
      </c>
      <c r="O173" s="21">
        <f t="shared" si="5"/>
        <v>2.0000294666346183E-7</v>
      </c>
    </row>
    <row r="174" spans="1:15" ht="15" customHeight="1" x14ac:dyDescent="0.25">
      <c r="A174" s="10" t="s">
        <v>48</v>
      </c>
      <c r="B174" s="10" t="s">
        <v>169</v>
      </c>
      <c r="C174" s="10" t="s">
        <v>21</v>
      </c>
      <c r="D174" s="8">
        <f>Zone_Site_Means!$E$10</f>
        <v>6.8069999999999995</v>
      </c>
      <c r="E174" s="21">
        <f>D174*Parameters!$B$4*Parameters!$B$5</f>
        <v>6.8070000000000002E-6</v>
      </c>
      <c r="F174" s="21">
        <f>E174*Parameters!$C$9*Parameters!$C$10*Parameters!$C$11/(Parameters!$C$8*Parameters!$C$15)</f>
        <v>1.944857142857143E-7</v>
      </c>
      <c r="G174" s="21">
        <f>E174*Parameters!$C$12*Parameters!$F$22*Parameters!$C$13*Parameters!$C$10*Parameters!$C$11*Parameters!$C$14/(Parameters!$C$8*Parameters!$C$15)</f>
        <v>6.0536068063421332E-7</v>
      </c>
      <c r="H174" s="21">
        <f>F174/Parameters!$B$22</f>
        <v>3.8897142857142862E-4</v>
      </c>
      <c r="I174" s="21">
        <f>G174/Parameters!$B$22</f>
        <v>1.2107213612684265E-3</v>
      </c>
      <c r="J174" s="21">
        <f t="shared" si="4"/>
        <v>1.5996927898398552E-3</v>
      </c>
      <c r="K174" s="21">
        <f>F174*Parameters!$C$15/Parameters!$C$16</f>
        <v>1.944857142857143E-7</v>
      </c>
      <c r="L174" s="21">
        <f>G174*Parameters!$C$15/Parameters!$C$16</f>
        <v>6.0536068063421332E-7</v>
      </c>
      <c r="M174" s="21">
        <f>K174*Parameters!$C$22</f>
        <v>6.6125142857142872E-8</v>
      </c>
      <c r="N174" s="21">
        <f>L174*Parameters!$C$22</f>
        <v>2.0582263141563254E-7</v>
      </c>
      <c r="O174" s="21">
        <f t="shared" si="5"/>
        <v>2.7194777427277539E-7</v>
      </c>
    </row>
    <row r="175" spans="1:15" ht="15" customHeight="1" x14ac:dyDescent="0.25">
      <c r="A175" s="10" t="s">
        <v>48</v>
      </c>
      <c r="B175" s="10" t="s">
        <v>169</v>
      </c>
      <c r="C175" s="10" t="s">
        <v>22</v>
      </c>
      <c r="D175" s="8">
        <f>Zone_Site_Means!$F$10</f>
        <v>3.4243333333333332</v>
      </c>
      <c r="E175" s="21">
        <f>D175*Parameters!$B$4*Parameters!$B$5</f>
        <v>3.4243333333333334E-6</v>
      </c>
      <c r="F175" s="21">
        <f>E175*Parameters!$C$9*Parameters!$C$10*Parameters!$C$11/(Parameters!$C$8*Parameters!$C$15)</f>
        <v>9.783809523809525E-8</v>
      </c>
      <c r="G175" s="21">
        <f>E175*Parameters!$C$12*Parameters!$F$23*Parameters!$C$13*Parameters!$C$10*Parameters!$C$11*Parameters!$C$14/(Parameters!$C$8*Parameters!$C$15)</f>
        <v>9.7758491645032625E-8</v>
      </c>
      <c r="H175" s="21">
        <f>F175/Parameters!$B$23</f>
        <v>1.956761904761905E-4</v>
      </c>
      <c r="I175" s="21">
        <f>G175/Parameters!$B$23</f>
        <v>1.9551698329006525E-4</v>
      </c>
      <c r="J175" s="21">
        <f t="shared" si="4"/>
        <v>3.9119317376625574E-4</v>
      </c>
      <c r="K175" s="21">
        <f>F175*Parameters!$C$15/Parameters!$C$16</f>
        <v>9.783809523809525E-8</v>
      </c>
      <c r="L175" s="21">
        <f>G175*Parameters!$C$15/Parameters!$C$16</f>
        <v>9.7758491645032625E-8</v>
      </c>
      <c r="M175" s="21">
        <f>K175*Parameters!$C$23</f>
        <v>3.3264952380952385E-8</v>
      </c>
      <c r="N175" s="21">
        <f>L175*Parameters!$C$23</f>
        <v>3.3237887159311092E-8</v>
      </c>
      <c r="O175" s="21">
        <f t="shared" si="5"/>
        <v>6.650283954026347E-8</v>
      </c>
    </row>
    <row r="176" spans="1:15" ht="15" customHeight="1" x14ac:dyDescent="0.25">
      <c r="A176" s="10" t="s">
        <v>48</v>
      </c>
      <c r="B176" s="10" t="s">
        <v>169</v>
      </c>
      <c r="C176" s="10" t="s">
        <v>23</v>
      </c>
      <c r="D176" s="8">
        <f>Zone_Site_Means!$G$10</f>
        <v>4.2326666666666668</v>
      </c>
      <c r="E176" s="21">
        <f>D176*Parameters!$B$4*Parameters!$B$5</f>
        <v>4.2326666666666667E-6</v>
      </c>
      <c r="F176" s="21">
        <f>E176*Parameters!$C$9*Parameters!$C$10*Parameters!$C$11/(Parameters!$C$8*Parameters!$C$15)</f>
        <v>1.2093333333333333E-7</v>
      </c>
      <c r="G176" s="21">
        <f>E176*Parameters!$C$12*Parameters!$F$24*Parameters!$C$13*Parameters!$C$10*Parameters!$C$11*Parameters!$C$14/(Parameters!$C$8*Parameters!$C$15)</f>
        <v>1.5177230386937911E-7</v>
      </c>
      <c r="H176" s="21">
        <f>F176/Parameters!$B$24</f>
        <v>2.4186666666666665E-4</v>
      </c>
      <c r="I176" s="21">
        <f>G176/Parameters!$B$24</f>
        <v>3.0354460773875824E-4</v>
      </c>
      <c r="J176" s="21">
        <f t="shared" si="4"/>
        <v>5.4541127440542491E-4</v>
      </c>
      <c r="K176" s="21">
        <f>F176*Parameters!$C$15/Parameters!$C$16</f>
        <v>1.2093333333333333E-7</v>
      </c>
      <c r="L176" s="21">
        <f>G176*Parameters!$C$15/Parameters!$C$16</f>
        <v>1.5177230386937911E-7</v>
      </c>
      <c r="M176" s="21">
        <f>K176*Parameters!$C$24</f>
        <v>4.1117333333333333E-8</v>
      </c>
      <c r="N176" s="21">
        <f>L176*Parameters!$C$24</f>
        <v>5.1602583315588904E-8</v>
      </c>
      <c r="O176" s="21">
        <f t="shared" si="5"/>
        <v>9.2719916648922236E-8</v>
      </c>
    </row>
    <row r="177" spans="1:15" ht="15" customHeight="1" x14ac:dyDescent="0.25">
      <c r="A177" s="10" t="s">
        <v>48</v>
      </c>
      <c r="B177" s="10" t="s">
        <v>169</v>
      </c>
      <c r="C177" s="10" t="s">
        <v>24</v>
      </c>
      <c r="D177" s="8">
        <f>Zone_Site_Means!$H$10</f>
        <v>7.4006666666666661</v>
      </c>
      <c r="E177" s="21">
        <f>D177*Parameters!$B$4*Parameters!$B$5</f>
        <v>7.4006666666666667E-6</v>
      </c>
      <c r="F177" s="21">
        <f>E177*Parameters!$C$9*Parameters!$C$10*Parameters!$C$11/(Parameters!$C$8*Parameters!$C$15)</f>
        <v>2.1144761904761908E-7</v>
      </c>
      <c r="G177" s="21">
        <f>E177*Parameters!$C$12*Parameters!$F$25*Parameters!$C$13*Parameters!$C$10*Parameters!$C$11*Parameters!$C$14/(Parameters!$C$8*Parameters!$C$15)</f>
        <v>2.641832643887569E-7</v>
      </c>
      <c r="H177" s="21">
        <f>F177/Parameters!$B$25</f>
        <v>4.2289523809523814E-4</v>
      </c>
      <c r="I177" s="21">
        <f>G177/Parameters!$B$25</f>
        <v>5.283665287775138E-4</v>
      </c>
      <c r="J177" s="21">
        <f t="shared" si="4"/>
        <v>9.5126176687275194E-4</v>
      </c>
      <c r="K177" s="21">
        <f>F177*Parameters!$C$15/Parameters!$C$16</f>
        <v>2.114476190476191E-7</v>
      </c>
      <c r="L177" s="21">
        <f>G177*Parameters!$C$15/Parameters!$C$16</f>
        <v>2.641832643887569E-7</v>
      </c>
      <c r="M177" s="21">
        <f>K177*Parameters!$C$25</f>
        <v>7.1892190476190495E-8</v>
      </c>
      <c r="N177" s="21">
        <f>L177*Parameters!$C$25</f>
        <v>8.9822309892177346E-8</v>
      </c>
      <c r="O177" s="21">
        <f t="shared" si="5"/>
        <v>1.6171450036836785E-7</v>
      </c>
    </row>
    <row r="178" spans="1:15" ht="15" customHeight="1" x14ac:dyDescent="0.25">
      <c r="A178" s="10" t="s">
        <v>48</v>
      </c>
      <c r="B178" s="10" t="s">
        <v>169</v>
      </c>
      <c r="C178" s="10" t="s">
        <v>25</v>
      </c>
      <c r="D178" s="8">
        <f>Zone_Site_Means!$I$10</f>
        <v>13.231999999999999</v>
      </c>
      <c r="E178" s="21">
        <f>D178*Parameters!$B$4*Parameters!$B$5</f>
        <v>1.3232E-5</v>
      </c>
      <c r="F178" s="21">
        <f>E178*Parameters!$C$9*Parameters!$C$10*Parameters!$C$11/(Parameters!$C$8*Parameters!$C$15)</f>
        <v>3.7805714285714291E-7</v>
      </c>
      <c r="G178" s="21">
        <f>E178*Parameters!$C$12*Parameters!$F$26*Parameters!$C$13*Parameters!$C$10*Parameters!$C$11*Parameters!$C$14/(Parameters!$C$8*Parameters!$C$15)</f>
        <v>1.0253212324070536E-6</v>
      </c>
      <c r="H178" s="21">
        <f>F178/Parameters!$B$26</f>
        <v>7.5611428571428579E-4</v>
      </c>
      <c r="I178" s="21">
        <f>G178/Parameters!$B$26</f>
        <v>2.0506424648141074E-3</v>
      </c>
      <c r="J178" s="21">
        <f t="shared" si="4"/>
        <v>2.8067567505283934E-3</v>
      </c>
      <c r="K178" s="21">
        <f>F178*Parameters!$C$15/Parameters!$C$16</f>
        <v>3.7805714285714297E-7</v>
      </c>
      <c r="L178" s="21">
        <f>G178*Parameters!$C$15/Parameters!$C$16</f>
        <v>1.0253212324070536E-6</v>
      </c>
      <c r="M178" s="21">
        <f>K178*Parameters!$C$26</f>
        <v>1.2853942857142862E-7</v>
      </c>
      <c r="N178" s="21">
        <f>L178*Parameters!$C$26</f>
        <v>3.4860921901839827E-7</v>
      </c>
      <c r="O178" s="21">
        <f t="shared" si="5"/>
        <v>4.7714864758982686E-7</v>
      </c>
    </row>
    <row r="179" spans="1:15" ht="15" customHeight="1" x14ac:dyDescent="0.25">
      <c r="A179" s="10" t="s">
        <v>48</v>
      </c>
      <c r="B179" s="10" t="s">
        <v>169</v>
      </c>
      <c r="C179" s="10" t="s">
        <v>26</v>
      </c>
      <c r="D179" s="8">
        <f>Zone_Site_Means!$J$10</f>
        <v>6.0990000000000002</v>
      </c>
      <c r="E179" s="21">
        <f>D179*Parameters!$B$4*Parameters!$B$5</f>
        <v>6.0990000000000004E-6</v>
      </c>
      <c r="F179" s="21">
        <f>E179*Parameters!$C$9*Parameters!$C$10*Parameters!$C$11/(Parameters!$C$8*Parameters!$C$15)</f>
        <v>1.7425714285714288E-7</v>
      </c>
      <c r="G179" s="21">
        <f>E179*Parameters!$C$12*Parameters!$F$27*Parameters!$C$13*Parameters!$C$10*Parameters!$C$11*Parameters!$C$14/(Parameters!$C$8*Parameters!$C$15)</f>
        <v>1.0919759966798491E-8</v>
      </c>
      <c r="H179" s="21">
        <f>F179/Parameters!$B$27</f>
        <v>5.8085714285714294E-4</v>
      </c>
      <c r="I179" s="21">
        <f>G179/Parameters!$B$27</f>
        <v>3.639919988932831E-5</v>
      </c>
      <c r="J179" s="21">
        <f t="shared" si="4"/>
        <v>6.1725634274647123E-4</v>
      </c>
      <c r="K179" s="21">
        <f>F179*Parameters!$C$15/Parameters!$C$16</f>
        <v>1.7425714285714288E-7</v>
      </c>
      <c r="L179" s="21">
        <f>G179*Parameters!$C$15/Parameters!$C$16</f>
        <v>1.0919759966798491E-8</v>
      </c>
      <c r="M179" s="21">
        <f>K179*Parameters!$C$27</f>
        <v>1.09782E-6</v>
      </c>
      <c r="N179" s="21">
        <f>L179*Parameters!$C$27</f>
        <v>6.8794487790830492E-8</v>
      </c>
      <c r="O179" s="21">
        <f t="shared" si="5"/>
        <v>1.1666144877908305E-6</v>
      </c>
    </row>
    <row r="180" spans="1:15" ht="15" customHeight="1" x14ac:dyDescent="0.25">
      <c r="A180" s="10" t="s">
        <v>48</v>
      </c>
      <c r="B180" s="10" t="s">
        <v>169</v>
      </c>
      <c r="C180" s="10" t="s">
        <v>27</v>
      </c>
      <c r="D180" s="8">
        <f>Zone_Site_Means!$K$10</f>
        <v>12.004333333333335</v>
      </c>
      <c r="E180" s="21">
        <f>D180*Parameters!$B$4*Parameters!$B$5</f>
        <v>1.2004333333333336E-5</v>
      </c>
      <c r="F180" s="21">
        <f>E180*Parameters!$C$9*Parameters!$C$10*Parameters!$C$11/(Parameters!$C$8*Parameters!$C$15)</f>
        <v>3.4298095238095252E-7</v>
      </c>
      <c r="G180" s="21">
        <f>E180*Parameters!$C$12*Parameters!$F$28*Parameters!$C$13*Parameters!$C$10*Parameters!$C$11*Parameters!$C$14/(Parameters!$C$8*Parameters!$C$15)</f>
        <v>2.0849349280409763E-8</v>
      </c>
      <c r="H180" s="21">
        <f>F180/Parameters!$B$28</f>
        <v>1.1432698412698419E-3</v>
      </c>
      <c r="I180" s="21">
        <f>G180/Parameters!$B$28</f>
        <v>6.9497830934699224E-5</v>
      </c>
      <c r="J180" s="21">
        <f t="shared" si="4"/>
        <v>1.2127676722045412E-3</v>
      </c>
      <c r="K180" s="21">
        <f>F180*Parameters!$C$15/Parameters!$C$16</f>
        <v>3.4298095238095257E-7</v>
      </c>
      <c r="L180" s="21">
        <f>G180*Parameters!$C$15/Parameters!$C$16</f>
        <v>2.0849349280409763E-8</v>
      </c>
      <c r="M180" s="21">
        <f>K180*Parameters!$C$28</f>
        <v>6.1736571428571463E-7</v>
      </c>
      <c r="N180" s="21">
        <f>L180*Parameters!$C$28</f>
        <v>3.7528828704737576E-8</v>
      </c>
      <c r="O180" s="21">
        <f t="shared" si="5"/>
        <v>6.5489454299045222E-7</v>
      </c>
    </row>
    <row r="181" spans="1:15" ht="15" customHeight="1" x14ac:dyDescent="0.25">
      <c r="A181" s="10" t="s">
        <v>48</v>
      </c>
      <c r="B181" s="10" t="s">
        <v>169</v>
      </c>
      <c r="C181" s="10" t="s">
        <v>28</v>
      </c>
      <c r="D181" s="8">
        <f>Zone_Site_Means!$L$10</f>
        <v>2.7869999999999995</v>
      </c>
      <c r="E181" s="21">
        <f>D181*Parameters!$B$4*Parameters!$B$5</f>
        <v>2.7869999999999997E-6</v>
      </c>
      <c r="F181" s="21">
        <f>E181*Parameters!$C$9*Parameters!$C$10*Parameters!$C$11/(Parameters!$C$8*Parameters!$C$15)</f>
        <v>7.9628571428571417E-8</v>
      </c>
      <c r="G181" s="21">
        <f>E181*Parameters!$C$12*Parameters!$F$29*Parameters!$C$13*Parameters!$C$10*Parameters!$C$11*Parameters!$C$14/(Parameters!$C$8*Parameters!$C$15)</f>
        <v>4.4186685659514783E-9</v>
      </c>
      <c r="H181" s="21">
        <f>F181/Parameters!$B$29</f>
        <v>2.6542857142857141E-4</v>
      </c>
      <c r="I181" s="21">
        <f>G181/Parameters!$B$29</f>
        <v>1.4728895219838262E-5</v>
      </c>
      <c r="J181" s="21">
        <f t="shared" si="4"/>
        <v>2.8015746664840965E-4</v>
      </c>
      <c r="K181" s="21">
        <f>F181*Parameters!$C$15/Parameters!$C$16</f>
        <v>7.9628571428571417E-8</v>
      </c>
      <c r="L181" s="21">
        <f>G181*Parameters!$C$15/Parameters!$C$16</f>
        <v>4.4186685659514783E-9</v>
      </c>
      <c r="M181" s="21">
        <f>K181*Parameters!$C$29</f>
        <v>1.0351714285714284E-7</v>
      </c>
      <c r="N181" s="21">
        <f>L181*Parameters!$C$29</f>
        <v>5.744269135736922E-9</v>
      </c>
      <c r="O181" s="21">
        <f t="shared" si="5"/>
        <v>1.0926141199287976E-7</v>
      </c>
    </row>
    <row r="182" spans="1:15" ht="15" customHeight="1" x14ac:dyDescent="0.25">
      <c r="A182" s="10" t="s">
        <v>48</v>
      </c>
      <c r="B182" s="10" t="s">
        <v>169</v>
      </c>
      <c r="C182" s="10" t="s">
        <v>29</v>
      </c>
      <c r="D182" s="8">
        <f>Zone_Site_Means!$M$10</f>
        <v>3.784333333333334</v>
      </c>
      <c r="E182" s="21">
        <f>D182*Parameters!$B$4*Parameters!$B$5</f>
        <v>3.7843333333333342E-6</v>
      </c>
      <c r="F182" s="21">
        <f>E182*Parameters!$C$9*Parameters!$C$10*Parameters!$C$11/(Parameters!$C$8*Parameters!$C$15)</f>
        <v>1.0812380952380955E-7</v>
      </c>
      <c r="G182" s="21">
        <f>E182*Parameters!$C$12*Parameters!$F$30*Parameters!$C$13*Parameters!$C$10*Parameters!$C$11*Parameters!$C$14/(Parameters!$C$8*Parameters!$C$15)</f>
        <v>1.1359097879008544E-8</v>
      </c>
      <c r="H182" s="21">
        <f>F182/Parameters!$B$30</f>
        <v>3.604126984126985E-4</v>
      </c>
      <c r="I182" s="21">
        <f>G182/Parameters!$B$30</f>
        <v>3.7863659596695147E-5</v>
      </c>
      <c r="J182" s="21">
        <f t="shared" si="4"/>
        <v>3.9827635800939365E-4</v>
      </c>
      <c r="K182" s="21">
        <f>F182*Parameters!$C$15/Parameters!$C$16</f>
        <v>1.0812380952380955E-7</v>
      </c>
      <c r="L182" s="21">
        <f>G182*Parameters!$C$15/Parameters!$C$16</f>
        <v>1.1359097879008544E-8</v>
      </c>
      <c r="M182" s="21">
        <f>K182*Parameters!$C$30</f>
        <v>0</v>
      </c>
      <c r="N182" s="21">
        <f>L182*Parameters!$C$30</f>
        <v>0</v>
      </c>
      <c r="O182" s="21">
        <f t="shared" si="5"/>
        <v>0</v>
      </c>
    </row>
    <row r="183" spans="1:15" ht="15" customHeight="1" x14ac:dyDescent="0.25">
      <c r="A183" s="10" t="s">
        <v>48</v>
      </c>
      <c r="B183" s="10" t="s">
        <v>169</v>
      </c>
      <c r="C183" s="10" t="s">
        <v>30</v>
      </c>
      <c r="D183" s="8">
        <f>Zone_Site_Means!$N$10</f>
        <v>3.8403333333333336</v>
      </c>
      <c r="E183" s="21">
        <f>D183*Parameters!$B$4*Parameters!$B$5</f>
        <v>3.8403333333333337E-6</v>
      </c>
      <c r="F183" s="21">
        <f>E183*Parameters!$C$9*Parameters!$C$10*Parameters!$C$11/(Parameters!$C$8*Parameters!$C$15)</f>
        <v>1.0972380952380955E-7</v>
      </c>
      <c r="G183" s="21">
        <f>E183*Parameters!$C$12*Parameters!$F$31*Parameters!$C$13*Parameters!$C$10*Parameters!$C$11*Parameters!$C$14/(Parameters!$C$8*Parameters!$C$15)</f>
        <v>1.6013098701375462E-7</v>
      </c>
      <c r="H183" s="21">
        <f>F183/Parameters!$B$31</f>
        <v>3.657460317460318E-3</v>
      </c>
      <c r="I183" s="21">
        <f>G183/Parameters!$B$31</f>
        <v>5.3376995671251537E-3</v>
      </c>
      <c r="J183" s="21">
        <f t="shared" si="4"/>
        <v>8.9951598845854717E-3</v>
      </c>
      <c r="K183" s="21">
        <f>F183*Parameters!$C$15/Parameters!$C$16</f>
        <v>1.0972380952380955E-7</v>
      </c>
      <c r="L183" s="21">
        <f>G183*Parameters!$C$15/Parameters!$C$16</f>
        <v>1.6013098701375462E-7</v>
      </c>
      <c r="M183" s="21">
        <f>K183*Parameters!$C$31</f>
        <v>1.8653047619047622E-6</v>
      </c>
      <c r="N183" s="21">
        <f>L183*Parameters!$C$31</f>
        <v>2.7222267792338287E-6</v>
      </c>
      <c r="O183" s="21">
        <f t="shared" si="5"/>
        <v>4.5875315411385912E-6</v>
      </c>
    </row>
    <row r="184" spans="1:15" ht="15" customHeight="1" x14ac:dyDescent="0.25">
      <c r="A184" s="10" t="s">
        <v>48</v>
      </c>
      <c r="B184" s="10" t="s">
        <v>169</v>
      </c>
      <c r="C184" s="10" t="s">
        <v>31</v>
      </c>
      <c r="D184" s="8">
        <f>Zone_Site_Means!$O$10</f>
        <v>6.8616666666666672</v>
      </c>
      <c r="E184" s="21">
        <f>D184*Parameters!$B$4*Parameters!$B$5</f>
        <v>6.8616666666666682E-6</v>
      </c>
      <c r="F184" s="21">
        <f>E184*Parameters!$C$9*Parameters!$C$10*Parameters!$C$11/(Parameters!$C$8*Parameters!$C$15)</f>
        <v>1.9604761904761911E-7</v>
      </c>
      <c r="G184" s="21">
        <f>E184*Parameters!$C$12*Parameters!$F$32*Parameters!$C$13*Parameters!$C$10*Parameters!$C$11*Parameters!$C$14/(Parameters!$C$8*Parameters!$C$15)</f>
        <v>4.3745771008264828E-8</v>
      </c>
      <c r="H184" s="21">
        <f>F184/Parameters!$B$32</f>
        <v>3.9209523809523817E-3</v>
      </c>
      <c r="I184" s="21">
        <f>G184/Parameters!$B$32</f>
        <v>8.7491542016529652E-4</v>
      </c>
      <c r="J184" s="21">
        <f t="shared" si="4"/>
        <v>4.7958678011176779E-3</v>
      </c>
      <c r="K184" s="21">
        <f>F184*Parameters!$C$15/Parameters!$C$16</f>
        <v>1.9604761904761908E-7</v>
      </c>
      <c r="L184" s="21">
        <f>G184*Parameters!$C$15/Parameters!$C$16</f>
        <v>4.3745771008264828E-8</v>
      </c>
      <c r="M184" s="21">
        <f>K184*Parameters!$C$32</f>
        <v>3.1367619047619054E-6</v>
      </c>
      <c r="N184" s="21">
        <f>L184*Parameters!$C$32</f>
        <v>6.9993233613223725E-7</v>
      </c>
      <c r="O184" s="21">
        <f t="shared" si="5"/>
        <v>3.8366942408941427E-6</v>
      </c>
    </row>
    <row r="185" spans="1:15" ht="15" customHeight="1" x14ac:dyDescent="0.25">
      <c r="A185" s="10" t="s">
        <v>48</v>
      </c>
      <c r="B185" s="10" t="s">
        <v>169</v>
      </c>
      <c r="C185" s="10" t="s">
        <v>32</v>
      </c>
      <c r="D185" s="8">
        <f>Zone_Site_Means!$P$10</f>
        <v>5.355666666666667</v>
      </c>
      <c r="E185" s="21">
        <f>D185*Parameters!$B$4*Parameters!$B$5</f>
        <v>5.3556666666666677E-6</v>
      </c>
      <c r="F185" s="21">
        <f>E185*Parameters!$C$9*Parameters!$C$10*Parameters!$C$11/(Parameters!$C$8*Parameters!$C$15)</f>
        <v>1.5301904761904766E-7</v>
      </c>
      <c r="G185" s="21">
        <f>E185*Parameters!$C$12*Parameters!$F$33*Parameters!$C$13*Parameters!$C$10*Parameters!$C$11*Parameters!$C$14/(Parameters!$C$8*Parameters!$C$15)</f>
        <v>1.0909981084470335E-7</v>
      </c>
      <c r="H185" s="21">
        <f>F185/Parameters!$B$33</f>
        <v>3.0603809523809531E-4</v>
      </c>
      <c r="I185" s="21">
        <f>G185/Parameters!$B$33</f>
        <v>2.1819962168940669E-4</v>
      </c>
      <c r="J185" s="21">
        <f t="shared" si="4"/>
        <v>5.2423771692750205E-4</v>
      </c>
      <c r="K185" s="21">
        <f>F185*Parameters!$C$15/Parameters!$C$16</f>
        <v>1.5301904761904769E-7</v>
      </c>
      <c r="L185" s="21">
        <f>G185*Parameters!$C$15/Parameters!$C$16</f>
        <v>1.0909981084470335E-7</v>
      </c>
      <c r="M185" s="21">
        <f>K185*Parameters!$C$33</f>
        <v>6.8858571428571461E-7</v>
      </c>
      <c r="N185" s="21">
        <f>L185*Parameters!$C$33</f>
        <v>4.9094914880116507E-7</v>
      </c>
      <c r="O185" s="21">
        <f t="shared" si="5"/>
        <v>1.1795348630868796E-6</v>
      </c>
    </row>
    <row r="186" spans="1:15" ht="15" customHeight="1" x14ac:dyDescent="0.25">
      <c r="A186" s="10" t="s">
        <v>48</v>
      </c>
      <c r="B186" s="10" t="s">
        <v>169</v>
      </c>
      <c r="C186" s="10" t="s">
        <v>33</v>
      </c>
      <c r="D186" s="8">
        <f>Zone_Site_Means!$Q$10</f>
        <v>7.2276666666666669</v>
      </c>
      <c r="E186" s="21">
        <f>D186*Parameters!$B$4*Parameters!$B$5</f>
        <v>7.2276666666666669E-6</v>
      </c>
      <c r="F186" s="21">
        <f>E186*Parameters!$C$9*Parameters!$C$10*Parameters!$C$11/(Parameters!$C$8*Parameters!$C$15)</f>
        <v>2.0650476190476191E-7</v>
      </c>
      <c r="G186" s="21">
        <f>E186*Parameters!$C$12*Parameters!$F$34*Parameters!$C$13*Parameters!$C$10*Parameters!$C$11*Parameters!$C$14/(Parameters!$C$8*Parameters!$C$15)</f>
        <v>2.1837784388244629E-8</v>
      </c>
      <c r="H186" s="21">
        <f>F186/Parameters!$B$34</f>
        <v>1.5884981684981685E-2</v>
      </c>
      <c r="I186" s="21">
        <f>G186/Parameters!$B$34</f>
        <v>1.6798295683265101E-3</v>
      </c>
      <c r="J186" s="21">
        <f t="shared" si="4"/>
        <v>1.7564811253308197E-2</v>
      </c>
      <c r="K186" s="21">
        <f>F186*Parameters!$C$15/Parameters!$C$16</f>
        <v>2.0650476190476191E-7</v>
      </c>
      <c r="L186" s="21">
        <f>G186*Parameters!$C$15/Parameters!$C$16</f>
        <v>2.1837784388244629E-8</v>
      </c>
      <c r="M186" s="21">
        <f>K186*Parameters!$C$34</f>
        <v>1.8791933333333333E-6</v>
      </c>
      <c r="N186" s="21">
        <f>L186*Parameters!$C$34</f>
        <v>1.9872383793302613E-7</v>
      </c>
      <c r="O186" s="21">
        <f t="shared" si="5"/>
        <v>2.0779171712663594E-6</v>
      </c>
    </row>
    <row r="187" spans="1:15" ht="15" customHeight="1" x14ac:dyDescent="0.25">
      <c r="A187" s="10" t="s">
        <v>48</v>
      </c>
      <c r="B187" s="10" t="s">
        <v>170</v>
      </c>
      <c r="C187" s="10" t="s">
        <v>20</v>
      </c>
      <c r="D187" s="8">
        <f>Zone_Site_Means!$D$10</f>
        <v>5.7290000000000001</v>
      </c>
      <c r="E187" s="21">
        <f>D187*Parameters!$B$4*Parameters!$B$5</f>
        <v>5.7290000000000005E-6</v>
      </c>
      <c r="F187" s="21">
        <f>E187*Parameters!$D$9*Parameters!$D$10*Parameters!$D$11/(Parameters!$D$8*Parameters!$D$15)</f>
        <v>3.819333333333334E-7</v>
      </c>
      <c r="G187" s="21">
        <f>E187*Parameters!$D$12*Parameters!$F$21*Parameters!$D$13*Parameters!$D$10*Parameters!$D$11*Parameters!$D$14/(Parameters!$D$8*Parameters!$D$15)</f>
        <v>1.2525281601404734E-6</v>
      </c>
      <c r="H187" s="21">
        <f>F187/Parameters!$B$21</f>
        <v>7.6386666666666684E-4</v>
      </c>
      <c r="I187" s="21">
        <f>G187/Parameters!$B$21</f>
        <v>2.5050563202809466E-3</v>
      </c>
      <c r="J187" s="21">
        <f t="shared" si="4"/>
        <v>3.2689229869476135E-3</v>
      </c>
      <c r="K187" s="21">
        <f>F187*Parameters!$D$15/Parameters!$D$16</f>
        <v>3.2737142857142864E-8</v>
      </c>
      <c r="L187" s="21">
        <f>G187*Parameters!$D$15/Parameters!$D$16</f>
        <v>1.0735955658346914E-7</v>
      </c>
      <c r="M187" s="21">
        <f>K187*Parameters!$C$21</f>
        <v>1.1130628571428574E-8</v>
      </c>
      <c r="N187" s="21">
        <f>L187*Parameters!$C$21</f>
        <v>3.6502249238379511E-8</v>
      </c>
      <c r="O187" s="21">
        <f t="shared" si="5"/>
        <v>4.7632877809808084E-8</v>
      </c>
    </row>
    <row r="188" spans="1:15" ht="15" customHeight="1" x14ac:dyDescent="0.25">
      <c r="A188" s="10" t="s">
        <v>48</v>
      </c>
      <c r="B188" s="10" t="s">
        <v>170</v>
      </c>
      <c r="C188" s="10" t="s">
        <v>21</v>
      </c>
      <c r="D188" s="8">
        <f>Zone_Site_Means!$E$10</f>
        <v>6.8069999999999995</v>
      </c>
      <c r="E188" s="21">
        <f>D188*Parameters!$B$4*Parameters!$B$5</f>
        <v>6.8070000000000002E-6</v>
      </c>
      <c r="F188" s="21">
        <f>E188*Parameters!$D$9*Parameters!$D$10*Parameters!$D$11/(Parameters!$D$8*Parameters!$D$15)</f>
        <v>4.5380000000000005E-7</v>
      </c>
      <c r="G188" s="21">
        <f>E188*Parameters!$D$12*Parameters!$F$22*Parameters!$D$13*Parameters!$D$10*Parameters!$D$11*Parameters!$D$14/(Parameters!$D$8*Parameters!$D$15)</f>
        <v>1.7859299773499783E-6</v>
      </c>
      <c r="H188" s="21">
        <f>F188/Parameters!$B$22</f>
        <v>9.0760000000000005E-4</v>
      </c>
      <c r="I188" s="21">
        <f>G188/Parameters!$B$22</f>
        <v>3.5718599546999564E-3</v>
      </c>
      <c r="J188" s="21">
        <f t="shared" si="4"/>
        <v>4.4794599546999561E-3</v>
      </c>
      <c r="K188" s="21">
        <f>F188*Parameters!$D$15/Parameters!$D$16</f>
        <v>3.8897142857142861E-8</v>
      </c>
      <c r="L188" s="21">
        <f>G188*Parameters!$D$15/Parameters!$D$16</f>
        <v>1.5307971234428385E-7</v>
      </c>
      <c r="M188" s="21">
        <f>K188*Parameters!$C$22</f>
        <v>1.3225028571428573E-8</v>
      </c>
      <c r="N188" s="21">
        <f>L188*Parameters!$C$22</f>
        <v>5.2047102197056513E-8</v>
      </c>
      <c r="O188" s="21">
        <f t="shared" si="5"/>
        <v>6.5272130768485093E-8</v>
      </c>
    </row>
    <row r="189" spans="1:15" ht="15" customHeight="1" x14ac:dyDescent="0.25">
      <c r="A189" s="10" t="s">
        <v>48</v>
      </c>
      <c r="B189" s="10" t="s">
        <v>170</v>
      </c>
      <c r="C189" s="10" t="s">
        <v>22</v>
      </c>
      <c r="D189" s="8">
        <f>Zone_Site_Means!$F$10</f>
        <v>3.4243333333333332</v>
      </c>
      <c r="E189" s="21">
        <f>D189*Parameters!$B$4*Parameters!$B$5</f>
        <v>3.4243333333333334E-6</v>
      </c>
      <c r="F189" s="21">
        <f>E189*Parameters!$D$9*Parameters!$D$10*Parameters!$D$11/(Parameters!$D$8*Parameters!$D$15)</f>
        <v>2.282888888888889E-7</v>
      </c>
      <c r="G189" s="21">
        <f>E189*Parameters!$D$12*Parameters!$F$23*Parameters!$D$13*Parameters!$D$10*Parameters!$D$11*Parameters!$D$14/(Parameters!$D$8*Parameters!$D$15)</f>
        <v>2.8840627803323807E-7</v>
      </c>
      <c r="H189" s="21">
        <f>F189/Parameters!$B$23</f>
        <v>4.5657777777777779E-4</v>
      </c>
      <c r="I189" s="21">
        <f>G189/Parameters!$B$23</f>
        <v>5.7681255606647618E-4</v>
      </c>
      <c r="J189" s="21">
        <f t="shared" si="4"/>
        <v>1.033390333844254E-3</v>
      </c>
      <c r="K189" s="21">
        <f>F189*Parameters!$D$15/Parameters!$D$16</f>
        <v>1.9567619047619049E-8</v>
      </c>
      <c r="L189" s="21">
        <f>G189*Parameters!$D$15/Parameters!$D$16</f>
        <v>2.4720538117134692E-8</v>
      </c>
      <c r="M189" s="21">
        <f>K189*Parameters!$C$23</f>
        <v>6.6529904761904766E-9</v>
      </c>
      <c r="N189" s="21">
        <f>L189*Parameters!$C$23</f>
        <v>8.4049829598257958E-9</v>
      </c>
      <c r="O189" s="21">
        <f t="shared" si="5"/>
        <v>1.5057973436016274E-8</v>
      </c>
    </row>
    <row r="190" spans="1:15" ht="15" customHeight="1" x14ac:dyDescent="0.25">
      <c r="A190" s="10" t="s">
        <v>48</v>
      </c>
      <c r="B190" s="10" t="s">
        <v>170</v>
      </c>
      <c r="C190" s="10" t="s">
        <v>23</v>
      </c>
      <c r="D190" s="8">
        <f>Zone_Site_Means!$G$10</f>
        <v>4.2326666666666668</v>
      </c>
      <c r="E190" s="21">
        <f>D190*Parameters!$B$4*Parameters!$B$5</f>
        <v>4.2326666666666667E-6</v>
      </c>
      <c r="F190" s="21">
        <f>E190*Parameters!$D$9*Parameters!$D$10*Parameters!$D$11/(Parameters!$D$8*Parameters!$D$15)</f>
        <v>2.8217777777777777E-7</v>
      </c>
      <c r="G190" s="21">
        <f>E190*Parameters!$D$12*Parameters!$F$24*Parameters!$D$13*Parameters!$D$10*Parameters!$D$11*Parameters!$D$14/(Parameters!$D$8*Parameters!$D$15)</f>
        <v>4.4775737156866645E-7</v>
      </c>
      <c r="H190" s="21">
        <f>F190/Parameters!$B$24</f>
        <v>5.6435555555555555E-4</v>
      </c>
      <c r="I190" s="21">
        <f>G190/Parameters!$B$24</f>
        <v>8.9551474313733284E-4</v>
      </c>
      <c r="J190" s="21">
        <f t="shared" si="4"/>
        <v>1.4598702986928884E-3</v>
      </c>
      <c r="K190" s="21">
        <f>F190*Parameters!$D$15/Parameters!$D$16</f>
        <v>2.4186666666666664E-8</v>
      </c>
      <c r="L190" s="21">
        <f>G190*Parameters!$D$15/Parameters!$D$16</f>
        <v>3.837920327731427E-8</v>
      </c>
      <c r="M190" s="21">
        <f>K190*Parameters!$C$24</f>
        <v>8.2234666666666662E-9</v>
      </c>
      <c r="N190" s="21">
        <f>L190*Parameters!$C$24</f>
        <v>1.3048929114286852E-8</v>
      </c>
      <c r="O190" s="21">
        <f t="shared" si="5"/>
        <v>2.1272395780953518E-8</v>
      </c>
    </row>
    <row r="191" spans="1:15" ht="15" customHeight="1" x14ac:dyDescent="0.25">
      <c r="A191" s="10" t="s">
        <v>48</v>
      </c>
      <c r="B191" s="10" t="s">
        <v>170</v>
      </c>
      <c r="C191" s="10" t="s">
        <v>24</v>
      </c>
      <c r="D191" s="8">
        <f>Zone_Site_Means!$H$10</f>
        <v>7.4006666666666661</v>
      </c>
      <c r="E191" s="21">
        <f>D191*Parameters!$B$4*Parameters!$B$5</f>
        <v>7.4006666666666667E-6</v>
      </c>
      <c r="F191" s="21">
        <f>E191*Parameters!$D$9*Parameters!$D$10*Parameters!$D$11/(Parameters!$D$8*Parameters!$D$15)</f>
        <v>4.9337777777777781E-7</v>
      </c>
      <c r="G191" s="21">
        <f>E191*Parameters!$D$12*Parameters!$F$25*Parameters!$D$13*Parameters!$D$10*Parameters!$D$11*Parameters!$D$14/(Parameters!$D$8*Parameters!$D$15)</f>
        <v>7.7939123976759723E-7</v>
      </c>
      <c r="H191" s="21">
        <f>F191/Parameters!$B$25</f>
        <v>9.8675555555555552E-4</v>
      </c>
      <c r="I191" s="21">
        <f>G191/Parameters!$B$25</f>
        <v>1.5587824795351944E-3</v>
      </c>
      <c r="J191" s="21">
        <f t="shared" si="4"/>
        <v>2.5455380350907497E-3</v>
      </c>
      <c r="K191" s="21">
        <f>F191*Parameters!$D$15/Parameters!$D$16</f>
        <v>4.2289523809523807E-8</v>
      </c>
      <c r="L191" s="21">
        <f>G191*Parameters!$D$15/Parameters!$D$16</f>
        <v>6.6804963408651184E-8</v>
      </c>
      <c r="M191" s="21">
        <f>K191*Parameters!$C$25</f>
        <v>1.4378438095238095E-8</v>
      </c>
      <c r="N191" s="21">
        <f>L191*Parameters!$C$25</f>
        <v>2.2713687558941405E-8</v>
      </c>
      <c r="O191" s="21">
        <f t="shared" si="5"/>
        <v>3.7092125654179502E-8</v>
      </c>
    </row>
    <row r="192" spans="1:15" ht="15" customHeight="1" x14ac:dyDescent="0.25">
      <c r="A192" s="10" t="s">
        <v>48</v>
      </c>
      <c r="B192" s="10" t="s">
        <v>170</v>
      </c>
      <c r="C192" s="10" t="s">
        <v>25</v>
      </c>
      <c r="D192" s="8">
        <f>Zone_Site_Means!$I$10</f>
        <v>13.231999999999999</v>
      </c>
      <c r="E192" s="21">
        <f>D192*Parameters!$B$4*Parameters!$B$5</f>
        <v>1.3232E-5</v>
      </c>
      <c r="F192" s="21">
        <f>E192*Parameters!$D$9*Parameters!$D$10*Parameters!$D$11/(Parameters!$D$8*Parameters!$D$15)</f>
        <v>8.821333333333334E-7</v>
      </c>
      <c r="G192" s="21">
        <f>E192*Parameters!$D$12*Parameters!$F$26*Parameters!$D$13*Parameters!$D$10*Parameters!$D$11*Parameters!$D$14/(Parameters!$D$8*Parameters!$D$15)</f>
        <v>3.0248940572928404E-6</v>
      </c>
      <c r="H192" s="21">
        <f>F192/Parameters!$B$26</f>
        <v>1.7642666666666668E-3</v>
      </c>
      <c r="I192" s="21">
        <f>G192/Parameters!$B$26</f>
        <v>6.0497881145856807E-3</v>
      </c>
      <c r="J192" s="21">
        <f t="shared" si="4"/>
        <v>7.8140547812523484E-3</v>
      </c>
      <c r="K192" s="21">
        <f>F192*Parameters!$D$15/Parameters!$D$16</f>
        <v>7.5611428571428575E-8</v>
      </c>
      <c r="L192" s="21">
        <f>G192*Parameters!$D$15/Parameters!$D$16</f>
        <v>2.5927663348224348E-7</v>
      </c>
      <c r="M192" s="21">
        <f>K192*Parameters!$C$26</f>
        <v>2.5707885714285716E-8</v>
      </c>
      <c r="N192" s="21">
        <f>L192*Parameters!$C$26</f>
        <v>8.8154055383962785E-8</v>
      </c>
      <c r="O192" s="21">
        <f t="shared" si="5"/>
        <v>1.138619410982485E-7</v>
      </c>
    </row>
    <row r="193" spans="1:15" ht="15" customHeight="1" x14ac:dyDescent="0.25">
      <c r="A193" s="10" t="s">
        <v>48</v>
      </c>
      <c r="B193" s="10" t="s">
        <v>170</v>
      </c>
      <c r="C193" s="10" t="s">
        <v>26</v>
      </c>
      <c r="D193" s="8">
        <f>Zone_Site_Means!$J$10</f>
        <v>6.0990000000000002</v>
      </c>
      <c r="E193" s="21">
        <f>D193*Parameters!$B$4*Parameters!$B$5</f>
        <v>6.0990000000000004E-6</v>
      </c>
      <c r="F193" s="21">
        <f>E193*Parameters!$D$9*Parameters!$D$10*Parameters!$D$11/(Parameters!$D$8*Parameters!$D$15)</f>
        <v>4.066E-7</v>
      </c>
      <c r="G193" s="21">
        <f>E193*Parameters!$D$12*Parameters!$F$27*Parameters!$D$13*Parameters!$D$10*Parameters!$D$11*Parameters!$D$14/(Parameters!$D$8*Parameters!$D$15)</f>
        <v>3.2215383810095171E-8</v>
      </c>
      <c r="H193" s="21">
        <f>F193/Parameters!$B$27</f>
        <v>1.3553333333333334E-3</v>
      </c>
      <c r="I193" s="21">
        <f>G193/Parameters!$B$27</f>
        <v>1.0738461270031724E-4</v>
      </c>
      <c r="J193" s="21">
        <f t="shared" si="4"/>
        <v>1.4627179460336506E-3</v>
      </c>
      <c r="K193" s="21">
        <f>F193*Parameters!$D$15/Parameters!$D$16</f>
        <v>3.4851428571428573E-8</v>
      </c>
      <c r="L193" s="21">
        <f>G193*Parameters!$D$15/Parameters!$D$16</f>
        <v>2.7613186122938719E-9</v>
      </c>
      <c r="M193" s="21">
        <f>K193*Parameters!$C$27</f>
        <v>2.1956399999999999E-7</v>
      </c>
      <c r="N193" s="21">
        <f>L193*Parameters!$C$27</f>
        <v>1.7396307257451394E-8</v>
      </c>
      <c r="O193" s="21">
        <f t="shared" si="5"/>
        <v>2.3696030725745138E-7</v>
      </c>
    </row>
    <row r="194" spans="1:15" ht="15" customHeight="1" x14ac:dyDescent="0.25">
      <c r="A194" s="10" t="s">
        <v>48</v>
      </c>
      <c r="B194" s="10" t="s">
        <v>170</v>
      </c>
      <c r="C194" s="10" t="s">
        <v>27</v>
      </c>
      <c r="D194" s="8">
        <f>Zone_Site_Means!$K$10</f>
        <v>12.004333333333335</v>
      </c>
      <c r="E194" s="21">
        <f>D194*Parameters!$B$4*Parameters!$B$5</f>
        <v>1.2004333333333336E-5</v>
      </c>
      <c r="F194" s="21">
        <f>E194*Parameters!$D$9*Parameters!$D$10*Parameters!$D$11/(Parameters!$D$8*Parameters!$D$15)</f>
        <v>8.002888888888891E-7</v>
      </c>
      <c r="G194" s="21">
        <f>E194*Parameters!$D$12*Parameters!$F$28*Parameters!$D$13*Parameters!$D$10*Parameters!$D$11*Parameters!$D$14/(Parameters!$D$8*Parameters!$D$15)</f>
        <v>6.1509574505423451E-8</v>
      </c>
      <c r="H194" s="21">
        <f>F194/Parameters!$B$28</f>
        <v>2.6676296296296305E-3</v>
      </c>
      <c r="I194" s="21">
        <f>G194/Parameters!$B$28</f>
        <v>2.0503191501807818E-4</v>
      </c>
      <c r="J194" s="21">
        <f t="shared" si="4"/>
        <v>2.8726615446477088E-3</v>
      </c>
      <c r="K194" s="21">
        <f>F194*Parameters!$D$15/Parameters!$D$16</f>
        <v>6.859619047619049E-8</v>
      </c>
      <c r="L194" s="21">
        <f>G194*Parameters!$D$15/Parameters!$D$16</f>
        <v>5.2722492433220105E-9</v>
      </c>
      <c r="M194" s="21">
        <f>K194*Parameters!$C$28</f>
        <v>1.2347314285714289E-7</v>
      </c>
      <c r="N194" s="21">
        <f>L194*Parameters!$C$28</f>
        <v>9.4900486379796189E-9</v>
      </c>
      <c r="O194" s="21">
        <f t="shared" si="5"/>
        <v>1.329631914951225E-7</v>
      </c>
    </row>
    <row r="195" spans="1:15" ht="15" customHeight="1" x14ac:dyDescent="0.25">
      <c r="A195" s="10" t="s">
        <v>48</v>
      </c>
      <c r="B195" s="10" t="s">
        <v>170</v>
      </c>
      <c r="C195" s="10" t="s">
        <v>28</v>
      </c>
      <c r="D195" s="8">
        <f>Zone_Site_Means!$L$10</f>
        <v>2.7869999999999995</v>
      </c>
      <c r="E195" s="21">
        <f>D195*Parameters!$B$4*Parameters!$B$5</f>
        <v>2.7869999999999997E-6</v>
      </c>
      <c r="F195" s="21">
        <f>E195*Parameters!$D$9*Parameters!$D$10*Parameters!$D$11/(Parameters!$D$8*Parameters!$D$15)</f>
        <v>1.8579999999999998E-7</v>
      </c>
      <c r="G195" s="21">
        <f>E195*Parameters!$D$12*Parameters!$F$29*Parameters!$D$13*Parameters!$D$10*Parameters!$D$11*Parameters!$D$14/(Parameters!$D$8*Parameters!$D$15)</f>
        <v>1.3035918757787887E-8</v>
      </c>
      <c r="H195" s="21">
        <f>F195/Parameters!$B$29</f>
        <v>6.1933333333333328E-4</v>
      </c>
      <c r="I195" s="21">
        <f>G195/Parameters!$B$29</f>
        <v>4.3453062525959628E-5</v>
      </c>
      <c r="J195" s="21">
        <f t="shared" si="4"/>
        <v>6.6278639585929289E-4</v>
      </c>
      <c r="K195" s="21">
        <f>F195*Parameters!$D$15/Parameters!$D$16</f>
        <v>1.5925714285714283E-8</v>
      </c>
      <c r="L195" s="21">
        <f>G195*Parameters!$D$15/Parameters!$D$16</f>
        <v>1.1173644649532474E-9</v>
      </c>
      <c r="M195" s="21">
        <f>K195*Parameters!$C$29</f>
        <v>2.0703428571428567E-8</v>
      </c>
      <c r="N195" s="21">
        <f>L195*Parameters!$C$29</f>
        <v>1.4525738044392218E-9</v>
      </c>
      <c r="O195" s="21">
        <f t="shared" si="5"/>
        <v>2.2156002375867791E-8</v>
      </c>
    </row>
    <row r="196" spans="1:15" ht="15" customHeight="1" x14ac:dyDescent="0.25">
      <c r="A196" s="10" t="s">
        <v>48</v>
      </c>
      <c r="B196" s="10" t="s">
        <v>170</v>
      </c>
      <c r="C196" s="10" t="s">
        <v>29</v>
      </c>
      <c r="D196" s="8">
        <f>Zone_Site_Means!$M$10</f>
        <v>3.784333333333334</v>
      </c>
      <c r="E196" s="21">
        <f>D196*Parameters!$B$4*Parameters!$B$5</f>
        <v>3.7843333333333342E-6</v>
      </c>
      <c r="F196" s="21">
        <f>E196*Parameters!$D$9*Parameters!$D$10*Parameters!$D$11/(Parameters!$D$8*Parameters!$D$15)</f>
        <v>2.5228888888888896E-7</v>
      </c>
      <c r="G196" s="21">
        <f>E196*Parameters!$D$12*Parameters!$F$30*Parameters!$D$13*Parameters!$D$10*Parameters!$D$11*Parameters!$D$14/(Parameters!$D$8*Parameters!$D$15)</f>
        <v>3.3511514815465816E-8</v>
      </c>
      <c r="H196" s="21">
        <f>F196/Parameters!$B$30</f>
        <v>8.4096296296296328E-4</v>
      </c>
      <c r="I196" s="21">
        <f>G196/Parameters!$B$30</f>
        <v>1.1170504938488606E-4</v>
      </c>
      <c r="J196" s="21">
        <f t="shared" si="4"/>
        <v>9.5266801234784935E-4</v>
      </c>
      <c r="K196" s="21">
        <f>F196*Parameters!$D$15/Parameters!$D$16</f>
        <v>2.1624761904761909E-8</v>
      </c>
      <c r="L196" s="21">
        <f>G196*Parameters!$D$15/Parameters!$D$16</f>
        <v>2.8724155556113556E-9</v>
      </c>
      <c r="M196" s="21">
        <f>K196*Parameters!$C$30</f>
        <v>0</v>
      </c>
      <c r="N196" s="21">
        <f>L196*Parameters!$C$30</f>
        <v>0</v>
      </c>
      <c r="O196" s="21">
        <f t="shared" si="5"/>
        <v>0</v>
      </c>
    </row>
    <row r="197" spans="1:15" ht="15" customHeight="1" x14ac:dyDescent="0.25">
      <c r="A197" s="10" t="s">
        <v>48</v>
      </c>
      <c r="B197" s="10" t="s">
        <v>170</v>
      </c>
      <c r="C197" s="10" t="s">
        <v>30</v>
      </c>
      <c r="D197" s="8">
        <f>Zone_Site_Means!$N$10</f>
        <v>3.8403333333333336</v>
      </c>
      <c r="E197" s="21">
        <f>D197*Parameters!$B$4*Parameters!$B$5</f>
        <v>3.8403333333333337E-6</v>
      </c>
      <c r="F197" s="21">
        <f>E197*Parameters!$D$9*Parameters!$D$10*Parameters!$D$11/(Parameters!$D$8*Parameters!$D$15)</f>
        <v>2.5602222222222222E-7</v>
      </c>
      <c r="G197" s="21">
        <f>E197*Parameters!$D$12*Parameters!$F$31*Parameters!$D$13*Parameters!$D$10*Parameters!$D$11*Parameters!$D$14/(Parameters!$D$8*Parameters!$D$15)</f>
        <v>4.7241708812486998E-7</v>
      </c>
      <c r="H197" s="21">
        <f>F197/Parameters!$B$31</f>
        <v>8.5340740740740741E-3</v>
      </c>
      <c r="I197" s="21">
        <f>G197/Parameters!$B$31</f>
        <v>1.5747236270828999E-2</v>
      </c>
      <c r="J197" s="21">
        <f t="shared" ref="J197:J260" si="6">H197+I197</f>
        <v>2.4281310344903072E-2</v>
      </c>
      <c r="K197" s="21">
        <f>F197*Parameters!$D$15/Parameters!$D$16</f>
        <v>2.1944761904761904E-8</v>
      </c>
      <c r="L197" s="21">
        <f>G197*Parameters!$D$15/Parameters!$D$16</f>
        <v>4.0492893267845999E-8</v>
      </c>
      <c r="M197" s="21">
        <f>K197*Parameters!$C$31</f>
        <v>3.7306095238095237E-7</v>
      </c>
      <c r="N197" s="21">
        <f>L197*Parameters!$C$31</f>
        <v>6.8837918555338201E-7</v>
      </c>
      <c r="O197" s="21">
        <f t="shared" ref="O197:O260" si="7">M197+N197</f>
        <v>1.0614401379343344E-6</v>
      </c>
    </row>
    <row r="198" spans="1:15" ht="15" customHeight="1" x14ac:dyDescent="0.25">
      <c r="A198" s="10" t="s">
        <v>48</v>
      </c>
      <c r="B198" s="10" t="s">
        <v>170</v>
      </c>
      <c r="C198" s="10" t="s">
        <v>31</v>
      </c>
      <c r="D198" s="8">
        <f>Zone_Site_Means!$O$10</f>
        <v>6.8616666666666672</v>
      </c>
      <c r="E198" s="21">
        <f>D198*Parameters!$B$4*Parameters!$B$5</f>
        <v>6.8616666666666682E-6</v>
      </c>
      <c r="F198" s="21">
        <f>E198*Parameters!$D$9*Parameters!$D$10*Parameters!$D$11/(Parameters!$D$8*Parameters!$D$15)</f>
        <v>4.5744444444444457E-7</v>
      </c>
      <c r="G198" s="21">
        <f>E198*Parameters!$D$12*Parameters!$F$32*Parameters!$D$13*Parameters!$D$10*Parameters!$D$11*Parameters!$D$14/(Parameters!$D$8*Parameters!$D$15)</f>
        <v>1.2905840489028322E-7</v>
      </c>
      <c r="H198" s="21">
        <f>F198/Parameters!$B$32</f>
        <v>9.1488888888888904E-3</v>
      </c>
      <c r="I198" s="21">
        <f>G198/Parameters!$B$32</f>
        <v>2.5811680978056642E-3</v>
      </c>
      <c r="J198" s="21">
        <f t="shared" si="6"/>
        <v>1.1730056986694555E-2</v>
      </c>
      <c r="K198" s="21">
        <f>F198*Parameters!$D$15/Parameters!$D$16</f>
        <v>3.9209523809523822E-8</v>
      </c>
      <c r="L198" s="21">
        <f>G198*Parameters!$D$15/Parameters!$D$16</f>
        <v>1.1062148990595704E-8</v>
      </c>
      <c r="M198" s="21">
        <f>K198*Parameters!$C$32</f>
        <v>6.2735238095238116E-7</v>
      </c>
      <c r="N198" s="21">
        <f>L198*Parameters!$C$32</f>
        <v>1.7699438384953126E-7</v>
      </c>
      <c r="O198" s="21">
        <f t="shared" si="7"/>
        <v>8.0434676480191244E-7</v>
      </c>
    </row>
    <row r="199" spans="1:15" ht="15" customHeight="1" x14ac:dyDescent="0.25">
      <c r="A199" s="10" t="s">
        <v>48</v>
      </c>
      <c r="B199" s="10" t="s">
        <v>170</v>
      </c>
      <c r="C199" s="10" t="s">
        <v>32</v>
      </c>
      <c r="D199" s="8">
        <f>Zone_Site_Means!$P$10</f>
        <v>5.355666666666667</v>
      </c>
      <c r="E199" s="21">
        <f>D199*Parameters!$B$4*Parameters!$B$5</f>
        <v>5.3556666666666677E-6</v>
      </c>
      <c r="F199" s="21">
        <f>E199*Parameters!$D$9*Parameters!$D$10*Parameters!$D$11/(Parameters!$D$8*Parameters!$D$15)</f>
        <v>3.5704444444444449E-7</v>
      </c>
      <c r="G199" s="21">
        <f>E199*Parameters!$D$12*Parameters!$F$33*Parameters!$D$13*Parameters!$D$10*Parameters!$D$11*Parameters!$D$14/(Parameters!$D$8*Parameters!$D$15)</f>
        <v>3.2186534233877999E-7</v>
      </c>
      <c r="H199" s="21">
        <f>F199/Parameters!$B$33</f>
        <v>7.1408888888888891E-4</v>
      </c>
      <c r="I199" s="21">
        <f>G199/Parameters!$B$33</f>
        <v>6.4373068467756E-4</v>
      </c>
      <c r="J199" s="21">
        <f t="shared" si="6"/>
        <v>1.3578195735664488E-3</v>
      </c>
      <c r="K199" s="21">
        <f>F199*Parameters!$D$15/Parameters!$D$16</f>
        <v>3.0603809523809531E-8</v>
      </c>
      <c r="L199" s="21">
        <f>G199*Parameters!$D$15/Parameters!$D$16</f>
        <v>2.7588457914752568E-8</v>
      </c>
      <c r="M199" s="21">
        <f>K199*Parameters!$C$33</f>
        <v>1.3771714285714289E-7</v>
      </c>
      <c r="N199" s="21">
        <f>L199*Parameters!$C$33</f>
        <v>1.2414806061638655E-7</v>
      </c>
      <c r="O199" s="21">
        <f t="shared" si="7"/>
        <v>2.6186520347352945E-7</v>
      </c>
    </row>
    <row r="200" spans="1:15" ht="15" customHeight="1" x14ac:dyDescent="0.25">
      <c r="A200" s="10" t="s">
        <v>48</v>
      </c>
      <c r="B200" s="10" t="s">
        <v>170</v>
      </c>
      <c r="C200" s="10" t="s">
        <v>33</v>
      </c>
      <c r="D200" s="8">
        <f>Zone_Site_Means!$Q$10</f>
        <v>7.2276666666666669</v>
      </c>
      <c r="E200" s="21">
        <f>D200*Parameters!$B$4*Parameters!$B$5</f>
        <v>7.2276666666666669E-6</v>
      </c>
      <c r="F200" s="21">
        <f>E200*Parameters!$D$9*Parameters!$D$10*Parameters!$D$11/(Parameters!$D$8*Parameters!$D$15)</f>
        <v>4.8184444444444449E-7</v>
      </c>
      <c r="G200" s="21">
        <f>E200*Parameters!$D$12*Parameters!$F$34*Parameters!$D$13*Parameters!$D$10*Parameters!$D$11*Parameters!$D$14/(Parameters!$D$8*Parameters!$D$15)</f>
        <v>6.4425647428920942E-8</v>
      </c>
      <c r="H200" s="21">
        <f>F200/Parameters!$B$34</f>
        <v>3.7064957264957274E-2</v>
      </c>
      <c r="I200" s="21">
        <f>G200/Parameters!$B$34</f>
        <v>4.9558190329939186E-3</v>
      </c>
      <c r="J200" s="21">
        <f t="shared" si="6"/>
        <v>4.2020776297951194E-2</v>
      </c>
      <c r="K200" s="21">
        <f>F200*Parameters!$D$15/Parameters!$D$16</f>
        <v>4.1300952380952385E-8</v>
      </c>
      <c r="L200" s="21">
        <f>G200*Parameters!$D$15/Parameters!$D$16</f>
        <v>5.5221983510503665E-9</v>
      </c>
      <c r="M200" s="21">
        <f>K200*Parameters!$C$34</f>
        <v>3.7583866666666669E-7</v>
      </c>
      <c r="N200" s="21">
        <f>L200*Parameters!$C$34</f>
        <v>5.0252004994558333E-8</v>
      </c>
      <c r="O200" s="21">
        <f t="shared" si="7"/>
        <v>4.2609067166122502E-7</v>
      </c>
    </row>
    <row r="201" spans="1:15" ht="15" customHeight="1" x14ac:dyDescent="0.25">
      <c r="A201" s="10" t="s">
        <v>53</v>
      </c>
      <c r="B201" s="10" t="s">
        <v>169</v>
      </c>
      <c r="C201" s="10" t="s">
        <v>20</v>
      </c>
      <c r="D201" s="8">
        <f>Zone_Site_Means!$D$11</f>
        <v>3.1116666666666664</v>
      </c>
      <c r="E201" s="21">
        <f>D201*Parameters!$B$4*Parameters!$B$5</f>
        <v>3.1116666666666664E-6</v>
      </c>
      <c r="F201" s="21">
        <f>E201*Parameters!$C$9*Parameters!$C$10*Parameters!$C$11/(Parameters!$C$8*Parameters!$C$15)</f>
        <v>8.8904761904761903E-8</v>
      </c>
      <c r="G201" s="21">
        <f>E201*Parameters!$C$12*Parameters!$F$21*Parameters!$C$13*Parameters!$C$10*Parameters!$C$11*Parameters!$C$14/(Parameters!$C$8*Parameters!$C$15)</f>
        <v>2.3059587077305133E-7</v>
      </c>
      <c r="H201" s="21">
        <f>F201/Parameters!$B$21</f>
        <v>1.778095238095238E-4</v>
      </c>
      <c r="I201" s="21">
        <f>G201/Parameters!$B$21</f>
        <v>4.6119174154610264E-4</v>
      </c>
      <c r="J201" s="21">
        <f t="shared" si="6"/>
        <v>6.390012653556264E-4</v>
      </c>
      <c r="K201" s="21">
        <f>F201*Parameters!$C$15/Parameters!$C$16</f>
        <v>8.8904761904761903E-8</v>
      </c>
      <c r="L201" s="21">
        <f>G201*Parameters!$C$15/Parameters!$C$16</f>
        <v>2.3059587077305136E-7</v>
      </c>
      <c r="M201" s="21">
        <f>K201*Parameters!$C$21</f>
        <v>3.0227619047619046E-8</v>
      </c>
      <c r="N201" s="21">
        <f>L201*Parameters!$C$21</f>
        <v>7.8402596062837464E-8</v>
      </c>
      <c r="O201" s="21">
        <f t="shared" si="7"/>
        <v>1.0863021511045651E-7</v>
      </c>
    </row>
    <row r="202" spans="1:15" ht="15" customHeight="1" x14ac:dyDescent="0.25">
      <c r="A202" s="10" t="s">
        <v>53</v>
      </c>
      <c r="B202" s="10" t="s">
        <v>169</v>
      </c>
      <c r="C202" s="10" t="s">
        <v>21</v>
      </c>
      <c r="D202" s="8">
        <f>Zone_Site_Means!$E$11</f>
        <v>3.66</v>
      </c>
      <c r="E202" s="21">
        <f>D202*Parameters!$B$4*Parameters!$B$5</f>
        <v>3.6600000000000001E-6</v>
      </c>
      <c r="F202" s="21">
        <f>E202*Parameters!$C$9*Parameters!$C$10*Parameters!$C$11/(Parameters!$C$8*Parameters!$C$15)</f>
        <v>1.0457142857142859E-7</v>
      </c>
      <c r="G202" s="21">
        <f>E202*Parameters!$C$12*Parameters!$F$22*Parameters!$C$13*Parameters!$C$10*Parameters!$C$11*Parameters!$C$14/(Parameters!$C$8*Parameters!$C$15)</f>
        <v>3.254914192920848E-7</v>
      </c>
      <c r="H202" s="21">
        <f>F202/Parameters!$B$22</f>
        <v>2.0914285714285718E-4</v>
      </c>
      <c r="I202" s="21">
        <f>G202/Parameters!$B$22</f>
        <v>6.5098283858416959E-4</v>
      </c>
      <c r="J202" s="21">
        <f t="shared" si="6"/>
        <v>8.6012569572702677E-4</v>
      </c>
      <c r="K202" s="21">
        <f>F202*Parameters!$C$15/Parameters!$C$16</f>
        <v>1.0457142857142859E-7</v>
      </c>
      <c r="L202" s="21">
        <f>G202*Parameters!$C$15/Parameters!$C$16</f>
        <v>3.254914192920848E-7</v>
      </c>
      <c r="M202" s="21">
        <f>K202*Parameters!$C$22</f>
        <v>3.5554285714285722E-8</v>
      </c>
      <c r="N202" s="21">
        <f>L202*Parameters!$C$22</f>
        <v>1.1066708255930884E-7</v>
      </c>
      <c r="O202" s="21">
        <f t="shared" si="7"/>
        <v>1.4622136827359456E-7</v>
      </c>
    </row>
    <row r="203" spans="1:15" ht="15" customHeight="1" x14ac:dyDescent="0.25">
      <c r="A203" s="10" t="s">
        <v>53</v>
      </c>
      <c r="B203" s="10" t="s">
        <v>169</v>
      </c>
      <c r="C203" s="10" t="s">
        <v>22</v>
      </c>
      <c r="D203" s="8">
        <f>Zone_Site_Means!$F$11</f>
        <v>0.5</v>
      </c>
      <c r="E203" s="21">
        <f>D203*Parameters!$B$4*Parameters!$B$5</f>
        <v>4.9999999999999998E-7</v>
      </c>
      <c r="F203" s="21">
        <f>E203*Parameters!$C$9*Parameters!$C$10*Parameters!$C$11/(Parameters!$C$8*Parameters!$C$15)</f>
        <v>1.4285714285714286E-8</v>
      </c>
      <c r="G203" s="21">
        <f>E203*Parameters!$C$12*Parameters!$F$23*Parameters!$C$13*Parameters!$C$10*Parameters!$C$11*Parameters!$C$14/(Parameters!$C$8*Parameters!$C$15)</f>
        <v>1.4274091060795183E-8</v>
      </c>
      <c r="H203" s="21">
        <f>F203/Parameters!$B$23</f>
        <v>2.8571428571428571E-5</v>
      </c>
      <c r="I203" s="21">
        <f>G203/Parameters!$B$23</f>
        <v>2.8548182121590366E-5</v>
      </c>
      <c r="J203" s="21">
        <f t="shared" si="6"/>
        <v>5.7119610693018934E-5</v>
      </c>
      <c r="K203" s="21">
        <f>F203*Parameters!$C$15/Parameters!$C$16</f>
        <v>1.4285714285714284E-8</v>
      </c>
      <c r="L203" s="21">
        <f>G203*Parameters!$C$15/Parameters!$C$16</f>
        <v>1.4274091060795183E-8</v>
      </c>
      <c r="M203" s="21">
        <f>K203*Parameters!$C$23</f>
        <v>4.8571428571428569E-9</v>
      </c>
      <c r="N203" s="21">
        <f>L203*Parameters!$C$23</f>
        <v>4.8531909606703629E-9</v>
      </c>
      <c r="O203" s="21">
        <f t="shared" si="7"/>
        <v>9.7103338178132198E-9</v>
      </c>
    </row>
    <row r="204" spans="1:15" ht="15" customHeight="1" x14ac:dyDescent="0.25">
      <c r="A204" s="10" t="s">
        <v>53</v>
      </c>
      <c r="B204" s="10" t="s">
        <v>169</v>
      </c>
      <c r="C204" s="10" t="s">
        <v>23</v>
      </c>
      <c r="D204" s="8">
        <f>Zone_Site_Means!$G$11</f>
        <v>4.3803333333333336</v>
      </c>
      <c r="E204" s="21">
        <f>D204*Parameters!$B$4*Parameters!$B$5</f>
        <v>4.3803333333333336E-6</v>
      </c>
      <c r="F204" s="21">
        <f>E204*Parameters!$C$9*Parameters!$C$10*Parameters!$C$11/(Parameters!$C$8*Parameters!$C$15)</f>
        <v>1.2515238095238096E-7</v>
      </c>
      <c r="G204" s="21">
        <f>E204*Parameters!$C$12*Parameters!$F$24*Parameters!$C$13*Parameters!$C$10*Parameters!$C$11*Parameters!$C$14/(Parameters!$C$8*Parameters!$C$15)</f>
        <v>1.5706724249074745E-7</v>
      </c>
      <c r="H204" s="21">
        <f>F204/Parameters!$B$24</f>
        <v>2.503047619047619E-4</v>
      </c>
      <c r="I204" s="21">
        <f>G204/Parameters!$B$24</f>
        <v>3.1413448498149489E-4</v>
      </c>
      <c r="J204" s="21">
        <f t="shared" si="6"/>
        <v>5.6443924688625679E-4</v>
      </c>
      <c r="K204" s="21">
        <f>F204*Parameters!$C$15/Parameters!$C$16</f>
        <v>1.2515238095238096E-7</v>
      </c>
      <c r="L204" s="21">
        <f>G204*Parameters!$C$15/Parameters!$C$16</f>
        <v>1.5706724249074745E-7</v>
      </c>
      <c r="M204" s="21">
        <f>K204*Parameters!$C$24</f>
        <v>4.2551809523809527E-8</v>
      </c>
      <c r="N204" s="21">
        <f>L204*Parameters!$C$24</f>
        <v>5.3402862446854138E-8</v>
      </c>
      <c r="O204" s="21">
        <f t="shared" si="7"/>
        <v>9.5954671970663665E-8</v>
      </c>
    </row>
    <row r="205" spans="1:15" ht="15" customHeight="1" x14ac:dyDescent="0.25">
      <c r="A205" s="10" t="s">
        <v>53</v>
      </c>
      <c r="B205" s="10" t="s">
        <v>169</v>
      </c>
      <c r="C205" s="10" t="s">
        <v>24</v>
      </c>
      <c r="D205" s="8">
        <f>Zone_Site_Means!$H$11</f>
        <v>5.2546666666666662</v>
      </c>
      <c r="E205" s="21">
        <f>D205*Parameters!$B$4*Parameters!$B$5</f>
        <v>5.2546666666666664E-6</v>
      </c>
      <c r="F205" s="21">
        <f>E205*Parameters!$C$9*Parameters!$C$10*Parameters!$C$11/(Parameters!$C$8*Parameters!$C$15)</f>
        <v>1.5013333333333333E-7</v>
      </c>
      <c r="G205" s="21">
        <f>E205*Parameters!$C$12*Parameters!$F$25*Parameters!$C$13*Parameters!$C$10*Parameters!$C$11*Parameters!$C$14/(Parameters!$C$8*Parameters!$C$15)</f>
        <v>1.8757701917954976E-7</v>
      </c>
      <c r="H205" s="21">
        <f>F205/Parameters!$B$25</f>
        <v>3.0026666666666663E-4</v>
      </c>
      <c r="I205" s="21">
        <f>G205/Parameters!$B$25</f>
        <v>3.7515403835909953E-4</v>
      </c>
      <c r="J205" s="21">
        <f t="shared" si="6"/>
        <v>6.7542070502576621E-4</v>
      </c>
      <c r="K205" s="21">
        <f>F205*Parameters!$C$15/Parameters!$C$16</f>
        <v>1.5013333333333333E-7</v>
      </c>
      <c r="L205" s="21">
        <f>G205*Parameters!$C$15/Parameters!$C$16</f>
        <v>1.8757701917954976E-7</v>
      </c>
      <c r="M205" s="21">
        <f>K205*Parameters!$C$25</f>
        <v>5.1045333333333334E-8</v>
      </c>
      <c r="N205" s="21">
        <f>L205*Parameters!$C$25</f>
        <v>6.3776186521046919E-8</v>
      </c>
      <c r="O205" s="21">
        <f t="shared" si="7"/>
        <v>1.1482151985438025E-7</v>
      </c>
    </row>
    <row r="206" spans="1:15" ht="15" customHeight="1" x14ac:dyDescent="0.25">
      <c r="A206" s="10" t="s">
        <v>53</v>
      </c>
      <c r="B206" s="10" t="s">
        <v>169</v>
      </c>
      <c r="C206" s="10" t="s">
        <v>25</v>
      </c>
      <c r="D206" s="8">
        <f>Zone_Site_Means!$I$11</f>
        <v>9.2416666666666671</v>
      </c>
      <c r="E206" s="21">
        <f>D206*Parameters!$B$4*Parameters!$B$5</f>
        <v>9.2416666666666666E-6</v>
      </c>
      <c r="F206" s="21">
        <f>E206*Parameters!$C$9*Parameters!$C$10*Parameters!$C$11/(Parameters!$C$8*Parameters!$C$15)</f>
        <v>2.6404761904761901E-7</v>
      </c>
      <c r="G206" s="21">
        <f>E206*Parameters!$C$12*Parameters!$F$26*Parameters!$C$13*Parameters!$C$10*Parameters!$C$11*Parameters!$C$14/(Parameters!$C$8*Parameters!$C$15)</f>
        <v>7.1611827812589571E-7</v>
      </c>
      <c r="H206" s="21">
        <f>F206/Parameters!$B$26</f>
        <v>5.2809523809523799E-4</v>
      </c>
      <c r="I206" s="21">
        <f>G206/Parameters!$B$26</f>
        <v>1.4322365562517913E-3</v>
      </c>
      <c r="J206" s="21">
        <f t="shared" si="6"/>
        <v>1.9603317943470292E-3</v>
      </c>
      <c r="K206" s="21">
        <f>F206*Parameters!$C$15/Parameters!$C$16</f>
        <v>2.6404761904761901E-7</v>
      </c>
      <c r="L206" s="21">
        <f>G206*Parameters!$C$15/Parameters!$C$16</f>
        <v>7.1611827812589571E-7</v>
      </c>
      <c r="M206" s="21">
        <f>K206*Parameters!$C$26</f>
        <v>8.9776190476190472E-8</v>
      </c>
      <c r="N206" s="21">
        <f>L206*Parameters!$C$26</f>
        <v>2.4348021456280457E-7</v>
      </c>
      <c r="O206" s="21">
        <f t="shared" si="7"/>
        <v>3.3325640503899506E-7</v>
      </c>
    </row>
    <row r="207" spans="1:15" ht="15" customHeight="1" x14ac:dyDescent="0.25">
      <c r="A207" s="10" t="s">
        <v>53</v>
      </c>
      <c r="B207" s="10" t="s">
        <v>169</v>
      </c>
      <c r="C207" s="10" t="s">
        <v>26</v>
      </c>
      <c r="D207" s="8">
        <f>Zone_Site_Means!$J$11</f>
        <v>2.5743333333333331</v>
      </c>
      <c r="E207" s="21">
        <f>D207*Parameters!$B$4*Parameters!$B$5</f>
        <v>2.5743333333333331E-6</v>
      </c>
      <c r="F207" s="21">
        <f>E207*Parameters!$C$9*Parameters!$C$10*Parameters!$C$11/(Parameters!$C$8*Parameters!$C$15)</f>
        <v>7.3552380952380947E-8</v>
      </c>
      <c r="G207" s="21">
        <f>E207*Parameters!$C$12*Parameters!$F$27*Parameters!$C$13*Parameters!$C$10*Parameters!$C$11*Parameters!$C$14/(Parameters!$C$8*Parameters!$C$15)</f>
        <v>4.6091329848382115E-9</v>
      </c>
      <c r="H207" s="21">
        <f>F207/Parameters!$B$27</f>
        <v>2.4517460317460317E-4</v>
      </c>
      <c r="I207" s="21">
        <f>G207/Parameters!$B$27</f>
        <v>1.5363776616127373E-5</v>
      </c>
      <c r="J207" s="21">
        <f t="shared" si="6"/>
        <v>2.6053837979073054E-4</v>
      </c>
      <c r="K207" s="21">
        <f>F207*Parameters!$C$15/Parameters!$C$16</f>
        <v>7.3552380952380947E-8</v>
      </c>
      <c r="L207" s="21">
        <f>G207*Parameters!$C$15/Parameters!$C$16</f>
        <v>4.6091329848382115E-9</v>
      </c>
      <c r="M207" s="21">
        <f>K207*Parameters!$C$27</f>
        <v>4.6337999999999996E-7</v>
      </c>
      <c r="N207" s="21">
        <f>L207*Parameters!$C$27</f>
        <v>2.9037537804480731E-8</v>
      </c>
      <c r="O207" s="21">
        <f t="shared" si="7"/>
        <v>4.9241753780448068E-7</v>
      </c>
    </row>
    <row r="208" spans="1:15" ht="15" customHeight="1" x14ac:dyDescent="0.25">
      <c r="A208" s="10" t="s">
        <v>53</v>
      </c>
      <c r="B208" s="10" t="s">
        <v>169</v>
      </c>
      <c r="C208" s="10" t="s">
        <v>27</v>
      </c>
      <c r="D208" s="8">
        <f>Zone_Site_Means!$K$11</f>
        <v>5.001666666666666</v>
      </c>
      <c r="E208" s="21">
        <f>D208*Parameters!$B$4*Parameters!$B$5</f>
        <v>5.0016666666666665E-6</v>
      </c>
      <c r="F208" s="21">
        <f>E208*Parameters!$C$9*Parameters!$C$10*Parameters!$C$11/(Parameters!$C$8*Parameters!$C$15)</f>
        <v>1.429047619047619E-7</v>
      </c>
      <c r="G208" s="21">
        <f>E208*Parameters!$C$12*Parameters!$F$28*Parameters!$C$13*Parameters!$C$10*Parameters!$C$11*Parameters!$C$14/(Parameters!$C$8*Parameters!$C$15)</f>
        <v>8.6869876420333876E-9</v>
      </c>
      <c r="H208" s="21">
        <f>F208/Parameters!$B$28</f>
        <v>4.7634920634920637E-4</v>
      </c>
      <c r="I208" s="21">
        <f>G208/Parameters!$B$28</f>
        <v>2.8956625473444629E-5</v>
      </c>
      <c r="J208" s="21">
        <f t="shared" si="6"/>
        <v>5.0530583182265096E-4</v>
      </c>
      <c r="K208" s="21">
        <f>F208*Parameters!$C$15/Parameters!$C$16</f>
        <v>1.429047619047619E-7</v>
      </c>
      <c r="L208" s="21">
        <f>G208*Parameters!$C$15/Parameters!$C$16</f>
        <v>8.6869876420333876E-9</v>
      </c>
      <c r="M208" s="21">
        <f>K208*Parameters!$C$28</f>
        <v>2.5722857142857145E-7</v>
      </c>
      <c r="N208" s="21">
        <f>L208*Parameters!$C$28</f>
        <v>1.5636577755660099E-8</v>
      </c>
      <c r="O208" s="21">
        <f t="shared" si="7"/>
        <v>2.7286514918423153E-7</v>
      </c>
    </row>
    <row r="209" spans="1:15" ht="15" customHeight="1" x14ac:dyDescent="0.25">
      <c r="A209" s="10" t="s">
        <v>53</v>
      </c>
      <c r="B209" s="10" t="s">
        <v>169</v>
      </c>
      <c r="C209" s="10" t="s">
        <v>28</v>
      </c>
      <c r="D209" s="8">
        <f>Zone_Site_Means!$L$11</f>
        <v>0.5</v>
      </c>
      <c r="E209" s="21">
        <f>D209*Parameters!$B$4*Parameters!$B$5</f>
        <v>4.9999999999999998E-7</v>
      </c>
      <c r="F209" s="21">
        <f>E209*Parameters!$C$9*Parameters!$C$10*Parameters!$C$11/(Parameters!$C$8*Parameters!$C$15)</f>
        <v>1.4285714285714286E-8</v>
      </c>
      <c r="G209" s="21">
        <f>E209*Parameters!$C$12*Parameters!$F$29*Parameters!$C$13*Parameters!$C$10*Parameters!$C$11*Parameters!$C$14/(Parameters!$C$8*Parameters!$C$15)</f>
        <v>7.9272848330668775E-10</v>
      </c>
      <c r="H209" s="21">
        <f>F209/Parameters!$B$29</f>
        <v>4.7619047619047627E-5</v>
      </c>
      <c r="I209" s="21">
        <f>G209/Parameters!$B$29</f>
        <v>2.6424282776889595E-6</v>
      </c>
      <c r="J209" s="21">
        <f t="shared" si="6"/>
        <v>5.0261475896736588E-5</v>
      </c>
      <c r="K209" s="21">
        <f>F209*Parameters!$C$15/Parameters!$C$16</f>
        <v>1.4285714285714284E-8</v>
      </c>
      <c r="L209" s="21">
        <f>G209*Parameters!$C$15/Parameters!$C$16</f>
        <v>7.9272848330668775E-10</v>
      </c>
      <c r="M209" s="21">
        <f>K209*Parameters!$C$29</f>
        <v>1.8571428571428572E-8</v>
      </c>
      <c r="N209" s="21">
        <f>L209*Parameters!$C$29</f>
        <v>1.0305470282986941E-9</v>
      </c>
      <c r="O209" s="21">
        <f t="shared" si="7"/>
        <v>1.9601975599727267E-8</v>
      </c>
    </row>
    <row r="210" spans="1:15" ht="15" customHeight="1" x14ac:dyDescent="0.25">
      <c r="A210" s="10" t="s">
        <v>53</v>
      </c>
      <c r="B210" s="10" t="s">
        <v>169</v>
      </c>
      <c r="C210" s="10" t="s">
        <v>29</v>
      </c>
      <c r="D210" s="8">
        <f>Zone_Site_Means!$M$11</f>
        <v>0.5</v>
      </c>
      <c r="E210" s="21">
        <f>D210*Parameters!$B$4*Parameters!$B$5</f>
        <v>4.9999999999999998E-7</v>
      </c>
      <c r="F210" s="21">
        <f>E210*Parameters!$C$9*Parameters!$C$10*Parameters!$C$11/(Parameters!$C$8*Parameters!$C$15)</f>
        <v>1.4285714285714286E-8</v>
      </c>
      <c r="G210" s="21">
        <f>E210*Parameters!$C$12*Parameters!$F$30*Parameters!$C$13*Parameters!$C$10*Parameters!$C$11*Parameters!$C$14/(Parameters!$C$8*Parameters!$C$15)</f>
        <v>1.5008056741401222E-9</v>
      </c>
      <c r="H210" s="21">
        <f>F210/Parameters!$B$30</f>
        <v>4.7619047619047627E-5</v>
      </c>
      <c r="I210" s="21">
        <f>G210/Parameters!$B$30</f>
        <v>5.0026855804670745E-6</v>
      </c>
      <c r="J210" s="21">
        <f t="shared" si="6"/>
        <v>5.2621733199514702E-5</v>
      </c>
      <c r="K210" s="21">
        <f>F210*Parameters!$C$15/Parameters!$C$16</f>
        <v>1.4285714285714284E-8</v>
      </c>
      <c r="L210" s="21">
        <f>G210*Parameters!$C$15/Parameters!$C$16</f>
        <v>1.5008056741401222E-9</v>
      </c>
      <c r="M210" s="21">
        <f>K210*Parameters!$C$30</f>
        <v>0</v>
      </c>
      <c r="N210" s="21">
        <f>L210*Parameters!$C$30</f>
        <v>0</v>
      </c>
      <c r="O210" s="21">
        <f t="shared" si="7"/>
        <v>0</v>
      </c>
    </row>
    <row r="211" spans="1:15" ht="15" customHeight="1" x14ac:dyDescent="0.25">
      <c r="A211" s="10" t="s">
        <v>53</v>
      </c>
      <c r="B211" s="10" t="s">
        <v>169</v>
      </c>
      <c r="C211" s="10" t="s">
        <v>30</v>
      </c>
      <c r="D211" s="8">
        <f>Zone_Site_Means!$N$11</f>
        <v>1.3769733570159859</v>
      </c>
      <c r="E211" s="21">
        <f>D211*Parameters!$B$4*Parameters!$B$5</f>
        <v>1.376973357015986E-6</v>
      </c>
      <c r="F211" s="21">
        <f>E211*Parameters!$C$9*Parameters!$C$10*Parameters!$C$11/(Parameters!$C$8*Parameters!$C$15)</f>
        <v>3.9342095914742455E-8</v>
      </c>
      <c r="G211" s="21">
        <f>E211*Parameters!$C$12*Parameters!$F$31*Parameters!$C$13*Parameters!$C$10*Parameters!$C$11*Parameters!$C$14/(Parameters!$C$8*Parameters!$C$15)</f>
        <v>5.7415876074285097E-8</v>
      </c>
      <c r="H211" s="21">
        <f>F211/Parameters!$B$31</f>
        <v>1.3114031971580818E-3</v>
      </c>
      <c r="I211" s="21">
        <f>G211/Parameters!$B$31</f>
        <v>1.9138625358095032E-3</v>
      </c>
      <c r="J211" s="21">
        <f t="shared" si="6"/>
        <v>3.2252657329675848E-3</v>
      </c>
      <c r="K211" s="21">
        <f>F211*Parameters!$C$15/Parameters!$C$16</f>
        <v>3.9342095914742455E-8</v>
      </c>
      <c r="L211" s="21">
        <f>G211*Parameters!$C$15/Parameters!$C$16</f>
        <v>5.7415876074285097E-8</v>
      </c>
      <c r="M211" s="21">
        <f>K211*Parameters!$C$31</f>
        <v>6.6881563055062171E-7</v>
      </c>
      <c r="N211" s="21">
        <f>L211*Parameters!$C$31</f>
        <v>9.7606989326284662E-7</v>
      </c>
      <c r="O211" s="21">
        <f t="shared" si="7"/>
        <v>1.6448855238134682E-6</v>
      </c>
    </row>
    <row r="212" spans="1:15" ht="15" customHeight="1" x14ac:dyDescent="0.25">
      <c r="A212" s="10" t="s">
        <v>53</v>
      </c>
      <c r="B212" s="10" t="s">
        <v>169</v>
      </c>
      <c r="C212" s="10" t="s">
        <v>31</v>
      </c>
      <c r="D212" s="8">
        <f>Zone_Site_Means!$O$11</f>
        <v>3.2746666666666666</v>
      </c>
      <c r="E212" s="21">
        <f>D212*Parameters!$B$4*Parameters!$B$5</f>
        <v>3.2746666666666668E-6</v>
      </c>
      <c r="F212" s="21">
        <f>E212*Parameters!$C$9*Parameters!$C$10*Parameters!$C$11/(Parameters!$C$8*Parameters!$C$15)</f>
        <v>9.356190476190477E-8</v>
      </c>
      <c r="G212" s="21">
        <f>E212*Parameters!$C$12*Parameters!$F$32*Parameters!$C$13*Parameters!$C$10*Parameters!$C$11*Parameters!$C$14/(Parameters!$C$8*Parameters!$C$15)</f>
        <v>2.0877262782861E-8</v>
      </c>
      <c r="H212" s="21">
        <f>F212/Parameters!$B$32</f>
        <v>1.8712380952380953E-3</v>
      </c>
      <c r="I212" s="21">
        <f>G212/Parameters!$B$32</f>
        <v>4.1754525565721996E-4</v>
      </c>
      <c r="J212" s="21">
        <f t="shared" si="6"/>
        <v>2.2887833508953154E-3</v>
      </c>
      <c r="K212" s="21">
        <f>F212*Parameters!$C$15/Parameters!$C$16</f>
        <v>9.356190476190477E-8</v>
      </c>
      <c r="L212" s="21">
        <f>G212*Parameters!$C$15/Parameters!$C$16</f>
        <v>2.0877262782861003E-8</v>
      </c>
      <c r="M212" s="21">
        <f>K212*Parameters!$C$32</f>
        <v>1.4969904761904763E-6</v>
      </c>
      <c r="N212" s="21">
        <f>L212*Parameters!$C$32</f>
        <v>3.3403620452577605E-7</v>
      </c>
      <c r="O212" s="21">
        <f t="shared" si="7"/>
        <v>1.8310266807162525E-6</v>
      </c>
    </row>
    <row r="213" spans="1:15" ht="15" customHeight="1" x14ac:dyDescent="0.25">
      <c r="A213" s="10" t="s">
        <v>53</v>
      </c>
      <c r="B213" s="10" t="s">
        <v>169</v>
      </c>
      <c r="C213" s="10" t="s">
        <v>32</v>
      </c>
      <c r="D213" s="8">
        <f>Zone_Site_Means!$P$11</f>
        <v>0.5</v>
      </c>
      <c r="E213" s="21">
        <f>D213*Parameters!$B$4*Parameters!$B$5</f>
        <v>4.9999999999999998E-7</v>
      </c>
      <c r="F213" s="21">
        <f>E213*Parameters!$C$9*Parameters!$C$10*Parameters!$C$11/(Parameters!$C$8*Parameters!$C$15)</f>
        <v>1.4285714285714286E-8</v>
      </c>
      <c r="G213" s="21">
        <f>E213*Parameters!$C$12*Parameters!$F$33*Parameters!$C$13*Parameters!$C$10*Parameters!$C$11*Parameters!$C$14/(Parameters!$C$8*Parameters!$C$15)</f>
        <v>1.018545567106834E-8</v>
      </c>
      <c r="H213" s="21">
        <f>F213/Parameters!$B$33</f>
        <v>2.8571428571428571E-5</v>
      </c>
      <c r="I213" s="21">
        <f>G213/Parameters!$B$33</f>
        <v>2.0370911342136681E-5</v>
      </c>
      <c r="J213" s="21">
        <f t="shared" si="6"/>
        <v>4.8942339913565251E-5</v>
      </c>
      <c r="K213" s="21">
        <f>F213*Parameters!$C$15/Parameters!$C$16</f>
        <v>1.4285714285714284E-8</v>
      </c>
      <c r="L213" s="21">
        <f>G213*Parameters!$C$15/Parameters!$C$16</f>
        <v>1.0185455671068339E-8</v>
      </c>
      <c r="M213" s="21">
        <f>K213*Parameters!$C$33</f>
        <v>6.4285714285714277E-8</v>
      </c>
      <c r="N213" s="21">
        <f>L213*Parameters!$C$33</f>
        <v>4.5834550519807525E-8</v>
      </c>
      <c r="O213" s="21">
        <f t="shared" si="7"/>
        <v>1.1012026480552181E-7</v>
      </c>
    </row>
    <row r="214" spans="1:15" ht="15" customHeight="1" x14ac:dyDescent="0.25">
      <c r="A214" s="10" t="s">
        <v>53</v>
      </c>
      <c r="B214" s="10" t="s">
        <v>169</v>
      </c>
      <c r="C214" s="10" t="s">
        <v>33</v>
      </c>
      <c r="D214" s="8">
        <f>Zone_Site_Means!$Q$11</f>
        <v>0.5</v>
      </c>
      <c r="E214" s="21">
        <f>D214*Parameters!$B$4*Parameters!$B$5</f>
        <v>4.9999999999999998E-7</v>
      </c>
      <c r="F214" s="21">
        <f>E214*Parameters!$C$9*Parameters!$C$10*Parameters!$C$11/(Parameters!$C$8*Parameters!$C$15)</f>
        <v>1.4285714285714286E-8</v>
      </c>
      <c r="G214" s="21">
        <f>E214*Parameters!$C$12*Parameters!$F$34*Parameters!$C$13*Parameters!$C$10*Parameters!$C$11*Parameters!$C$14/(Parameters!$C$8*Parameters!$C$15)</f>
        <v>1.5107077702516691E-9</v>
      </c>
      <c r="H214" s="21">
        <f>F214/Parameters!$B$34</f>
        <v>1.0989010989010989E-3</v>
      </c>
      <c r="I214" s="21">
        <f>G214/Parameters!$B$34</f>
        <v>1.1620829001935916E-4</v>
      </c>
      <c r="J214" s="21">
        <f t="shared" si="6"/>
        <v>1.2151093889204581E-3</v>
      </c>
      <c r="K214" s="21">
        <f>F214*Parameters!$C$15/Parameters!$C$16</f>
        <v>1.4285714285714284E-8</v>
      </c>
      <c r="L214" s="21">
        <f>G214*Parameters!$C$15/Parameters!$C$16</f>
        <v>1.5107077702516691E-9</v>
      </c>
      <c r="M214" s="21">
        <f>K214*Parameters!$C$34</f>
        <v>1.2999999999999997E-7</v>
      </c>
      <c r="N214" s="21">
        <f>L214*Parameters!$C$34</f>
        <v>1.3747440709290188E-8</v>
      </c>
      <c r="O214" s="21">
        <f t="shared" si="7"/>
        <v>1.4374744070929017E-7</v>
      </c>
    </row>
    <row r="215" spans="1:15" ht="15" customHeight="1" x14ac:dyDescent="0.25">
      <c r="A215" s="10" t="s">
        <v>53</v>
      </c>
      <c r="B215" s="10" t="s">
        <v>170</v>
      </c>
      <c r="C215" s="10" t="s">
        <v>20</v>
      </c>
      <c r="D215" s="8">
        <f>Zone_Site_Means!$D$11</f>
        <v>3.1116666666666664</v>
      </c>
      <c r="E215" s="21">
        <f>D215*Parameters!$B$4*Parameters!$B$5</f>
        <v>3.1116666666666664E-6</v>
      </c>
      <c r="F215" s="21">
        <f>E215*Parameters!$D$9*Parameters!$D$10*Parameters!$D$11/(Parameters!$D$8*Parameters!$D$15)</f>
        <v>2.0744444444444444E-7</v>
      </c>
      <c r="G215" s="21">
        <f>E215*Parameters!$D$12*Parameters!$F$21*Parameters!$D$13*Parameters!$D$10*Parameters!$D$11*Parameters!$D$14/(Parameters!$D$8*Parameters!$D$15)</f>
        <v>6.8030199423467249E-7</v>
      </c>
      <c r="H215" s="21">
        <f>F215/Parameters!$B$21</f>
        <v>4.148888888888889E-4</v>
      </c>
      <c r="I215" s="21">
        <f>G215/Parameters!$B$21</f>
        <v>1.3606039884693449E-3</v>
      </c>
      <c r="J215" s="21">
        <f t="shared" si="6"/>
        <v>1.7754928773582338E-3</v>
      </c>
      <c r="K215" s="21">
        <f>F215*Parameters!$D$15/Parameters!$D$16</f>
        <v>1.7780952380952383E-8</v>
      </c>
      <c r="L215" s="21">
        <f>G215*Parameters!$D$15/Parameters!$D$16</f>
        <v>5.8311599505829072E-8</v>
      </c>
      <c r="M215" s="21">
        <f>K215*Parameters!$C$21</f>
        <v>6.0455238095238106E-9</v>
      </c>
      <c r="N215" s="21">
        <f>L215*Parameters!$C$21</f>
        <v>1.9825943831981886E-8</v>
      </c>
      <c r="O215" s="21">
        <f t="shared" si="7"/>
        <v>2.5871467641505697E-8</v>
      </c>
    </row>
    <row r="216" spans="1:15" ht="15" customHeight="1" x14ac:dyDescent="0.25">
      <c r="A216" s="10" t="s">
        <v>53</v>
      </c>
      <c r="B216" s="10" t="s">
        <v>170</v>
      </c>
      <c r="C216" s="10" t="s">
        <v>21</v>
      </c>
      <c r="D216" s="8">
        <f>Zone_Site_Means!$E$11</f>
        <v>3.66</v>
      </c>
      <c r="E216" s="21">
        <f>D216*Parameters!$B$4*Parameters!$B$5</f>
        <v>3.6600000000000001E-6</v>
      </c>
      <c r="F216" s="21">
        <f>E216*Parameters!$D$9*Parameters!$D$10*Parameters!$D$11/(Parameters!$D$8*Parameters!$D$15)</f>
        <v>2.4400000000000001E-7</v>
      </c>
      <c r="G216" s="21">
        <f>E216*Parameters!$D$12*Parameters!$F$22*Parameters!$D$13*Parameters!$D$10*Parameters!$D$11*Parameters!$D$14/(Parameters!$D$8*Parameters!$D$15)</f>
        <v>9.6026204158967532E-7</v>
      </c>
      <c r="H216" s="21">
        <f>F216/Parameters!$B$22</f>
        <v>4.8800000000000004E-4</v>
      </c>
      <c r="I216" s="21">
        <f>G216/Parameters!$B$22</f>
        <v>1.9205240831793506E-3</v>
      </c>
      <c r="J216" s="21">
        <f t="shared" si="6"/>
        <v>2.4085240831793506E-3</v>
      </c>
      <c r="K216" s="21">
        <f>F216*Parameters!$D$15/Parameters!$D$16</f>
        <v>2.0914285714285715E-8</v>
      </c>
      <c r="L216" s="21">
        <f>G216*Parameters!$D$15/Parameters!$D$16</f>
        <v>8.2308174993400751E-8</v>
      </c>
      <c r="M216" s="21">
        <f>K216*Parameters!$C$22</f>
        <v>7.1108571428571439E-9</v>
      </c>
      <c r="N216" s="21">
        <f>L216*Parameters!$C$22</f>
        <v>2.7984779497756256E-8</v>
      </c>
      <c r="O216" s="21">
        <f t="shared" si="7"/>
        <v>3.5095636640613402E-8</v>
      </c>
    </row>
    <row r="217" spans="1:15" ht="15" customHeight="1" x14ac:dyDescent="0.25">
      <c r="A217" s="10" t="s">
        <v>53</v>
      </c>
      <c r="B217" s="10" t="s">
        <v>170</v>
      </c>
      <c r="C217" s="10" t="s">
        <v>22</v>
      </c>
      <c r="D217" s="8">
        <f>Zone_Site_Means!$F$11</f>
        <v>0.5</v>
      </c>
      <c r="E217" s="21">
        <f>D217*Parameters!$B$4*Parameters!$B$5</f>
        <v>4.9999999999999998E-7</v>
      </c>
      <c r="F217" s="21">
        <f>E217*Parameters!$D$9*Parameters!$D$10*Parameters!$D$11/(Parameters!$D$8*Parameters!$D$15)</f>
        <v>3.3333333333333334E-8</v>
      </c>
      <c r="G217" s="21">
        <f>E217*Parameters!$D$12*Parameters!$F$23*Parameters!$D$13*Parameters!$D$10*Parameters!$D$11*Parameters!$D$14/(Parameters!$D$8*Parameters!$D$15)</f>
        <v>4.2111303129549024E-8</v>
      </c>
      <c r="H217" s="21">
        <f>F217/Parameters!$B$23</f>
        <v>6.666666666666667E-5</v>
      </c>
      <c r="I217" s="21">
        <f>G217/Parameters!$B$23</f>
        <v>8.422260625909804E-5</v>
      </c>
      <c r="J217" s="21">
        <f t="shared" si="6"/>
        <v>1.508892729257647E-4</v>
      </c>
      <c r="K217" s="21">
        <f>F217*Parameters!$D$15/Parameters!$D$16</f>
        <v>2.8571428571428572E-9</v>
      </c>
      <c r="L217" s="21">
        <f>G217*Parameters!$D$15/Parameters!$D$16</f>
        <v>3.6095402682470592E-9</v>
      </c>
      <c r="M217" s="21">
        <f>K217*Parameters!$C$23</f>
        <v>9.7142857142857159E-10</v>
      </c>
      <c r="N217" s="21">
        <f>L217*Parameters!$C$23</f>
        <v>1.2272436912040001E-9</v>
      </c>
      <c r="O217" s="21">
        <f t="shared" si="7"/>
        <v>2.1986722626325717E-9</v>
      </c>
    </row>
    <row r="218" spans="1:15" ht="15" customHeight="1" x14ac:dyDescent="0.25">
      <c r="A218" s="10" t="s">
        <v>53</v>
      </c>
      <c r="B218" s="10" t="s">
        <v>170</v>
      </c>
      <c r="C218" s="10" t="s">
        <v>23</v>
      </c>
      <c r="D218" s="8">
        <f>Zone_Site_Means!$G$11</f>
        <v>4.3803333333333336</v>
      </c>
      <c r="E218" s="21">
        <f>D218*Parameters!$B$4*Parameters!$B$5</f>
        <v>4.3803333333333336E-6</v>
      </c>
      <c r="F218" s="21">
        <f>E218*Parameters!$D$9*Parameters!$D$10*Parameters!$D$11/(Parameters!$D$8*Parameters!$D$15)</f>
        <v>2.9202222222222227E-7</v>
      </c>
      <c r="G218" s="21">
        <f>E218*Parameters!$D$12*Parameters!$F$24*Parameters!$D$13*Parameters!$D$10*Parameters!$D$11*Parameters!$D$14/(Parameters!$D$8*Parameters!$D$15)</f>
        <v>4.6337845485776069E-7</v>
      </c>
      <c r="H218" s="21">
        <f>F218/Parameters!$B$24</f>
        <v>5.840444444444445E-4</v>
      </c>
      <c r="I218" s="21">
        <f>G218/Parameters!$B$24</f>
        <v>9.2675690971552138E-4</v>
      </c>
      <c r="J218" s="21">
        <f t="shared" si="6"/>
        <v>1.5108013541599659E-3</v>
      </c>
      <c r="K218" s="21">
        <f>F218*Parameters!$D$15/Parameters!$D$16</f>
        <v>2.5030476190476193E-8</v>
      </c>
      <c r="L218" s="21">
        <f>G218*Parameters!$D$15/Parameters!$D$16</f>
        <v>3.9718153273522342E-8</v>
      </c>
      <c r="M218" s="21">
        <f>K218*Parameters!$C$24</f>
        <v>8.5103619047619061E-9</v>
      </c>
      <c r="N218" s="21">
        <f>L218*Parameters!$C$24</f>
        <v>1.3504172112997596E-8</v>
      </c>
      <c r="O218" s="21">
        <f t="shared" si="7"/>
        <v>2.2014534017759501E-8</v>
      </c>
    </row>
    <row r="219" spans="1:15" ht="15" customHeight="1" x14ac:dyDescent="0.25">
      <c r="A219" s="10" t="s">
        <v>53</v>
      </c>
      <c r="B219" s="10" t="s">
        <v>170</v>
      </c>
      <c r="C219" s="10" t="s">
        <v>24</v>
      </c>
      <c r="D219" s="8">
        <f>Zone_Site_Means!$H$11</f>
        <v>5.2546666666666662</v>
      </c>
      <c r="E219" s="21">
        <f>D219*Parameters!$B$4*Parameters!$B$5</f>
        <v>5.2546666666666664E-6</v>
      </c>
      <c r="F219" s="21">
        <f>E219*Parameters!$D$9*Parameters!$D$10*Parameters!$D$11/(Parameters!$D$8*Parameters!$D$15)</f>
        <v>3.5031111111111111E-7</v>
      </c>
      <c r="G219" s="21">
        <f>E219*Parameters!$D$12*Parameters!$F$25*Parameters!$D$13*Parameters!$D$10*Parameters!$D$11*Parameters!$D$14/(Parameters!$D$8*Parameters!$D$15)</f>
        <v>5.5338814087453392E-7</v>
      </c>
      <c r="H219" s="21">
        <f>F219/Parameters!$B$25</f>
        <v>7.0062222222222221E-4</v>
      </c>
      <c r="I219" s="21">
        <f>G219/Parameters!$B$25</f>
        <v>1.1067762817490677E-3</v>
      </c>
      <c r="J219" s="21">
        <f t="shared" si="6"/>
        <v>1.80739850397129E-3</v>
      </c>
      <c r="K219" s="21">
        <f>F219*Parameters!$D$15/Parameters!$D$16</f>
        <v>3.0026666666666666E-8</v>
      </c>
      <c r="L219" s="21">
        <f>G219*Parameters!$D$15/Parameters!$D$16</f>
        <v>4.7433269217817191E-8</v>
      </c>
      <c r="M219" s="21">
        <f>K219*Parameters!$C$25</f>
        <v>1.0209066666666666E-8</v>
      </c>
      <c r="N219" s="21">
        <f>L219*Parameters!$C$25</f>
        <v>1.6127311534057846E-8</v>
      </c>
      <c r="O219" s="21">
        <f t="shared" si="7"/>
        <v>2.6336378200724514E-8</v>
      </c>
    </row>
    <row r="220" spans="1:15" ht="15" customHeight="1" x14ac:dyDescent="0.25">
      <c r="A220" s="10" t="s">
        <v>53</v>
      </c>
      <c r="B220" s="10" t="s">
        <v>170</v>
      </c>
      <c r="C220" s="10" t="s">
        <v>25</v>
      </c>
      <c r="D220" s="8">
        <f>Zone_Site_Means!$I$11</f>
        <v>9.2416666666666671</v>
      </c>
      <c r="E220" s="21">
        <f>D220*Parameters!$B$4*Parameters!$B$5</f>
        <v>9.2416666666666666E-6</v>
      </c>
      <c r="F220" s="21">
        <f>E220*Parameters!$D$9*Parameters!$D$10*Parameters!$D$11/(Parameters!$D$8*Parameters!$D$15)</f>
        <v>6.1611111111111112E-7</v>
      </c>
      <c r="G220" s="21">
        <f>E220*Parameters!$D$12*Parameters!$F$26*Parameters!$D$13*Parameters!$D$10*Parameters!$D$11*Parameters!$D$14/(Parameters!$D$8*Parameters!$D$15)</f>
        <v>2.1126861078809954E-6</v>
      </c>
      <c r="H220" s="21">
        <f>F220/Parameters!$B$26</f>
        <v>1.2322222222222222E-3</v>
      </c>
      <c r="I220" s="21">
        <f>G220/Parameters!$B$26</f>
        <v>4.2253722157619905E-3</v>
      </c>
      <c r="J220" s="21">
        <f t="shared" si="6"/>
        <v>5.4575944379842128E-3</v>
      </c>
      <c r="K220" s="21">
        <f>F220*Parameters!$D$15/Parameters!$D$16</f>
        <v>5.2809523809523812E-8</v>
      </c>
      <c r="L220" s="21">
        <f>G220*Parameters!$D$15/Parameters!$D$16</f>
        <v>1.810873806755139E-7</v>
      </c>
      <c r="M220" s="21">
        <f>K220*Parameters!$C$26</f>
        <v>1.7955238095238096E-8</v>
      </c>
      <c r="N220" s="21">
        <f>L220*Parameters!$C$26</f>
        <v>6.1569709429674725E-8</v>
      </c>
      <c r="O220" s="21">
        <f t="shared" si="7"/>
        <v>7.9524947524912814E-8</v>
      </c>
    </row>
    <row r="221" spans="1:15" ht="15" customHeight="1" x14ac:dyDescent="0.25">
      <c r="A221" s="10" t="s">
        <v>53</v>
      </c>
      <c r="B221" s="10" t="s">
        <v>170</v>
      </c>
      <c r="C221" s="10" t="s">
        <v>26</v>
      </c>
      <c r="D221" s="8">
        <f>Zone_Site_Means!$J$11</f>
        <v>2.5743333333333331</v>
      </c>
      <c r="E221" s="21">
        <f>D221*Parameters!$B$4*Parameters!$B$5</f>
        <v>2.5743333333333331E-6</v>
      </c>
      <c r="F221" s="21">
        <f>E221*Parameters!$D$9*Parameters!$D$10*Parameters!$D$11/(Parameters!$D$8*Parameters!$D$15)</f>
        <v>1.716222222222222E-7</v>
      </c>
      <c r="G221" s="21">
        <f>E221*Parameters!$D$12*Parameters!$F$27*Parameters!$D$13*Parameters!$D$10*Parameters!$D$11*Parameters!$D$14/(Parameters!$D$8*Parameters!$D$15)</f>
        <v>1.3597825280940317E-8</v>
      </c>
      <c r="H221" s="21">
        <f>F221/Parameters!$B$27</f>
        <v>5.7207407407407402E-4</v>
      </c>
      <c r="I221" s="21">
        <f>G221/Parameters!$B$27</f>
        <v>4.5326084269801064E-5</v>
      </c>
      <c r="J221" s="21">
        <f t="shared" si="6"/>
        <v>6.1740015834387506E-4</v>
      </c>
      <c r="K221" s="21">
        <f>F221*Parameters!$D$15/Parameters!$D$16</f>
        <v>1.4710476190476188E-8</v>
      </c>
      <c r="L221" s="21">
        <f>G221*Parameters!$D$15/Parameters!$D$16</f>
        <v>1.1655278812234558E-9</v>
      </c>
      <c r="M221" s="21">
        <f>K221*Parameters!$C$27</f>
        <v>9.2675999999999989E-8</v>
      </c>
      <c r="N221" s="21">
        <f>L221*Parameters!$C$27</f>
        <v>7.3428256517077713E-9</v>
      </c>
      <c r="O221" s="21">
        <f t="shared" si="7"/>
        <v>1.0001882565170776E-7</v>
      </c>
    </row>
    <row r="222" spans="1:15" ht="15" customHeight="1" x14ac:dyDescent="0.25">
      <c r="A222" s="10" t="s">
        <v>53</v>
      </c>
      <c r="B222" s="10" t="s">
        <v>170</v>
      </c>
      <c r="C222" s="10" t="s">
        <v>27</v>
      </c>
      <c r="D222" s="8">
        <f>Zone_Site_Means!$K$11</f>
        <v>5.001666666666666</v>
      </c>
      <c r="E222" s="21">
        <f>D222*Parameters!$B$4*Parameters!$B$5</f>
        <v>5.0016666666666665E-6</v>
      </c>
      <c r="F222" s="21">
        <f>E222*Parameters!$D$9*Parameters!$D$10*Parameters!$D$11/(Parameters!$D$8*Parameters!$D$15)</f>
        <v>3.3344444444444441E-7</v>
      </c>
      <c r="G222" s="21">
        <f>E222*Parameters!$D$12*Parameters!$F$28*Parameters!$D$13*Parameters!$D$10*Parameters!$D$11*Parameters!$D$14/(Parameters!$D$8*Parameters!$D$15)</f>
        <v>2.5628277717876283E-8</v>
      </c>
      <c r="H222" s="21">
        <f>F222/Parameters!$B$28</f>
        <v>1.1114814814814815E-3</v>
      </c>
      <c r="I222" s="21">
        <f>G222/Parameters!$B$28</f>
        <v>8.5427592392920952E-5</v>
      </c>
      <c r="J222" s="21">
        <f t="shared" si="6"/>
        <v>1.1969090738744024E-3</v>
      </c>
      <c r="K222" s="21">
        <f>F222*Parameters!$D$15/Parameters!$D$16</f>
        <v>2.8580952380952377E-8</v>
      </c>
      <c r="L222" s="21">
        <f>G222*Parameters!$D$15/Parameters!$D$16</f>
        <v>2.1967095186751101E-9</v>
      </c>
      <c r="M222" s="21">
        <f>K222*Parameters!$C$28</f>
        <v>5.1445714285714283E-8</v>
      </c>
      <c r="N222" s="21">
        <f>L222*Parameters!$C$28</f>
        <v>3.9540771336151981E-9</v>
      </c>
      <c r="O222" s="21">
        <f t="shared" si="7"/>
        <v>5.539979141932948E-8</v>
      </c>
    </row>
    <row r="223" spans="1:15" ht="15" customHeight="1" x14ac:dyDescent="0.25">
      <c r="A223" s="10" t="s">
        <v>53</v>
      </c>
      <c r="B223" s="10" t="s">
        <v>170</v>
      </c>
      <c r="C223" s="10" t="s">
        <v>28</v>
      </c>
      <c r="D223" s="8">
        <f>Zone_Site_Means!$L$11</f>
        <v>0.5</v>
      </c>
      <c r="E223" s="21">
        <f>D223*Parameters!$B$4*Parameters!$B$5</f>
        <v>4.9999999999999998E-7</v>
      </c>
      <c r="F223" s="21">
        <f>E223*Parameters!$D$9*Parameters!$D$10*Parameters!$D$11/(Parameters!$D$8*Parameters!$D$15)</f>
        <v>3.3333333333333334E-8</v>
      </c>
      <c r="G223" s="21">
        <f>E223*Parameters!$D$12*Parameters!$F$29*Parameters!$D$13*Parameters!$D$10*Parameters!$D$11*Parameters!$D$14/(Parameters!$D$8*Parameters!$D$15)</f>
        <v>2.3387008894488494E-9</v>
      </c>
      <c r="H223" s="21">
        <f>F223/Parameters!$B$29</f>
        <v>1.1111111111111112E-4</v>
      </c>
      <c r="I223" s="21">
        <f>G223/Parameters!$B$29</f>
        <v>7.795669631496165E-6</v>
      </c>
      <c r="J223" s="21">
        <f t="shared" si="6"/>
        <v>1.1890678074260729E-4</v>
      </c>
      <c r="K223" s="21">
        <f>F223*Parameters!$D$15/Parameters!$D$16</f>
        <v>2.8571428571428572E-9</v>
      </c>
      <c r="L223" s="21">
        <f>G223*Parameters!$D$15/Parameters!$D$16</f>
        <v>2.004600762384728E-10</v>
      </c>
      <c r="M223" s="21">
        <f>K223*Parameters!$C$29</f>
        <v>3.7142857142857147E-9</v>
      </c>
      <c r="N223" s="21">
        <f>L223*Parameters!$C$29</f>
        <v>2.6059809911001464E-10</v>
      </c>
      <c r="O223" s="21">
        <f t="shared" si="7"/>
        <v>3.9748838133957295E-9</v>
      </c>
    </row>
    <row r="224" spans="1:15" ht="15" customHeight="1" x14ac:dyDescent="0.25">
      <c r="A224" s="10" t="s">
        <v>53</v>
      </c>
      <c r="B224" s="10" t="s">
        <v>170</v>
      </c>
      <c r="C224" s="10" t="s">
        <v>29</v>
      </c>
      <c r="D224" s="8">
        <f>Zone_Site_Means!$M$11</f>
        <v>0.5</v>
      </c>
      <c r="E224" s="21">
        <f>D224*Parameters!$B$4*Parameters!$B$5</f>
        <v>4.9999999999999998E-7</v>
      </c>
      <c r="F224" s="21">
        <f>E224*Parameters!$D$9*Parameters!$D$10*Parameters!$D$11/(Parameters!$D$8*Parameters!$D$15)</f>
        <v>3.3333333333333334E-8</v>
      </c>
      <c r="G224" s="21">
        <f>E224*Parameters!$D$12*Parameters!$F$30*Parameters!$D$13*Parameters!$D$10*Parameters!$D$11*Parameters!$D$14/(Parameters!$D$8*Parameters!$D$15)</f>
        <v>4.4276642493789062E-9</v>
      </c>
      <c r="H224" s="21">
        <f>F224/Parameters!$B$30</f>
        <v>1.1111111111111112E-4</v>
      </c>
      <c r="I224" s="21">
        <f>G224/Parameters!$B$30</f>
        <v>1.4758880831263022E-5</v>
      </c>
      <c r="J224" s="21">
        <f t="shared" si="6"/>
        <v>1.2586999194237413E-4</v>
      </c>
      <c r="K224" s="21">
        <f>F224*Parameters!$D$15/Parameters!$D$16</f>
        <v>2.8571428571428572E-9</v>
      </c>
      <c r="L224" s="21">
        <f>G224*Parameters!$D$15/Parameters!$D$16</f>
        <v>3.79514078518192E-10</v>
      </c>
      <c r="M224" s="21">
        <f>K224*Parameters!$C$30</f>
        <v>0</v>
      </c>
      <c r="N224" s="21">
        <f>L224*Parameters!$C$30</f>
        <v>0</v>
      </c>
      <c r="O224" s="21">
        <f t="shared" si="7"/>
        <v>0</v>
      </c>
    </row>
    <row r="225" spans="1:15" ht="15" customHeight="1" x14ac:dyDescent="0.25">
      <c r="A225" s="10" t="s">
        <v>53</v>
      </c>
      <c r="B225" s="10" t="s">
        <v>170</v>
      </c>
      <c r="C225" s="10" t="s">
        <v>30</v>
      </c>
      <c r="D225" s="8">
        <f>Zone_Site_Means!$N$11</f>
        <v>1.3769733570159859</v>
      </c>
      <c r="E225" s="21">
        <f>D225*Parameters!$B$4*Parameters!$B$5</f>
        <v>1.376973357015986E-6</v>
      </c>
      <c r="F225" s="21">
        <f>E225*Parameters!$D$9*Parameters!$D$10*Parameters!$D$11/(Parameters!$D$8*Parameters!$D$15)</f>
        <v>9.1798223801065727E-8</v>
      </c>
      <c r="G225" s="21">
        <f>E225*Parameters!$D$12*Parameters!$F$31*Parameters!$D$13*Parameters!$D$10*Parameters!$D$11*Parameters!$D$14/(Parameters!$D$8*Parameters!$D$15)</f>
        <v>1.6938783362911698E-7</v>
      </c>
      <c r="H225" s="21">
        <f>F225/Parameters!$B$31</f>
        <v>3.0599407933688573E-3</v>
      </c>
      <c r="I225" s="21">
        <f>G225/Parameters!$B$31</f>
        <v>5.6462611209705657E-3</v>
      </c>
      <c r="J225" s="21">
        <f t="shared" si="6"/>
        <v>8.7062019143394238E-3</v>
      </c>
      <c r="K225" s="21">
        <f>F225*Parameters!$D$15/Parameters!$D$16</f>
        <v>7.8684191829484916E-9</v>
      </c>
      <c r="L225" s="21">
        <f>G225*Parameters!$D$15/Parameters!$D$16</f>
        <v>1.4518957168210027E-8</v>
      </c>
      <c r="M225" s="21">
        <f>K225*Parameters!$C$31</f>
        <v>1.3376312611012435E-7</v>
      </c>
      <c r="N225" s="21">
        <f>L225*Parameters!$C$31</f>
        <v>2.4682227185957048E-7</v>
      </c>
      <c r="O225" s="21">
        <f t="shared" si="7"/>
        <v>3.8058539796969483E-7</v>
      </c>
    </row>
    <row r="226" spans="1:15" ht="15" customHeight="1" x14ac:dyDescent="0.25">
      <c r="A226" s="10" t="s">
        <v>53</v>
      </c>
      <c r="B226" s="10" t="s">
        <v>170</v>
      </c>
      <c r="C226" s="10" t="s">
        <v>31</v>
      </c>
      <c r="D226" s="8">
        <f>Zone_Site_Means!$O$11</f>
        <v>3.2746666666666666</v>
      </c>
      <c r="E226" s="21">
        <f>D226*Parameters!$B$4*Parameters!$B$5</f>
        <v>3.2746666666666668E-6</v>
      </c>
      <c r="F226" s="21">
        <f>E226*Parameters!$D$9*Parameters!$D$10*Parameters!$D$11/(Parameters!$D$8*Parameters!$D$15)</f>
        <v>2.1831111111111114E-7</v>
      </c>
      <c r="G226" s="21">
        <f>E226*Parameters!$D$12*Parameters!$F$32*Parameters!$D$13*Parameters!$D$10*Parameters!$D$11*Parameters!$D$14/(Parameters!$D$8*Parameters!$D$15)</f>
        <v>6.1591924685068841E-8</v>
      </c>
      <c r="H226" s="21">
        <f>F226/Parameters!$B$32</f>
        <v>4.3662222222222227E-3</v>
      </c>
      <c r="I226" s="21">
        <f>G226/Parameters!$B$32</f>
        <v>1.2318384937013767E-3</v>
      </c>
      <c r="J226" s="21">
        <f t="shared" si="6"/>
        <v>5.5980607159235992E-3</v>
      </c>
      <c r="K226" s="21">
        <f>F226*Parameters!$D$15/Parameters!$D$16</f>
        <v>1.8712380952380954E-8</v>
      </c>
      <c r="L226" s="21">
        <f>G226*Parameters!$D$15/Parameters!$D$16</f>
        <v>5.2793078301487574E-9</v>
      </c>
      <c r="M226" s="21">
        <f>K226*Parameters!$C$32</f>
        <v>2.9939809523809526E-7</v>
      </c>
      <c r="N226" s="21">
        <f>L226*Parameters!$C$32</f>
        <v>8.4468925282380118E-8</v>
      </c>
      <c r="O226" s="21">
        <f t="shared" si="7"/>
        <v>3.8386702052047538E-7</v>
      </c>
    </row>
    <row r="227" spans="1:15" ht="15" customHeight="1" x14ac:dyDescent="0.25">
      <c r="A227" s="10" t="s">
        <v>53</v>
      </c>
      <c r="B227" s="10" t="s">
        <v>170</v>
      </c>
      <c r="C227" s="10" t="s">
        <v>32</v>
      </c>
      <c r="D227" s="8">
        <f>Zone_Site_Means!$P$11</f>
        <v>0.5</v>
      </c>
      <c r="E227" s="21">
        <f>D227*Parameters!$B$4*Parameters!$B$5</f>
        <v>4.9999999999999998E-7</v>
      </c>
      <c r="F227" s="21">
        <f>E227*Parameters!$D$9*Parameters!$D$10*Parameters!$D$11/(Parameters!$D$8*Parameters!$D$15)</f>
        <v>3.3333333333333334E-8</v>
      </c>
      <c r="G227" s="21">
        <f>E227*Parameters!$D$12*Parameters!$F$33*Parameters!$D$13*Parameters!$D$10*Parameters!$D$11*Parameters!$D$14/(Parameters!$D$8*Parameters!$D$15)</f>
        <v>3.0049045466370191E-8</v>
      </c>
      <c r="H227" s="21">
        <f>F227/Parameters!$B$33</f>
        <v>6.666666666666667E-5</v>
      </c>
      <c r="I227" s="21">
        <f>G227/Parameters!$B$33</f>
        <v>6.0098090932740382E-5</v>
      </c>
      <c r="J227" s="21">
        <f t="shared" si="6"/>
        <v>1.2676475759940706E-4</v>
      </c>
      <c r="K227" s="21">
        <f>F227*Parameters!$D$15/Parameters!$D$16</f>
        <v>2.8571428571428572E-9</v>
      </c>
      <c r="L227" s="21">
        <f>G227*Parameters!$D$15/Parameters!$D$16</f>
        <v>2.575632468546016E-9</v>
      </c>
      <c r="M227" s="21">
        <f>K227*Parameters!$C$33</f>
        <v>1.2857142857142857E-8</v>
      </c>
      <c r="N227" s="21">
        <f>L227*Parameters!$C$33</f>
        <v>1.1590346108457072E-8</v>
      </c>
      <c r="O227" s="21">
        <f t="shared" si="7"/>
        <v>2.4447488965599928E-8</v>
      </c>
    </row>
    <row r="228" spans="1:15" ht="15" customHeight="1" x14ac:dyDescent="0.25">
      <c r="A228" s="10" t="s">
        <v>53</v>
      </c>
      <c r="B228" s="10" t="s">
        <v>170</v>
      </c>
      <c r="C228" s="10" t="s">
        <v>33</v>
      </c>
      <c r="D228" s="8">
        <f>Zone_Site_Means!$Q$11</f>
        <v>0.5</v>
      </c>
      <c r="E228" s="21">
        <f>D228*Parameters!$B$4*Parameters!$B$5</f>
        <v>4.9999999999999998E-7</v>
      </c>
      <c r="F228" s="21">
        <f>E228*Parameters!$D$9*Parameters!$D$10*Parameters!$D$11/(Parameters!$D$8*Parameters!$D$15)</f>
        <v>3.3333333333333334E-8</v>
      </c>
      <c r="G228" s="21">
        <f>E228*Parameters!$D$12*Parameters!$F$34*Parameters!$D$13*Parameters!$D$10*Parameters!$D$11*Parameters!$D$14/(Parameters!$D$8*Parameters!$D$15)</f>
        <v>4.4568773298612478E-9</v>
      </c>
      <c r="H228" s="21">
        <f>F228/Parameters!$B$34</f>
        <v>2.5641025641025641E-3</v>
      </c>
      <c r="I228" s="21">
        <f>G228/Parameters!$B$34</f>
        <v>3.4283671768163445E-4</v>
      </c>
      <c r="J228" s="21">
        <f t="shared" si="6"/>
        <v>2.9069392817841987E-3</v>
      </c>
      <c r="K228" s="21">
        <f>F228*Parameters!$D$15/Parameters!$D$16</f>
        <v>2.8571428571428572E-9</v>
      </c>
      <c r="L228" s="21">
        <f>G228*Parameters!$D$15/Parameters!$D$16</f>
        <v>3.8201805684524981E-10</v>
      </c>
      <c r="M228" s="21">
        <f>K228*Parameters!$C$34</f>
        <v>2.5999999999999998E-8</v>
      </c>
      <c r="N228" s="21">
        <f>L228*Parameters!$C$34</f>
        <v>3.476364317291773E-9</v>
      </c>
      <c r="O228" s="21">
        <f t="shared" si="7"/>
        <v>2.9476364317291771E-8</v>
      </c>
    </row>
    <row r="229" spans="1:15" ht="15" customHeight="1" x14ac:dyDescent="0.25">
      <c r="A229" s="10" t="s">
        <v>57</v>
      </c>
      <c r="B229" s="10" t="s">
        <v>169</v>
      </c>
      <c r="C229" s="10" t="s">
        <v>20</v>
      </c>
      <c r="D229" s="8">
        <f>Zone_Site_Means!$D$12</f>
        <v>3.2749999999999999</v>
      </c>
      <c r="E229" s="21">
        <f>D229*Parameters!$B$4*Parameters!$B$5</f>
        <v>3.2750000000000004E-6</v>
      </c>
      <c r="F229" s="21">
        <f>E229*Parameters!$C$9*Parameters!$C$10*Parameters!$C$11/(Parameters!$C$8*Parameters!$C$15)</f>
        <v>9.3571428571428598E-8</v>
      </c>
      <c r="G229" s="21">
        <f>E229*Parameters!$C$12*Parameters!$F$21*Parameters!$C$13*Parameters!$C$10*Parameters!$C$11*Parameters!$C$14/(Parameters!$C$8*Parameters!$C$15)</f>
        <v>2.426999925383213E-7</v>
      </c>
      <c r="H229" s="21">
        <f>F229/Parameters!$B$21</f>
        <v>1.8714285714285718E-4</v>
      </c>
      <c r="I229" s="21">
        <f>G229/Parameters!$B$21</f>
        <v>4.8539998507664262E-4</v>
      </c>
      <c r="J229" s="21">
        <f t="shared" si="6"/>
        <v>6.725428422194998E-4</v>
      </c>
      <c r="K229" s="21">
        <f>F229*Parameters!$C$15/Parameters!$C$16</f>
        <v>9.3571428571428585E-8</v>
      </c>
      <c r="L229" s="21">
        <f>G229*Parameters!$C$15/Parameters!$C$16</f>
        <v>2.426999925383213E-7</v>
      </c>
      <c r="M229" s="21">
        <f>K229*Parameters!$C$21</f>
        <v>3.1814285714285723E-8</v>
      </c>
      <c r="N229" s="21">
        <f>L229*Parameters!$C$21</f>
        <v>8.2517997463029251E-8</v>
      </c>
      <c r="O229" s="21">
        <f t="shared" si="7"/>
        <v>1.1433228317731498E-7</v>
      </c>
    </row>
    <row r="230" spans="1:15" ht="15" customHeight="1" x14ac:dyDescent="0.25">
      <c r="A230" s="10" t="s">
        <v>57</v>
      </c>
      <c r="B230" s="10" t="s">
        <v>169</v>
      </c>
      <c r="C230" s="10" t="s">
        <v>21</v>
      </c>
      <c r="D230" s="8">
        <f>Zone_Site_Means!$E$12</f>
        <v>3.0049999999999994</v>
      </c>
      <c r="E230" s="21">
        <f>D230*Parameters!$B$4*Parameters!$B$5</f>
        <v>3.0049999999999996E-6</v>
      </c>
      <c r="F230" s="21">
        <f>E230*Parameters!$C$9*Parameters!$C$10*Parameters!$C$11/(Parameters!$C$8*Parameters!$C$15)</f>
        <v>8.5857142857142853E-8</v>
      </c>
      <c r="G230" s="21">
        <f>E230*Parameters!$C$12*Parameters!$F$22*Parameters!$C$13*Parameters!$C$10*Parameters!$C$11*Parameters!$C$14/(Parameters!$C$8*Parameters!$C$15)</f>
        <v>2.6724090573024987E-7</v>
      </c>
      <c r="H230" s="21">
        <f>F230/Parameters!$B$22</f>
        <v>1.717142857142857E-4</v>
      </c>
      <c r="I230" s="21">
        <f>G230/Parameters!$B$22</f>
        <v>5.3448181146049977E-4</v>
      </c>
      <c r="J230" s="21">
        <f t="shared" si="6"/>
        <v>7.0619609717478544E-4</v>
      </c>
      <c r="K230" s="21">
        <f>F230*Parameters!$C$15/Parameters!$C$16</f>
        <v>8.5857142857142839E-8</v>
      </c>
      <c r="L230" s="21">
        <f>G230*Parameters!$C$15/Parameters!$C$16</f>
        <v>2.6724090573024987E-7</v>
      </c>
      <c r="M230" s="21">
        <f>K230*Parameters!$C$22</f>
        <v>2.9191428571428567E-8</v>
      </c>
      <c r="N230" s="21">
        <f>L230*Parameters!$C$22</f>
        <v>9.0861907948284966E-8</v>
      </c>
      <c r="O230" s="21">
        <f t="shared" si="7"/>
        <v>1.2005333651971353E-7</v>
      </c>
    </row>
    <row r="231" spans="1:15" ht="15" customHeight="1" x14ac:dyDescent="0.25">
      <c r="A231" s="10" t="s">
        <v>57</v>
      </c>
      <c r="B231" s="10" t="s">
        <v>169</v>
      </c>
      <c r="C231" s="10" t="s">
        <v>22</v>
      </c>
      <c r="D231" s="8">
        <f>Zone_Site_Means!$F$12</f>
        <v>2.234</v>
      </c>
      <c r="E231" s="21">
        <f>D231*Parameters!$B$4*Parameters!$B$5</f>
        <v>2.2340000000000001E-6</v>
      </c>
      <c r="F231" s="21">
        <f>E231*Parameters!$C$9*Parameters!$C$10*Parameters!$C$11/(Parameters!$C$8*Parameters!$C$15)</f>
        <v>6.3828571428571435E-8</v>
      </c>
      <c r="G231" s="21">
        <f>E231*Parameters!$C$12*Parameters!$F$23*Parameters!$C$13*Parameters!$C$10*Parameters!$C$11*Parameters!$C$14/(Parameters!$C$8*Parameters!$C$15)</f>
        <v>6.377663885963288E-8</v>
      </c>
      <c r="H231" s="21">
        <f>F231/Parameters!$B$23</f>
        <v>1.2765714285714288E-4</v>
      </c>
      <c r="I231" s="21">
        <f>G231/Parameters!$B$23</f>
        <v>1.2755327771926575E-4</v>
      </c>
      <c r="J231" s="21">
        <f t="shared" si="6"/>
        <v>2.5521042057640862E-4</v>
      </c>
      <c r="K231" s="21">
        <f>F231*Parameters!$C$15/Parameters!$C$16</f>
        <v>6.3828571428571435E-8</v>
      </c>
      <c r="L231" s="21">
        <f>G231*Parameters!$C$15/Parameters!$C$16</f>
        <v>6.377663885963288E-8</v>
      </c>
      <c r="M231" s="21">
        <f>K231*Parameters!$C$23</f>
        <v>2.1701714285714291E-8</v>
      </c>
      <c r="N231" s="21">
        <f>L231*Parameters!$C$23</f>
        <v>2.1684057212275181E-8</v>
      </c>
      <c r="O231" s="21">
        <f t="shared" si="7"/>
        <v>4.3385771497989469E-8</v>
      </c>
    </row>
    <row r="232" spans="1:15" ht="15" customHeight="1" x14ac:dyDescent="0.25">
      <c r="A232" s="10" t="s">
        <v>57</v>
      </c>
      <c r="B232" s="10" t="s">
        <v>169</v>
      </c>
      <c r="C232" s="10" t="s">
        <v>23</v>
      </c>
      <c r="D232" s="8">
        <f>Zone_Site_Means!$G$12</f>
        <v>3.0563333333333333</v>
      </c>
      <c r="E232" s="21">
        <f>D232*Parameters!$B$4*Parameters!$B$5</f>
        <v>3.0563333333333333E-6</v>
      </c>
      <c r="F232" s="21">
        <f>E232*Parameters!$C$9*Parameters!$C$10*Parameters!$C$11/(Parameters!$C$8*Parameters!$C$15)</f>
        <v>8.7323809523809532E-8</v>
      </c>
      <c r="G232" s="21">
        <f>E232*Parameters!$C$12*Parameters!$F$24*Parameters!$C$13*Parameters!$C$10*Parameters!$C$11*Parameters!$C$14/(Parameters!$C$8*Parameters!$C$15)</f>
        <v>1.0959208175920121E-7</v>
      </c>
      <c r="H232" s="21">
        <f>F232/Parameters!$B$24</f>
        <v>1.7464761904761907E-4</v>
      </c>
      <c r="I232" s="21">
        <f>G232/Parameters!$B$24</f>
        <v>2.1918416351840241E-4</v>
      </c>
      <c r="J232" s="21">
        <f t="shared" si="6"/>
        <v>3.9383178256602151E-4</v>
      </c>
      <c r="K232" s="21">
        <f>F232*Parameters!$C$15/Parameters!$C$16</f>
        <v>8.7323809523809519E-8</v>
      </c>
      <c r="L232" s="21">
        <f>G232*Parameters!$C$15/Parameters!$C$16</f>
        <v>1.0959208175920121E-7</v>
      </c>
      <c r="M232" s="21">
        <f>K232*Parameters!$C$24</f>
        <v>2.9690095238095238E-8</v>
      </c>
      <c r="N232" s="21">
        <f>L232*Parameters!$C$24</f>
        <v>3.7261307798128415E-8</v>
      </c>
      <c r="O232" s="21">
        <f t="shared" si="7"/>
        <v>6.695140303622365E-8</v>
      </c>
    </row>
    <row r="233" spans="1:15" ht="15" customHeight="1" x14ac:dyDescent="0.25">
      <c r="A233" s="10" t="s">
        <v>57</v>
      </c>
      <c r="B233" s="10" t="s">
        <v>169</v>
      </c>
      <c r="C233" s="10" t="s">
        <v>24</v>
      </c>
      <c r="D233" s="8">
        <f>Zone_Site_Means!$H$12</f>
        <v>5.9289999999999994</v>
      </c>
      <c r="E233" s="21">
        <f>D233*Parameters!$B$4*Parameters!$B$5</f>
        <v>5.9289999999999995E-6</v>
      </c>
      <c r="F233" s="21">
        <f>E233*Parameters!$C$9*Parameters!$C$10*Parameters!$C$11/(Parameters!$C$8*Parameters!$C$15)</f>
        <v>1.6939999999999997E-7</v>
      </c>
      <c r="G233" s="21">
        <f>E233*Parameters!$C$12*Parameters!$F$25*Parameters!$C$13*Parameters!$C$10*Parameters!$C$11*Parameters!$C$14/(Parameters!$C$8*Parameters!$C$15)</f>
        <v>2.1164884801742272E-7</v>
      </c>
      <c r="H233" s="21">
        <f>F233/Parameters!$B$25</f>
        <v>3.3879999999999994E-4</v>
      </c>
      <c r="I233" s="21">
        <f>G233/Parameters!$B$25</f>
        <v>4.2329769603484542E-4</v>
      </c>
      <c r="J233" s="21">
        <f t="shared" si="6"/>
        <v>7.6209769603484542E-4</v>
      </c>
      <c r="K233" s="21">
        <f>F233*Parameters!$C$15/Parameters!$C$16</f>
        <v>1.6939999999999997E-7</v>
      </c>
      <c r="L233" s="21">
        <f>G233*Parameters!$C$15/Parameters!$C$16</f>
        <v>2.1164884801742272E-7</v>
      </c>
      <c r="M233" s="21">
        <f>K233*Parameters!$C$25</f>
        <v>5.7595999999999995E-8</v>
      </c>
      <c r="N233" s="21">
        <f>L233*Parameters!$C$25</f>
        <v>7.1960608325923732E-8</v>
      </c>
      <c r="O233" s="21">
        <f t="shared" si="7"/>
        <v>1.2955660832592373E-7</v>
      </c>
    </row>
    <row r="234" spans="1:15" ht="15" customHeight="1" x14ac:dyDescent="0.25">
      <c r="A234" s="10" t="s">
        <v>57</v>
      </c>
      <c r="B234" s="10" t="s">
        <v>169</v>
      </c>
      <c r="C234" s="10" t="s">
        <v>25</v>
      </c>
      <c r="D234" s="8">
        <f>Zone_Site_Means!$I$12</f>
        <v>13.360333333333335</v>
      </c>
      <c r="E234" s="21">
        <f>D234*Parameters!$B$4*Parameters!$B$5</f>
        <v>1.3360333333333335E-5</v>
      </c>
      <c r="F234" s="21">
        <f>E234*Parameters!$C$9*Parameters!$C$10*Parameters!$C$11/(Parameters!$C$8*Parameters!$C$15)</f>
        <v>3.8172380952380957E-7</v>
      </c>
      <c r="G234" s="21">
        <f>E234*Parameters!$C$12*Parameters!$F$26*Parameters!$C$13*Parameters!$C$10*Parameters!$C$11*Parameters!$C$14/(Parameters!$C$8*Parameters!$C$15)</f>
        <v>1.0352655258995141E-6</v>
      </c>
      <c r="H234" s="21">
        <f>F234/Parameters!$B$26</f>
        <v>7.6344761904761915E-4</v>
      </c>
      <c r="I234" s="21">
        <f>G234/Parameters!$B$26</f>
        <v>2.0705310517990282E-3</v>
      </c>
      <c r="J234" s="21">
        <f t="shared" si="6"/>
        <v>2.8339786708466473E-3</v>
      </c>
      <c r="K234" s="21">
        <f>F234*Parameters!$C$15/Parameters!$C$16</f>
        <v>3.8172380952380957E-7</v>
      </c>
      <c r="L234" s="21">
        <f>G234*Parameters!$C$15/Parameters!$C$16</f>
        <v>1.0352655258995141E-6</v>
      </c>
      <c r="M234" s="21">
        <f>K234*Parameters!$C$26</f>
        <v>1.2978609523809527E-7</v>
      </c>
      <c r="N234" s="21">
        <f>L234*Parameters!$C$26</f>
        <v>3.5199027880583482E-7</v>
      </c>
      <c r="O234" s="21">
        <f t="shared" si="7"/>
        <v>4.8177637404393014E-7</v>
      </c>
    </row>
    <row r="235" spans="1:15" ht="15" customHeight="1" x14ac:dyDescent="0.25">
      <c r="A235" s="10" t="s">
        <v>57</v>
      </c>
      <c r="B235" s="10" t="s">
        <v>169</v>
      </c>
      <c r="C235" s="10" t="s">
        <v>26</v>
      </c>
      <c r="D235" s="8">
        <f>Zone_Site_Means!$J$12</f>
        <v>3.294</v>
      </c>
      <c r="E235" s="21">
        <f>D235*Parameters!$B$4*Parameters!$B$5</f>
        <v>3.2940000000000001E-6</v>
      </c>
      <c r="F235" s="21">
        <f>E235*Parameters!$C$9*Parameters!$C$10*Parameters!$C$11/(Parameters!$C$8*Parameters!$C$15)</f>
        <v>9.4114285714285725E-8</v>
      </c>
      <c r="G235" s="21">
        <f>E235*Parameters!$C$12*Parameters!$F$27*Parameters!$C$13*Parameters!$C$10*Parameters!$C$11*Parameters!$C$14/(Parameters!$C$8*Parameters!$C$15)</f>
        <v>5.8976372078429637E-9</v>
      </c>
      <c r="H235" s="21">
        <f>F235/Parameters!$B$27</f>
        <v>3.1371428571428577E-4</v>
      </c>
      <c r="I235" s="21">
        <f>G235/Parameters!$B$27</f>
        <v>1.9658790692809882E-5</v>
      </c>
      <c r="J235" s="21">
        <f t="shared" si="6"/>
        <v>3.3337307640709564E-4</v>
      </c>
      <c r="K235" s="21">
        <f>F235*Parameters!$C$15/Parameters!$C$16</f>
        <v>9.4114285714285725E-8</v>
      </c>
      <c r="L235" s="21">
        <f>G235*Parameters!$C$15/Parameters!$C$16</f>
        <v>5.8976372078429637E-9</v>
      </c>
      <c r="M235" s="21">
        <f>K235*Parameters!$C$27</f>
        <v>5.929200000000001E-7</v>
      </c>
      <c r="N235" s="21">
        <f>L235*Parameters!$C$27</f>
        <v>3.7155114409410669E-8</v>
      </c>
      <c r="O235" s="21">
        <f t="shared" si="7"/>
        <v>6.3007511440941078E-7</v>
      </c>
    </row>
    <row r="236" spans="1:15" ht="15" customHeight="1" x14ac:dyDescent="0.25">
      <c r="A236" s="10" t="s">
        <v>57</v>
      </c>
      <c r="B236" s="10" t="s">
        <v>169</v>
      </c>
      <c r="C236" s="10" t="s">
        <v>27</v>
      </c>
      <c r="D236" s="8">
        <f>Zone_Site_Means!$K$12</f>
        <v>6.5209999999999999</v>
      </c>
      <c r="E236" s="21">
        <f>D236*Parameters!$B$4*Parameters!$B$5</f>
        <v>6.5209999999999999E-6</v>
      </c>
      <c r="F236" s="21">
        <f>E236*Parameters!$C$9*Parameters!$C$10*Parameters!$C$11/(Parameters!$C$8*Parameters!$C$15)</f>
        <v>1.8631428571428572E-7</v>
      </c>
      <c r="G236" s="21">
        <f>E236*Parameters!$C$12*Parameters!$F$28*Parameters!$C$13*Parameters!$C$10*Parameters!$C$11*Parameters!$C$14/(Parameters!$C$8*Parameters!$C$15)</f>
        <v>1.1325794018067255E-8</v>
      </c>
      <c r="H236" s="21">
        <f>F236/Parameters!$B$28</f>
        <v>6.2104761904761916E-4</v>
      </c>
      <c r="I236" s="21">
        <f>G236/Parameters!$B$28</f>
        <v>3.7752646726890852E-5</v>
      </c>
      <c r="J236" s="21">
        <f t="shared" si="6"/>
        <v>6.5880026577451001E-4</v>
      </c>
      <c r="K236" s="21">
        <f>F236*Parameters!$C$15/Parameters!$C$16</f>
        <v>1.8631428571428572E-7</v>
      </c>
      <c r="L236" s="21">
        <f>G236*Parameters!$C$15/Parameters!$C$16</f>
        <v>1.1325794018067255E-8</v>
      </c>
      <c r="M236" s="21">
        <f>K236*Parameters!$C$28</f>
        <v>3.3536571428571431E-7</v>
      </c>
      <c r="N236" s="21">
        <f>L236*Parameters!$C$28</f>
        <v>2.0386429232521058E-8</v>
      </c>
      <c r="O236" s="21">
        <f t="shared" si="7"/>
        <v>3.5575214351823539E-7</v>
      </c>
    </row>
    <row r="237" spans="1:15" ht="15" customHeight="1" x14ac:dyDescent="0.25">
      <c r="A237" s="10" t="s">
        <v>57</v>
      </c>
      <c r="B237" s="10" t="s">
        <v>169</v>
      </c>
      <c r="C237" s="10" t="s">
        <v>28</v>
      </c>
      <c r="D237" s="8">
        <f>Zone_Site_Means!$L$12</f>
        <v>0.5</v>
      </c>
      <c r="E237" s="21">
        <f>D237*Parameters!$B$4*Parameters!$B$5</f>
        <v>4.9999999999999998E-7</v>
      </c>
      <c r="F237" s="21">
        <f>E237*Parameters!$C$9*Parameters!$C$10*Parameters!$C$11/(Parameters!$C$8*Parameters!$C$15)</f>
        <v>1.4285714285714286E-8</v>
      </c>
      <c r="G237" s="21">
        <f>E237*Parameters!$C$12*Parameters!$F$29*Parameters!$C$13*Parameters!$C$10*Parameters!$C$11*Parameters!$C$14/(Parameters!$C$8*Parameters!$C$15)</f>
        <v>7.9272848330668775E-10</v>
      </c>
      <c r="H237" s="21">
        <f>F237/Parameters!$B$29</f>
        <v>4.7619047619047627E-5</v>
      </c>
      <c r="I237" s="21">
        <f>G237/Parameters!$B$29</f>
        <v>2.6424282776889595E-6</v>
      </c>
      <c r="J237" s="21">
        <f t="shared" si="6"/>
        <v>5.0261475896736588E-5</v>
      </c>
      <c r="K237" s="21">
        <f>F237*Parameters!$C$15/Parameters!$C$16</f>
        <v>1.4285714285714284E-8</v>
      </c>
      <c r="L237" s="21">
        <f>G237*Parameters!$C$15/Parameters!$C$16</f>
        <v>7.9272848330668775E-10</v>
      </c>
      <c r="M237" s="21">
        <f>K237*Parameters!$C$29</f>
        <v>1.8571428571428572E-8</v>
      </c>
      <c r="N237" s="21">
        <f>L237*Parameters!$C$29</f>
        <v>1.0305470282986941E-9</v>
      </c>
      <c r="O237" s="21">
        <f t="shared" si="7"/>
        <v>1.9601975599727267E-8</v>
      </c>
    </row>
    <row r="238" spans="1:15" ht="15" customHeight="1" x14ac:dyDescent="0.25">
      <c r="A238" s="10" t="s">
        <v>57</v>
      </c>
      <c r="B238" s="10" t="s">
        <v>169</v>
      </c>
      <c r="C238" s="10" t="s">
        <v>29</v>
      </c>
      <c r="D238" s="8">
        <f>Zone_Site_Means!$M$12</f>
        <v>2.6125666666666665</v>
      </c>
      <c r="E238" s="21">
        <f>D238*Parameters!$B$4*Parameters!$B$5</f>
        <v>2.6125666666666664E-6</v>
      </c>
      <c r="F238" s="21">
        <f>E238*Parameters!$C$9*Parameters!$C$10*Parameters!$C$11/(Parameters!$C$8*Parameters!$C$15)</f>
        <v>7.4644761904761893E-8</v>
      </c>
      <c r="G238" s="21">
        <f>E238*Parameters!$C$12*Parameters!$F$30*Parameters!$C$13*Parameters!$C$10*Parameters!$C$11*Parameters!$C$14/(Parameters!$C$8*Parameters!$C$15)</f>
        <v>7.8419097548053587E-9</v>
      </c>
      <c r="H238" s="21">
        <f>F238/Parameters!$B$30</f>
        <v>2.4881587301587302E-4</v>
      </c>
      <c r="I238" s="21">
        <f>G238/Parameters!$B$30</f>
        <v>2.6139699182684533E-5</v>
      </c>
      <c r="J238" s="21">
        <f t="shared" si="6"/>
        <v>2.7495557219855754E-4</v>
      </c>
      <c r="K238" s="21">
        <f>F238*Parameters!$C$15/Parameters!$C$16</f>
        <v>7.4644761904761893E-8</v>
      </c>
      <c r="L238" s="21">
        <f>G238*Parameters!$C$15/Parameters!$C$16</f>
        <v>7.8419097548053587E-9</v>
      </c>
      <c r="M238" s="21">
        <f>K238*Parameters!$C$30</f>
        <v>0</v>
      </c>
      <c r="N238" s="21">
        <f>L238*Parameters!$C$30</f>
        <v>0</v>
      </c>
      <c r="O238" s="21">
        <f t="shared" si="7"/>
        <v>0</v>
      </c>
    </row>
    <row r="239" spans="1:15" ht="15" customHeight="1" x14ac:dyDescent="0.25">
      <c r="A239" s="10" t="s">
        <v>57</v>
      </c>
      <c r="B239" s="10" t="s">
        <v>169</v>
      </c>
      <c r="C239" s="10" t="s">
        <v>30</v>
      </c>
      <c r="D239" s="8">
        <f>Zone_Site_Means!$N$12</f>
        <v>0.5</v>
      </c>
      <c r="E239" s="21">
        <f>D239*Parameters!$B$4*Parameters!$B$5</f>
        <v>4.9999999999999998E-7</v>
      </c>
      <c r="F239" s="21">
        <f>E239*Parameters!$C$9*Parameters!$C$10*Parameters!$C$11/(Parameters!$C$8*Parameters!$C$15)</f>
        <v>1.4285714285714286E-8</v>
      </c>
      <c r="G239" s="21">
        <f>E239*Parameters!$C$12*Parameters!$F$31*Parameters!$C$13*Parameters!$C$10*Parameters!$C$11*Parameters!$C$14/(Parameters!$C$8*Parameters!$C$15)</f>
        <v>2.0848579161585962E-8</v>
      </c>
      <c r="H239" s="21">
        <f>F239/Parameters!$B$31</f>
        <v>4.7619047619047619E-4</v>
      </c>
      <c r="I239" s="21">
        <f>G239/Parameters!$B$31</f>
        <v>6.9495263871953211E-4</v>
      </c>
      <c r="J239" s="21">
        <f t="shared" si="6"/>
        <v>1.1711431149100083E-3</v>
      </c>
      <c r="K239" s="21">
        <f>F239*Parameters!$C$15/Parameters!$C$16</f>
        <v>1.4285714285714284E-8</v>
      </c>
      <c r="L239" s="21">
        <f>G239*Parameters!$C$15/Parameters!$C$16</f>
        <v>2.0848579161585962E-8</v>
      </c>
      <c r="M239" s="21">
        <f>K239*Parameters!$C$31</f>
        <v>2.4285714285714282E-7</v>
      </c>
      <c r="N239" s="21">
        <f>L239*Parameters!$C$31</f>
        <v>3.5442584574696135E-7</v>
      </c>
      <c r="O239" s="21">
        <f t="shared" si="7"/>
        <v>5.9728298860410421E-7</v>
      </c>
    </row>
    <row r="240" spans="1:15" ht="15" customHeight="1" x14ac:dyDescent="0.25">
      <c r="A240" s="10" t="s">
        <v>57</v>
      </c>
      <c r="B240" s="10" t="s">
        <v>169</v>
      </c>
      <c r="C240" s="10" t="s">
        <v>31</v>
      </c>
      <c r="D240" s="8">
        <f>Zone_Site_Means!$O$12</f>
        <v>1.9316666666666666</v>
      </c>
      <c r="E240" s="21">
        <f>D240*Parameters!$B$4*Parameters!$B$5</f>
        <v>1.9316666666666667E-6</v>
      </c>
      <c r="F240" s="21">
        <f>E240*Parameters!$C$9*Parameters!$C$10*Parameters!$C$11/(Parameters!$C$8*Parameters!$C$15)</f>
        <v>5.5190476190476189E-8</v>
      </c>
      <c r="G240" s="21">
        <f>E240*Parameters!$C$12*Parameters!$F$32*Parameters!$C$13*Parameters!$C$10*Parameters!$C$11*Parameters!$C$14/(Parameters!$C$8*Parameters!$C$15)</f>
        <v>1.2315119892780892E-8</v>
      </c>
      <c r="H240" s="21">
        <f>F240/Parameters!$B$32</f>
        <v>1.1038095238095238E-3</v>
      </c>
      <c r="I240" s="21">
        <f>G240/Parameters!$B$32</f>
        <v>2.4630239785561781E-4</v>
      </c>
      <c r="J240" s="21">
        <f t="shared" si="6"/>
        <v>1.3501119216651415E-3</v>
      </c>
      <c r="K240" s="21">
        <f>F240*Parameters!$C$15/Parameters!$C$16</f>
        <v>5.5190476190476189E-8</v>
      </c>
      <c r="L240" s="21">
        <f>G240*Parameters!$C$15/Parameters!$C$16</f>
        <v>1.2315119892780892E-8</v>
      </c>
      <c r="M240" s="21">
        <f>K240*Parameters!$C$32</f>
        <v>8.8304761904761903E-7</v>
      </c>
      <c r="N240" s="21">
        <f>L240*Parameters!$C$32</f>
        <v>1.9704191828449427E-7</v>
      </c>
      <c r="O240" s="21">
        <f t="shared" si="7"/>
        <v>1.0800895373321132E-6</v>
      </c>
    </row>
    <row r="241" spans="1:15" ht="15" customHeight="1" x14ac:dyDescent="0.25">
      <c r="A241" s="10" t="s">
        <v>57</v>
      </c>
      <c r="B241" s="10" t="s">
        <v>169</v>
      </c>
      <c r="C241" s="10" t="s">
        <v>32</v>
      </c>
      <c r="D241" s="8">
        <f>Zone_Site_Means!$P$12</f>
        <v>1.2693333333333334</v>
      </c>
      <c r="E241" s="21">
        <f>D241*Parameters!$B$4*Parameters!$B$5</f>
        <v>1.2693333333333335E-6</v>
      </c>
      <c r="F241" s="21">
        <f>E241*Parameters!$C$9*Parameters!$C$10*Parameters!$C$11/(Parameters!$C$8*Parameters!$C$15)</f>
        <v>3.6266666666666674E-8</v>
      </c>
      <c r="G241" s="21">
        <f>E241*Parameters!$C$12*Parameters!$F$33*Parameters!$C$13*Parameters!$C$10*Parameters!$C$11*Parameters!$C$14/(Parameters!$C$8*Parameters!$C$15)</f>
        <v>2.5857476796952158E-8</v>
      </c>
      <c r="H241" s="21">
        <f>F241/Parameters!$B$33</f>
        <v>7.2533333333333353E-5</v>
      </c>
      <c r="I241" s="21">
        <f>G241/Parameters!$B$33</f>
        <v>5.1714953593904314E-5</v>
      </c>
      <c r="J241" s="21">
        <f t="shared" si="6"/>
        <v>1.2424828692723767E-4</v>
      </c>
      <c r="K241" s="21">
        <f>F241*Parameters!$C$15/Parameters!$C$16</f>
        <v>3.6266666666666674E-8</v>
      </c>
      <c r="L241" s="21">
        <f>G241*Parameters!$C$15/Parameters!$C$16</f>
        <v>2.5857476796952161E-8</v>
      </c>
      <c r="M241" s="21">
        <f>K241*Parameters!$C$33</f>
        <v>1.6320000000000003E-7</v>
      </c>
      <c r="N241" s="21">
        <f>L241*Parameters!$C$33</f>
        <v>1.1635864558628473E-7</v>
      </c>
      <c r="O241" s="21">
        <f t="shared" si="7"/>
        <v>2.7955864558628476E-7</v>
      </c>
    </row>
    <row r="242" spans="1:15" ht="15" customHeight="1" x14ac:dyDescent="0.25">
      <c r="A242" s="10" t="s">
        <v>57</v>
      </c>
      <c r="B242" s="10" t="s">
        <v>169</v>
      </c>
      <c r="C242" s="10" t="s">
        <v>33</v>
      </c>
      <c r="D242" s="8">
        <f>Zone_Site_Means!$Q$12</f>
        <v>3.4523333333333337</v>
      </c>
      <c r="E242" s="21">
        <f>D242*Parameters!$B$4*Parameters!$B$5</f>
        <v>3.4523333333333338E-6</v>
      </c>
      <c r="F242" s="21">
        <f>E242*Parameters!$C$9*Parameters!$C$10*Parameters!$C$11/(Parameters!$C$8*Parameters!$C$15)</f>
        <v>9.8638095238095244E-8</v>
      </c>
      <c r="G242" s="21">
        <f>E242*Parameters!$C$12*Parameters!$F$34*Parameters!$C$13*Parameters!$C$10*Parameters!$C$11*Parameters!$C$14/(Parameters!$C$8*Parameters!$C$15)</f>
        <v>1.0430933584331027E-8</v>
      </c>
      <c r="H242" s="21">
        <f>F242/Parameters!$B$34</f>
        <v>7.5875457875457884E-3</v>
      </c>
      <c r="I242" s="21">
        <f>G242/Parameters!$B$34</f>
        <v>8.0237950648700206E-4</v>
      </c>
      <c r="J242" s="21">
        <f t="shared" si="6"/>
        <v>8.3899252940327906E-3</v>
      </c>
      <c r="K242" s="21">
        <f>F242*Parameters!$C$15/Parameters!$C$16</f>
        <v>9.8638095238095244E-8</v>
      </c>
      <c r="L242" s="21">
        <f>G242*Parameters!$C$15/Parameters!$C$16</f>
        <v>1.0430933584331027E-8</v>
      </c>
      <c r="M242" s="21">
        <f>K242*Parameters!$C$34</f>
        <v>8.9760666666666674E-7</v>
      </c>
      <c r="N242" s="21">
        <f>L242*Parameters!$C$34</f>
        <v>9.4921495617412336E-8</v>
      </c>
      <c r="O242" s="21">
        <f t="shared" si="7"/>
        <v>9.9252816228407909E-7</v>
      </c>
    </row>
    <row r="243" spans="1:15" ht="15" customHeight="1" x14ac:dyDescent="0.25">
      <c r="A243" s="10" t="s">
        <v>57</v>
      </c>
      <c r="B243" s="10" t="s">
        <v>170</v>
      </c>
      <c r="C243" s="10" t="s">
        <v>20</v>
      </c>
      <c r="D243" s="8">
        <f>Zone_Site_Means!$D$12</f>
        <v>3.2749999999999999</v>
      </c>
      <c r="E243" s="21">
        <f>D243*Parameters!$B$4*Parameters!$B$5</f>
        <v>3.2750000000000004E-6</v>
      </c>
      <c r="F243" s="21">
        <f>E243*Parameters!$D$9*Parameters!$D$10*Parameters!$D$11/(Parameters!$D$8*Parameters!$D$15)</f>
        <v>2.1833333333333337E-7</v>
      </c>
      <c r="G243" s="21">
        <f>E243*Parameters!$D$12*Parameters!$F$21*Parameters!$D$13*Parameters!$D$10*Parameters!$D$11*Parameters!$D$14/(Parameters!$D$8*Parameters!$D$15)</f>
        <v>7.1601147223949222E-7</v>
      </c>
      <c r="H243" s="21">
        <f>F243/Parameters!$B$21</f>
        <v>4.3666666666666675E-4</v>
      </c>
      <c r="I243" s="21">
        <f>G243/Parameters!$B$21</f>
        <v>1.4320229444789844E-3</v>
      </c>
      <c r="J243" s="21">
        <f t="shared" si="6"/>
        <v>1.8686896111456512E-3</v>
      </c>
      <c r="K243" s="21">
        <f>F243*Parameters!$D$15/Parameters!$D$16</f>
        <v>1.8714285714285718E-8</v>
      </c>
      <c r="L243" s="21">
        <f>G243*Parameters!$D$15/Parameters!$D$16</f>
        <v>6.1372411906242189E-8</v>
      </c>
      <c r="M243" s="21">
        <f>K243*Parameters!$C$21</f>
        <v>6.3628571428571445E-9</v>
      </c>
      <c r="N243" s="21">
        <f>L243*Parameters!$C$21</f>
        <v>2.0866620048122346E-8</v>
      </c>
      <c r="O243" s="21">
        <f t="shared" si="7"/>
        <v>2.7229477190979491E-8</v>
      </c>
    </row>
    <row r="244" spans="1:15" ht="15" customHeight="1" x14ac:dyDescent="0.25">
      <c r="A244" s="10" t="s">
        <v>57</v>
      </c>
      <c r="B244" s="10" t="s">
        <v>170</v>
      </c>
      <c r="C244" s="10" t="s">
        <v>21</v>
      </c>
      <c r="D244" s="8">
        <f>Zone_Site_Means!$E$12</f>
        <v>3.0049999999999994</v>
      </c>
      <c r="E244" s="21">
        <f>D244*Parameters!$B$4*Parameters!$B$5</f>
        <v>3.0049999999999996E-6</v>
      </c>
      <c r="F244" s="21">
        <f>E244*Parameters!$D$9*Parameters!$D$10*Parameters!$D$11/(Parameters!$D$8*Parameters!$D$15)</f>
        <v>2.0033333333333329E-7</v>
      </c>
      <c r="G244" s="21">
        <f>E244*Parameters!$D$12*Parameters!$F$22*Parameters!$D$13*Parameters!$D$10*Parameters!$D$11*Parameters!$D$14/(Parameters!$D$8*Parameters!$D$15)</f>
        <v>7.8841186748004756E-7</v>
      </c>
      <c r="H244" s="21">
        <f>F244/Parameters!$B$22</f>
        <v>4.0066666666666658E-4</v>
      </c>
      <c r="I244" s="21">
        <f>G244/Parameters!$B$22</f>
        <v>1.5768237349600952E-3</v>
      </c>
      <c r="J244" s="21">
        <f t="shared" si="6"/>
        <v>1.9774904016267615E-3</v>
      </c>
      <c r="K244" s="21">
        <f>F244*Parameters!$D$15/Parameters!$D$16</f>
        <v>1.7171428571428569E-8</v>
      </c>
      <c r="L244" s="21">
        <f>G244*Parameters!$D$15/Parameters!$D$16</f>
        <v>6.7578160069718365E-8</v>
      </c>
      <c r="M244" s="21">
        <f>K244*Parameters!$C$22</f>
        <v>5.8382857142857136E-9</v>
      </c>
      <c r="N244" s="21">
        <f>L244*Parameters!$C$22</f>
        <v>2.2976574423704245E-8</v>
      </c>
      <c r="O244" s="21">
        <f t="shared" si="7"/>
        <v>2.8814860137989957E-8</v>
      </c>
    </row>
    <row r="245" spans="1:15" ht="15" customHeight="1" x14ac:dyDescent="0.25">
      <c r="A245" s="10" t="s">
        <v>57</v>
      </c>
      <c r="B245" s="10" t="s">
        <v>170</v>
      </c>
      <c r="C245" s="10" t="s">
        <v>22</v>
      </c>
      <c r="D245" s="8">
        <f>Zone_Site_Means!$F$12</f>
        <v>2.234</v>
      </c>
      <c r="E245" s="21">
        <f>D245*Parameters!$B$4*Parameters!$B$5</f>
        <v>2.2340000000000001E-6</v>
      </c>
      <c r="F245" s="21">
        <f>E245*Parameters!$D$9*Parameters!$D$10*Parameters!$D$11/(Parameters!$D$8*Parameters!$D$15)</f>
        <v>1.4893333333333334E-7</v>
      </c>
      <c r="G245" s="21">
        <f>E245*Parameters!$D$12*Parameters!$F$23*Parameters!$D$13*Parameters!$D$10*Parameters!$D$11*Parameters!$D$14/(Parameters!$D$8*Parameters!$D$15)</f>
        <v>1.8815330238282503E-7</v>
      </c>
      <c r="H245" s="21">
        <f>F245/Parameters!$B$23</f>
        <v>2.9786666666666668E-4</v>
      </c>
      <c r="I245" s="21">
        <f>G245/Parameters!$B$23</f>
        <v>3.7630660476565002E-4</v>
      </c>
      <c r="J245" s="21">
        <f t="shared" si="6"/>
        <v>6.7417327143231664E-4</v>
      </c>
      <c r="K245" s="21">
        <f>F245*Parameters!$D$15/Parameters!$D$16</f>
        <v>1.2765714285714288E-8</v>
      </c>
      <c r="L245" s="21">
        <f>G245*Parameters!$D$15/Parameters!$D$16</f>
        <v>1.6127425918527861E-8</v>
      </c>
      <c r="M245" s="21">
        <f>K245*Parameters!$C$23</f>
        <v>4.340342857142858E-9</v>
      </c>
      <c r="N245" s="21">
        <f>L245*Parameters!$C$23</f>
        <v>5.4833248122994729E-9</v>
      </c>
      <c r="O245" s="21">
        <f t="shared" si="7"/>
        <v>9.823667669442331E-9</v>
      </c>
    </row>
    <row r="246" spans="1:15" ht="15" customHeight="1" x14ac:dyDescent="0.25">
      <c r="A246" s="10" t="s">
        <v>57</v>
      </c>
      <c r="B246" s="10" t="s">
        <v>170</v>
      </c>
      <c r="C246" s="10" t="s">
        <v>23</v>
      </c>
      <c r="D246" s="8">
        <f>Zone_Site_Means!$G$12</f>
        <v>3.0563333333333333</v>
      </c>
      <c r="E246" s="21">
        <f>D246*Parameters!$B$4*Parameters!$B$5</f>
        <v>3.0563333333333333E-6</v>
      </c>
      <c r="F246" s="21">
        <f>E246*Parameters!$D$9*Parameters!$D$10*Parameters!$D$11/(Parameters!$D$8*Parameters!$D$15)</f>
        <v>2.0375555555555558E-7</v>
      </c>
      <c r="G246" s="21">
        <f>E246*Parameters!$D$12*Parameters!$F$24*Parameters!$D$13*Parameters!$D$10*Parameters!$D$11*Parameters!$D$14/(Parameters!$D$8*Parameters!$D$15)</f>
        <v>3.2331763584132173E-7</v>
      </c>
      <c r="H246" s="21">
        <f>F246/Parameters!$B$24</f>
        <v>4.0751111111111114E-4</v>
      </c>
      <c r="I246" s="21">
        <f>G246/Parameters!$B$24</f>
        <v>6.466352716826434E-4</v>
      </c>
      <c r="J246" s="21">
        <f t="shared" si="6"/>
        <v>1.0541463827937545E-3</v>
      </c>
      <c r="K246" s="21">
        <f>F246*Parameters!$D$15/Parameters!$D$16</f>
        <v>1.7464761904761906E-8</v>
      </c>
      <c r="L246" s="21">
        <f>G246*Parameters!$D$15/Parameters!$D$16</f>
        <v>2.7712940214970436E-8</v>
      </c>
      <c r="M246" s="21">
        <f>K246*Parameters!$C$24</f>
        <v>5.9380190476190485E-9</v>
      </c>
      <c r="N246" s="21">
        <f>L246*Parameters!$C$24</f>
        <v>9.4223996730899485E-9</v>
      </c>
      <c r="O246" s="21">
        <f t="shared" si="7"/>
        <v>1.5360418720708995E-8</v>
      </c>
    </row>
    <row r="247" spans="1:15" ht="15" customHeight="1" x14ac:dyDescent="0.25">
      <c r="A247" s="10" t="s">
        <v>57</v>
      </c>
      <c r="B247" s="10" t="s">
        <v>170</v>
      </c>
      <c r="C247" s="10" t="s">
        <v>24</v>
      </c>
      <c r="D247" s="8">
        <f>Zone_Site_Means!$H$12</f>
        <v>5.9289999999999994</v>
      </c>
      <c r="E247" s="21">
        <f>D247*Parameters!$B$4*Parameters!$B$5</f>
        <v>5.9289999999999995E-6</v>
      </c>
      <c r="F247" s="21">
        <f>E247*Parameters!$D$9*Parameters!$D$10*Parameters!$D$11/(Parameters!$D$8*Parameters!$D$15)</f>
        <v>3.9526666666666659E-7</v>
      </c>
      <c r="G247" s="21">
        <f>E247*Parameters!$D$12*Parameters!$F$25*Parameters!$D$13*Parameters!$D$10*Parameters!$D$11*Parameters!$D$14/(Parameters!$D$8*Parameters!$D$15)</f>
        <v>6.244046474077223E-7</v>
      </c>
      <c r="H247" s="21">
        <f>F247/Parameters!$B$25</f>
        <v>7.9053333333333321E-4</v>
      </c>
      <c r="I247" s="21">
        <f>G247/Parameters!$B$25</f>
        <v>1.2488092948154447E-3</v>
      </c>
      <c r="J247" s="21">
        <f t="shared" si="6"/>
        <v>2.0393426281487778E-3</v>
      </c>
      <c r="K247" s="21">
        <f>F247*Parameters!$D$15/Parameters!$D$16</f>
        <v>3.3879999999999996E-8</v>
      </c>
      <c r="L247" s="21">
        <f>G247*Parameters!$D$15/Parameters!$D$16</f>
        <v>5.3520398349233338E-8</v>
      </c>
      <c r="M247" s="21">
        <f>K247*Parameters!$C$25</f>
        <v>1.15192E-8</v>
      </c>
      <c r="N247" s="21">
        <f>L247*Parameters!$C$25</f>
        <v>1.8196935438739336E-8</v>
      </c>
      <c r="O247" s="21">
        <f t="shared" si="7"/>
        <v>2.9716135438739336E-8</v>
      </c>
    </row>
    <row r="248" spans="1:15" ht="15" customHeight="1" x14ac:dyDescent="0.25">
      <c r="A248" s="10" t="s">
        <v>57</v>
      </c>
      <c r="B248" s="10" t="s">
        <v>170</v>
      </c>
      <c r="C248" s="10" t="s">
        <v>25</v>
      </c>
      <c r="D248" s="8">
        <f>Zone_Site_Means!$I$12</f>
        <v>13.360333333333335</v>
      </c>
      <c r="E248" s="21">
        <f>D248*Parameters!$B$4*Parameters!$B$5</f>
        <v>1.3360333333333335E-5</v>
      </c>
      <c r="F248" s="21">
        <f>E248*Parameters!$D$9*Parameters!$D$10*Parameters!$D$11/(Parameters!$D$8*Parameters!$D$15)</f>
        <v>8.906888888888889E-7</v>
      </c>
      <c r="G248" s="21">
        <f>E248*Parameters!$D$12*Parameters!$F$26*Parameters!$D$13*Parameters!$D$10*Parameters!$D$11*Parameters!$D$14/(Parameters!$D$8*Parameters!$D$15)</f>
        <v>3.0542316281326664E-6</v>
      </c>
      <c r="H248" s="21">
        <f>F248/Parameters!$B$26</f>
        <v>1.7813777777777777E-3</v>
      </c>
      <c r="I248" s="21">
        <f>G248/Parameters!$B$26</f>
        <v>6.1084632562653325E-3</v>
      </c>
      <c r="J248" s="21">
        <f t="shared" si="6"/>
        <v>7.8898410340431102E-3</v>
      </c>
      <c r="K248" s="21">
        <f>F248*Parameters!$D$15/Parameters!$D$16</f>
        <v>7.6344761904761902E-8</v>
      </c>
      <c r="L248" s="21">
        <f>G248*Parameters!$D$15/Parameters!$D$16</f>
        <v>2.6179128241137141E-7</v>
      </c>
      <c r="M248" s="21">
        <f>K248*Parameters!$C$26</f>
        <v>2.595721904761905E-8</v>
      </c>
      <c r="N248" s="21">
        <f>L248*Parameters!$C$26</f>
        <v>8.9009036019866282E-8</v>
      </c>
      <c r="O248" s="21">
        <f t="shared" si="7"/>
        <v>1.1496625506748534E-7</v>
      </c>
    </row>
    <row r="249" spans="1:15" ht="15" customHeight="1" x14ac:dyDescent="0.25">
      <c r="A249" s="10" t="s">
        <v>57</v>
      </c>
      <c r="B249" s="10" t="s">
        <v>170</v>
      </c>
      <c r="C249" s="10" t="s">
        <v>26</v>
      </c>
      <c r="D249" s="8">
        <f>Zone_Site_Means!$J$12</f>
        <v>3.294</v>
      </c>
      <c r="E249" s="21">
        <f>D249*Parameters!$B$4*Parameters!$B$5</f>
        <v>3.2940000000000001E-6</v>
      </c>
      <c r="F249" s="21">
        <f>E249*Parameters!$D$9*Parameters!$D$10*Parameters!$D$11/(Parameters!$D$8*Parameters!$D$15)</f>
        <v>2.1960000000000003E-7</v>
      </c>
      <c r="G249" s="21">
        <f>E249*Parameters!$D$12*Parameters!$F$27*Parameters!$D$13*Parameters!$D$10*Parameters!$D$11*Parameters!$D$14/(Parameters!$D$8*Parameters!$D$15)</f>
        <v>1.7399159578693803E-8</v>
      </c>
      <c r="H249" s="21">
        <f>F249/Parameters!$B$27</f>
        <v>7.3200000000000023E-4</v>
      </c>
      <c r="I249" s="21">
        <f>G249/Parameters!$B$27</f>
        <v>5.7997198595646019E-5</v>
      </c>
      <c r="J249" s="21">
        <f t="shared" si="6"/>
        <v>7.8999719859564629E-4</v>
      </c>
      <c r="K249" s="21">
        <f>F249*Parameters!$D$15/Parameters!$D$16</f>
        <v>1.8822857142857146E-8</v>
      </c>
      <c r="L249" s="21">
        <f>G249*Parameters!$D$15/Parameters!$D$16</f>
        <v>1.4913565353166117E-9</v>
      </c>
      <c r="M249" s="21">
        <f>K249*Parameters!$C$27</f>
        <v>1.1858400000000001E-7</v>
      </c>
      <c r="N249" s="21">
        <f>L249*Parameters!$C$27</f>
        <v>9.3955461724946543E-9</v>
      </c>
      <c r="O249" s="21">
        <f t="shared" si="7"/>
        <v>1.2797954617249467E-7</v>
      </c>
    </row>
    <row r="250" spans="1:15" ht="15" customHeight="1" x14ac:dyDescent="0.25">
      <c r="A250" s="10" t="s">
        <v>57</v>
      </c>
      <c r="B250" s="10" t="s">
        <v>170</v>
      </c>
      <c r="C250" s="10" t="s">
        <v>27</v>
      </c>
      <c r="D250" s="8">
        <f>Zone_Site_Means!$K$12</f>
        <v>6.5209999999999999</v>
      </c>
      <c r="E250" s="21">
        <f>D250*Parameters!$B$4*Parameters!$B$5</f>
        <v>6.5209999999999999E-6</v>
      </c>
      <c r="F250" s="21">
        <f>E250*Parameters!$D$9*Parameters!$D$10*Parameters!$D$11/(Parameters!$D$8*Parameters!$D$15)</f>
        <v>4.3473333333333335E-7</v>
      </c>
      <c r="G250" s="21">
        <f>E250*Parameters!$D$12*Parameters!$F$28*Parameters!$D$13*Parameters!$D$10*Parameters!$D$11*Parameters!$D$14/(Parameters!$D$8*Parameters!$D$15)</f>
        <v>3.3413262045639029E-8</v>
      </c>
      <c r="H250" s="21">
        <f>F250/Parameters!$B$28</f>
        <v>1.4491111111111113E-3</v>
      </c>
      <c r="I250" s="21">
        <f>G250/Parameters!$B$28</f>
        <v>1.1137754015213011E-4</v>
      </c>
      <c r="J250" s="21">
        <f t="shared" si="6"/>
        <v>1.5604886512632413E-3</v>
      </c>
      <c r="K250" s="21">
        <f>F250*Parameters!$D$15/Parameters!$D$16</f>
        <v>3.7262857142857141E-8</v>
      </c>
      <c r="L250" s="21">
        <f>G250*Parameters!$D$15/Parameters!$D$16</f>
        <v>2.8639938896262024E-9</v>
      </c>
      <c r="M250" s="21">
        <f>K250*Parameters!$C$28</f>
        <v>6.7073142857142861E-8</v>
      </c>
      <c r="N250" s="21">
        <f>L250*Parameters!$C$28</f>
        <v>5.1551890013271645E-9</v>
      </c>
      <c r="O250" s="21">
        <f t="shared" si="7"/>
        <v>7.2228331858470022E-8</v>
      </c>
    </row>
    <row r="251" spans="1:15" ht="15" customHeight="1" x14ac:dyDescent="0.25">
      <c r="A251" s="10" t="s">
        <v>57</v>
      </c>
      <c r="B251" s="10" t="s">
        <v>170</v>
      </c>
      <c r="C251" s="10" t="s">
        <v>28</v>
      </c>
      <c r="D251" s="8">
        <f>Zone_Site_Means!$L$12</f>
        <v>0.5</v>
      </c>
      <c r="E251" s="21">
        <f>D251*Parameters!$B$4*Parameters!$B$5</f>
        <v>4.9999999999999998E-7</v>
      </c>
      <c r="F251" s="21">
        <f>E251*Parameters!$D$9*Parameters!$D$10*Parameters!$D$11/(Parameters!$D$8*Parameters!$D$15)</f>
        <v>3.3333333333333334E-8</v>
      </c>
      <c r="G251" s="21">
        <f>E251*Parameters!$D$12*Parameters!$F$29*Parameters!$D$13*Parameters!$D$10*Parameters!$D$11*Parameters!$D$14/(Parameters!$D$8*Parameters!$D$15)</f>
        <v>2.3387008894488494E-9</v>
      </c>
      <c r="H251" s="21">
        <f>F251/Parameters!$B$29</f>
        <v>1.1111111111111112E-4</v>
      </c>
      <c r="I251" s="21">
        <f>G251/Parameters!$B$29</f>
        <v>7.795669631496165E-6</v>
      </c>
      <c r="J251" s="21">
        <f t="shared" si="6"/>
        <v>1.1890678074260729E-4</v>
      </c>
      <c r="K251" s="21">
        <f>F251*Parameters!$D$15/Parameters!$D$16</f>
        <v>2.8571428571428572E-9</v>
      </c>
      <c r="L251" s="21">
        <f>G251*Parameters!$D$15/Parameters!$D$16</f>
        <v>2.004600762384728E-10</v>
      </c>
      <c r="M251" s="21">
        <f>K251*Parameters!$C$29</f>
        <v>3.7142857142857147E-9</v>
      </c>
      <c r="N251" s="21">
        <f>L251*Parameters!$C$29</f>
        <v>2.6059809911001464E-10</v>
      </c>
      <c r="O251" s="21">
        <f t="shared" si="7"/>
        <v>3.9748838133957295E-9</v>
      </c>
    </row>
    <row r="252" spans="1:15" ht="15" customHeight="1" x14ac:dyDescent="0.25">
      <c r="A252" s="10" t="s">
        <v>57</v>
      </c>
      <c r="B252" s="10" t="s">
        <v>170</v>
      </c>
      <c r="C252" s="10" t="s">
        <v>29</v>
      </c>
      <c r="D252" s="8">
        <f>Zone_Site_Means!$M$12</f>
        <v>2.6125666666666665</v>
      </c>
      <c r="E252" s="21">
        <f>D252*Parameters!$B$4*Parameters!$B$5</f>
        <v>2.6125666666666664E-6</v>
      </c>
      <c r="F252" s="21">
        <f>E252*Parameters!$D$9*Parameters!$D$10*Parameters!$D$11/(Parameters!$D$8*Parameters!$D$15)</f>
        <v>1.7417111111111109E-7</v>
      </c>
      <c r="G252" s="21">
        <f>E252*Parameters!$D$12*Parameters!$F$30*Parameters!$D$13*Parameters!$D$10*Parameters!$D$11*Parameters!$D$14/(Parameters!$D$8*Parameters!$D$15)</f>
        <v>2.313513605823803E-8</v>
      </c>
      <c r="H252" s="21">
        <f>F252/Parameters!$B$30</f>
        <v>5.8057037037037031E-4</v>
      </c>
      <c r="I252" s="21">
        <f>G252/Parameters!$B$30</f>
        <v>7.7117120194126774E-5</v>
      </c>
      <c r="J252" s="21">
        <f t="shared" si="6"/>
        <v>6.5768749056449713E-4</v>
      </c>
      <c r="K252" s="21">
        <f>F252*Parameters!$D$15/Parameters!$D$16</f>
        <v>1.4928952380952379E-8</v>
      </c>
      <c r="L252" s="21">
        <f>G252*Parameters!$D$15/Parameters!$D$16</f>
        <v>1.9830116621346882E-9</v>
      </c>
      <c r="M252" s="21">
        <f>K252*Parameters!$C$30</f>
        <v>0</v>
      </c>
      <c r="N252" s="21">
        <f>L252*Parameters!$C$30</f>
        <v>0</v>
      </c>
      <c r="O252" s="21">
        <f t="shared" si="7"/>
        <v>0</v>
      </c>
    </row>
    <row r="253" spans="1:15" ht="15" customHeight="1" x14ac:dyDescent="0.25">
      <c r="A253" s="10" t="s">
        <v>57</v>
      </c>
      <c r="B253" s="10" t="s">
        <v>170</v>
      </c>
      <c r="C253" s="10" t="s">
        <v>30</v>
      </c>
      <c r="D253" s="8">
        <f>Zone_Site_Means!$N$12</f>
        <v>0.5</v>
      </c>
      <c r="E253" s="21">
        <f>D253*Parameters!$B$4*Parameters!$B$5</f>
        <v>4.9999999999999998E-7</v>
      </c>
      <c r="F253" s="21">
        <f>E253*Parameters!$D$9*Parameters!$D$10*Parameters!$D$11/(Parameters!$D$8*Parameters!$D$15)</f>
        <v>3.3333333333333334E-8</v>
      </c>
      <c r="G253" s="21">
        <f>E253*Parameters!$D$12*Parameters!$F$31*Parameters!$D$13*Parameters!$D$10*Parameters!$D$11*Parameters!$D$14/(Parameters!$D$8*Parameters!$D$15)</f>
        <v>6.1507302507360883E-8</v>
      </c>
      <c r="H253" s="21">
        <f>F253/Parameters!$B$31</f>
        <v>1.1111111111111111E-3</v>
      </c>
      <c r="I253" s="21">
        <f>G253/Parameters!$B$31</f>
        <v>2.0502434169120294E-3</v>
      </c>
      <c r="J253" s="21">
        <f t="shared" si="6"/>
        <v>3.1613545280231407E-3</v>
      </c>
      <c r="K253" s="21">
        <f>F253*Parameters!$D$15/Parameters!$D$16</f>
        <v>2.8571428571428572E-9</v>
      </c>
      <c r="L253" s="21">
        <f>G253*Parameters!$D$15/Parameters!$D$16</f>
        <v>5.2720545006309328E-9</v>
      </c>
      <c r="M253" s="21">
        <f>K253*Parameters!$C$31</f>
        <v>4.8571428571428572E-8</v>
      </c>
      <c r="N253" s="21">
        <f>L253*Parameters!$C$31</f>
        <v>8.9624926510725854E-8</v>
      </c>
      <c r="O253" s="21">
        <f t="shared" si="7"/>
        <v>1.3819635508215443E-7</v>
      </c>
    </row>
    <row r="254" spans="1:15" ht="15" customHeight="1" x14ac:dyDescent="0.25">
      <c r="A254" s="10" t="s">
        <v>57</v>
      </c>
      <c r="B254" s="10" t="s">
        <v>170</v>
      </c>
      <c r="C254" s="10" t="s">
        <v>31</v>
      </c>
      <c r="D254" s="8">
        <f>Zone_Site_Means!$O$12</f>
        <v>1.9316666666666666</v>
      </c>
      <c r="E254" s="21">
        <f>D254*Parameters!$B$4*Parameters!$B$5</f>
        <v>1.9316666666666667E-6</v>
      </c>
      <c r="F254" s="21">
        <f>E254*Parameters!$D$9*Parameters!$D$10*Parameters!$D$11/(Parameters!$D$8*Parameters!$D$15)</f>
        <v>1.2877777777777776E-7</v>
      </c>
      <c r="G254" s="21">
        <f>E254*Parameters!$D$12*Parameters!$F$32*Parameters!$D$13*Parameters!$D$10*Parameters!$D$11*Parameters!$D$14/(Parameters!$D$8*Parameters!$D$15)</f>
        <v>3.6331962902073901E-8</v>
      </c>
      <c r="H254" s="21">
        <f>F254/Parameters!$B$32</f>
        <v>2.5755555555555553E-3</v>
      </c>
      <c r="I254" s="21">
        <f>G254/Parameters!$B$32</f>
        <v>7.26639258041478E-4</v>
      </c>
      <c r="J254" s="21">
        <f t="shared" si="6"/>
        <v>3.3021948135970331E-3</v>
      </c>
      <c r="K254" s="21">
        <f>F254*Parameters!$D$15/Parameters!$D$16</f>
        <v>1.1038095238095236E-8</v>
      </c>
      <c r="L254" s="21">
        <f>G254*Parameters!$D$15/Parameters!$D$16</f>
        <v>3.1141682487491913E-9</v>
      </c>
      <c r="M254" s="21">
        <f>K254*Parameters!$C$32</f>
        <v>1.7660952380952377E-7</v>
      </c>
      <c r="N254" s="21">
        <f>L254*Parameters!$C$32</f>
        <v>4.9826691979987061E-8</v>
      </c>
      <c r="O254" s="21">
        <f t="shared" si="7"/>
        <v>2.2643621578951082E-7</v>
      </c>
    </row>
    <row r="255" spans="1:15" ht="15" customHeight="1" x14ac:dyDescent="0.25">
      <c r="A255" s="10" t="s">
        <v>57</v>
      </c>
      <c r="B255" s="10" t="s">
        <v>170</v>
      </c>
      <c r="C255" s="10" t="s">
        <v>32</v>
      </c>
      <c r="D255" s="8">
        <f>Zone_Site_Means!$P$12</f>
        <v>1.2693333333333334</v>
      </c>
      <c r="E255" s="21">
        <f>D255*Parameters!$B$4*Parameters!$B$5</f>
        <v>1.2693333333333335E-6</v>
      </c>
      <c r="F255" s="21">
        <f>E255*Parameters!$D$9*Parameters!$D$10*Parameters!$D$11/(Parameters!$D$8*Parameters!$D$15)</f>
        <v>8.462222222222223E-8</v>
      </c>
      <c r="G255" s="21">
        <f>E255*Parameters!$D$12*Parameters!$F$33*Parameters!$D$13*Parameters!$D$10*Parameters!$D$11*Parameters!$D$14/(Parameters!$D$8*Parameters!$D$15)</f>
        <v>7.6284510090625147E-8</v>
      </c>
      <c r="H255" s="21">
        <f>F255/Parameters!$B$33</f>
        <v>1.6924444444444444E-4</v>
      </c>
      <c r="I255" s="21">
        <f>G255/Parameters!$B$33</f>
        <v>1.525690201812503E-4</v>
      </c>
      <c r="J255" s="21">
        <f t="shared" si="6"/>
        <v>3.2181346462569475E-4</v>
      </c>
      <c r="K255" s="21">
        <f>F255*Parameters!$D$15/Parameters!$D$16</f>
        <v>7.2533333333333348E-9</v>
      </c>
      <c r="L255" s="21">
        <f>G255*Parameters!$D$15/Parameters!$D$16</f>
        <v>6.5386722934821564E-9</v>
      </c>
      <c r="M255" s="21">
        <f>K255*Parameters!$C$33</f>
        <v>3.2640000000000006E-8</v>
      </c>
      <c r="N255" s="21">
        <f>L255*Parameters!$C$33</f>
        <v>2.9424025320669704E-8</v>
      </c>
      <c r="O255" s="21">
        <f t="shared" si="7"/>
        <v>6.206402532066971E-8</v>
      </c>
    </row>
    <row r="256" spans="1:15" ht="15" customHeight="1" x14ac:dyDescent="0.25">
      <c r="A256" s="10" t="s">
        <v>57</v>
      </c>
      <c r="B256" s="10" t="s">
        <v>170</v>
      </c>
      <c r="C256" s="10" t="s">
        <v>33</v>
      </c>
      <c r="D256" s="8">
        <f>Zone_Site_Means!$Q$12</f>
        <v>3.4523333333333337</v>
      </c>
      <c r="E256" s="21">
        <f>D256*Parameters!$B$4*Parameters!$B$5</f>
        <v>3.4523333333333338E-6</v>
      </c>
      <c r="F256" s="21">
        <f>E256*Parameters!$D$9*Parameters!$D$10*Parameters!$D$11/(Parameters!$D$8*Parameters!$D$15)</f>
        <v>2.3015555555555558E-7</v>
      </c>
      <c r="G256" s="21">
        <f>E256*Parameters!$D$12*Parameters!$F$34*Parameters!$D$13*Parameters!$D$10*Parameters!$D$11*Parameters!$D$14/(Parameters!$D$8*Parameters!$D$15)</f>
        <v>3.0773252336915297E-8</v>
      </c>
      <c r="H256" s="21">
        <f>F256/Parameters!$B$34</f>
        <v>1.7704273504273508E-2</v>
      </c>
      <c r="I256" s="21">
        <f>G256/Parameters!$B$34</f>
        <v>2.3671732566857922E-3</v>
      </c>
      <c r="J256" s="21">
        <f t="shared" si="6"/>
        <v>2.0071446760959299E-2</v>
      </c>
      <c r="K256" s="21">
        <f>F256*Parameters!$D$15/Parameters!$D$16</f>
        <v>1.9727619047619051E-8</v>
      </c>
      <c r="L256" s="21">
        <f>G256*Parameters!$D$15/Parameters!$D$16</f>
        <v>2.6377073431641682E-9</v>
      </c>
      <c r="M256" s="21">
        <f>K256*Parameters!$C$34</f>
        <v>1.7952133333333335E-7</v>
      </c>
      <c r="N256" s="21">
        <f>L256*Parameters!$C$34</f>
        <v>2.4003136822793928E-8</v>
      </c>
      <c r="O256" s="21">
        <f t="shared" si="7"/>
        <v>2.0352447015612728E-7</v>
      </c>
    </row>
    <row r="257" spans="1:15" ht="15" customHeight="1" x14ac:dyDescent="0.25">
      <c r="A257" s="10" t="s">
        <v>61</v>
      </c>
      <c r="B257" s="10" t="s">
        <v>169</v>
      </c>
      <c r="C257" s="10" t="s">
        <v>20</v>
      </c>
      <c r="D257" s="8">
        <f>Zone_Site_Means!$D$13</f>
        <v>3.5516666666666663</v>
      </c>
      <c r="E257" s="21">
        <f>D257*Parameters!$B$4*Parameters!$B$5</f>
        <v>3.5516666666666664E-6</v>
      </c>
      <c r="F257" s="21">
        <f>E257*Parameters!$C$9*Parameters!$C$10*Parameters!$C$11/(Parameters!$C$8*Parameters!$C$15)</f>
        <v>1.0147619047619046E-7</v>
      </c>
      <c r="G257" s="21">
        <f>E257*Parameters!$C$12*Parameters!$F$21*Parameters!$C$13*Parameters!$C$10*Parameters!$C$11*Parameters!$C$14/(Parameters!$C$8*Parameters!$C$15)</f>
        <v>2.632028926713296E-7</v>
      </c>
      <c r="H257" s="21">
        <f>F257/Parameters!$B$21</f>
        <v>2.0295238095238092E-4</v>
      </c>
      <c r="I257" s="21">
        <f>G257/Parameters!$B$21</f>
        <v>5.2640578534265915E-4</v>
      </c>
      <c r="J257" s="21">
        <f t="shared" si="6"/>
        <v>7.2935816629504007E-4</v>
      </c>
      <c r="K257" s="21">
        <f>F257*Parameters!$C$15/Parameters!$C$16</f>
        <v>1.0147619047619046E-7</v>
      </c>
      <c r="L257" s="21">
        <f>G257*Parameters!$C$15/Parameters!$C$16</f>
        <v>2.632028926713296E-7</v>
      </c>
      <c r="M257" s="21">
        <f>K257*Parameters!$C$21</f>
        <v>3.4501904761904762E-8</v>
      </c>
      <c r="N257" s="21">
        <f>L257*Parameters!$C$21</f>
        <v>8.9488983508252067E-8</v>
      </c>
      <c r="O257" s="21">
        <f t="shared" si="7"/>
        <v>1.2399088827015682E-7</v>
      </c>
    </row>
    <row r="258" spans="1:15" ht="15" customHeight="1" x14ac:dyDescent="0.25">
      <c r="A258" s="10" t="s">
        <v>61</v>
      </c>
      <c r="B258" s="10" t="s">
        <v>169</v>
      </c>
      <c r="C258" s="10" t="s">
        <v>21</v>
      </c>
      <c r="D258" s="8">
        <f>Zone_Site_Means!$E$13</f>
        <v>4.2263333333333337</v>
      </c>
      <c r="E258" s="21">
        <f>D258*Parameters!$B$4*Parameters!$B$5</f>
        <v>4.2263333333333339E-6</v>
      </c>
      <c r="F258" s="21">
        <f>E258*Parameters!$C$9*Parameters!$C$10*Parameters!$C$11/(Parameters!$C$8*Parameters!$C$15)</f>
        <v>1.2075238095238097E-7</v>
      </c>
      <c r="G258" s="21">
        <f>E258*Parameters!$C$12*Parameters!$F$22*Parameters!$C$13*Parameters!$C$10*Parameters!$C$11*Parameters!$C$14/(Parameters!$C$8*Parameters!$C$15)</f>
        <v>3.7585662160331002E-7</v>
      </c>
      <c r="H258" s="21">
        <f>F258/Parameters!$B$22</f>
        <v>2.4150476190476193E-4</v>
      </c>
      <c r="I258" s="21">
        <f>G258/Parameters!$B$22</f>
        <v>7.5171324320661998E-4</v>
      </c>
      <c r="J258" s="21">
        <f t="shared" si="6"/>
        <v>9.9321800511138194E-4</v>
      </c>
      <c r="K258" s="21">
        <f>F258*Parameters!$C$15/Parameters!$C$16</f>
        <v>1.2075238095238097E-7</v>
      </c>
      <c r="L258" s="21">
        <f>G258*Parameters!$C$15/Parameters!$C$16</f>
        <v>3.7585662160331002E-7</v>
      </c>
      <c r="M258" s="21">
        <f>K258*Parameters!$C$22</f>
        <v>4.1055809523809531E-8</v>
      </c>
      <c r="N258" s="21">
        <f>L258*Parameters!$C$22</f>
        <v>1.2779125134512542E-7</v>
      </c>
      <c r="O258" s="21">
        <f t="shared" si="7"/>
        <v>1.6884706086893495E-7</v>
      </c>
    </row>
    <row r="259" spans="1:15" ht="15" customHeight="1" x14ac:dyDescent="0.25">
      <c r="A259" s="10" t="s">
        <v>61</v>
      </c>
      <c r="B259" s="10" t="s">
        <v>169</v>
      </c>
      <c r="C259" s="10" t="s">
        <v>22</v>
      </c>
      <c r="D259" s="8">
        <f>Zone_Site_Means!$F$13</f>
        <v>3.4160000000000004</v>
      </c>
      <c r="E259" s="21">
        <f>D259*Parameters!$B$4*Parameters!$B$5</f>
        <v>3.4160000000000008E-6</v>
      </c>
      <c r="F259" s="21">
        <f>E259*Parameters!$C$9*Parameters!$C$10*Parameters!$C$11/(Parameters!$C$8*Parameters!$C$15)</f>
        <v>9.760000000000004E-8</v>
      </c>
      <c r="G259" s="21">
        <f>E259*Parameters!$C$12*Parameters!$F$23*Parameters!$C$13*Parameters!$C$10*Parameters!$C$11*Parameters!$C$14/(Parameters!$C$8*Parameters!$C$15)</f>
        <v>9.7520590127352739E-8</v>
      </c>
      <c r="H259" s="21">
        <f>F259/Parameters!$B$23</f>
        <v>1.9520000000000008E-4</v>
      </c>
      <c r="I259" s="21">
        <f>G259/Parameters!$B$23</f>
        <v>1.9504118025470547E-4</v>
      </c>
      <c r="J259" s="21">
        <f t="shared" si="6"/>
        <v>3.9024118025470552E-4</v>
      </c>
      <c r="K259" s="21">
        <f>F259*Parameters!$C$15/Parameters!$C$16</f>
        <v>9.760000000000004E-8</v>
      </c>
      <c r="L259" s="21">
        <f>G259*Parameters!$C$15/Parameters!$C$16</f>
        <v>9.7520590127352739E-8</v>
      </c>
      <c r="M259" s="21">
        <f>K259*Parameters!$C$23</f>
        <v>3.3184000000000014E-8</v>
      </c>
      <c r="N259" s="21">
        <f>L259*Parameters!$C$23</f>
        <v>3.3157000643299934E-8</v>
      </c>
      <c r="O259" s="21">
        <f t="shared" si="7"/>
        <v>6.6341000643299949E-8</v>
      </c>
    </row>
    <row r="260" spans="1:15" ht="15" customHeight="1" x14ac:dyDescent="0.25">
      <c r="A260" s="10" t="s">
        <v>61</v>
      </c>
      <c r="B260" s="10" t="s">
        <v>169</v>
      </c>
      <c r="C260" s="10" t="s">
        <v>23</v>
      </c>
      <c r="D260" s="8">
        <f>Zone_Site_Means!$G$13</f>
        <v>3.8096666666666663</v>
      </c>
      <c r="E260" s="21">
        <f>D260*Parameters!$B$4*Parameters!$B$5</f>
        <v>3.8096666666666667E-6</v>
      </c>
      <c r="F260" s="21">
        <f>E260*Parameters!$C$9*Parameters!$C$10*Parameters!$C$11/(Parameters!$C$8*Parameters!$C$15)</f>
        <v>1.0884761904761904E-7</v>
      </c>
      <c r="G260" s="21">
        <f>E260*Parameters!$C$12*Parameters!$F$24*Parameters!$C$13*Parameters!$C$10*Parameters!$C$11*Parameters!$C$14/(Parameters!$C$8*Parameters!$C$15)</f>
        <v>1.3660463544834883E-7</v>
      </c>
      <c r="H260" s="21">
        <f>F260/Parameters!$B$24</f>
        <v>2.1769523809523809E-4</v>
      </c>
      <c r="I260" s="21">
        <f>G260/Parameters!$B$24</f>
        <v>2.7320927089669766E-4</v>
      </c>
      <c r="J260" s="21">
        <f t="shared" si="6"/>
        <v>4.9090450899193575E-4</v>
      </c>
      <c r="K260" s="21">
        <f>F260*Parameters!$C$15/Parameters!$C$16</f>
        <v>1.0884761904761903E-7</v>
      </c>
      <c r="L260" s="21">
        <f>G260*Parameters!$C$15/Parameters!$C$16</f>
        <v>1.3660463544834883E-7</v>
      </c>
      <c r="M260" s="21">
        <f>K260*Parameters!$C$24</f>
        <v>3.7008190476190472E-8</v>
      </c>
      <c r="N260" s="21">
        <f>L260*Parameters!$C$24</f>
        <v>4.6445576052438607E-8</v>
      </c>
      <c r="O260" s="21">
        <f t="shared" si="7"/>
        <v>8.3453766528629079E-8</v>
      </c>
    </row>
    <row r="261" spans="1:15" ht="15" customHeight="1" x14ac:dyDescent="0.25">
      <c r="A261" s="10" t="s">
        <v>61</v>
      </c>
      <c r="B261" s="10" t="s">
        <v>169</v>
      </c>
      <c r="C261" s="10" t="s">
        <v>24</v>
      </c>
      <c r="D261" s="8">
        <f>Zone_Site_Means!$H$13</f>
        <v>6.133</v>
      </c>
      <c r="E261" s="21">
        <f>D261*Parameters!$B$4*Parameters!$B$5</f>
        <v>6.1330000000000004E-6</v>
      </c>
      <c r="F261" s="21">
        <f>E261*Parameters!$C$9*Parameters!$C$10*Parameters!$C$11/(Parameters!$C$8*Parameters!$C$15)</f>
        <v>1.7522857142857143E-7</v>
      </c>
      <c r="G261" s="21">
        <f>E261*Parameters!$C$12*Parameters!$F$25*Parameters!$C$13*Parameters!$C$10*Parameters!$C$11*Parameters!$C$14/(Parameters!$C$8*Parameters!$C$15)</f>
        <v>2.1893108195156919E-7</v>
      </c>
      <c r="H261" s="21">
        <f>F261/Parameters!$B$25</f>
        <v>3.5045714285714287E-4</v>
      </c>
      <c r="I261" s="21">
        <f>G261/Parameters!$B$25</f>
        <v>4.3786216390313837E-4</v>
      </c>
      <c r="J261" s="21">
        <f t="shared" ref="J261:J324" si="8">H261+I261</f>
        <v>7.8831930676028124E-4</v>
      </c>
      <c r="K261" s="21">
        <f>F261*Parameters!$C$15/Parameters!$C$16</f>
        <v>1.752285714285714E-7</v>
      </c>
      <c r="L261" s="21">
        <f>G261*Parameters!$C$15/Parameters!$C$16</f>
        <v>2.1893108195156919E-7</v>
      </c>
      <c r="M261" s="21">
        <f>K261*Parameters!$C$25</f>
        <v>5.9577714285714279E-8</v>
      </c>
      <c r="N261" s="21">
        <f>L261*Parameters!$C$25</f>
        <v>7.4436567863533531E-8</v>
      </c>
      <c r="O261" s="21">
        <f t="shared" ref="O261:O324" si="9">M261+N261</f>
        <v>1.340142821492478E-7</v>
      </c>
    </row>
    <row r="262" spans="1:15" ht="15" customHeight="1" x14ac:dyDescent="0.25">
      <c r="A262" s="10" t="s">
        <v>61</v>
      </c>
      <c r="B262" s="10" t="s">
        <v>169</v>
      </c>
      <c r="C262" s="10" t="s">
        <v>25</v>
      </c>
      <c r="D262" s="8">
        <f>Zone_Site_Means!$I$13</f>
        <v>14.393333333333333</v>
      </c>
      <c r="E262" s="21">
        <f>D262*Parameters!$B$4*Parameters!$B$5</f>
        <v>1.4393333333333333E-5</v>
      </c>
      <c r="F262" s="21">
        <f>E262*Parameters!$C$9*Parameters!$C$10*Parameters!$C$11/(Parameters!$C$8*Parameters!$C$15)</f>
        <v>4.1123809523809518E-7</v>
      </c>
      <c r="G262" s="21">
        <f>E262*Parameters!$C$12*Parameters!$F$26*Parameters!$C$13*Parameters!$C$10*Parameters!$C$11*Parameters!$C$14/(Parameters!$C$8*Parameters!$C$15)</f>
        <v>1.115310631180385E-6</v>
      </c>
      <c r="H262" s="21">
        <f>F262/Parameters!$B$26</f>
        <v>8.2247619047619031E-4</v>
      </c>
      <c r="I262" s="21">
        <f>G262/Parameters!$B$26</f>
        <v>2.2306212623607702E-3</v>
      </c>
      <c r="J262" s="21">
        <f t="shared" si="8"/>
        <v>3.0530974528369605E-3</v>
      </c>
      <c r="K262" s="21">
        <f>F262*Parameters!$C$15/Parameters!$C$16</f>
        <v>4.1123809523809518E-7</v>
      </c>
      <c r="L262" s="21">
        <f>G262*Parameters!$C$15/Parameters!$C$16</f>
        <v>1.115310631180385E-6</v>
      </c>
      <c r="M262" s="21">
        <f>K262*Parameters!$C$26</f>
        <v>1.3982095238095238E-7</v>
      </c>
      <c r="N262" s="21">
        <f>L262*Parameters!$C$26</f>
        <v>3.7920561460133097E-7</v>
      </c>
      <c r="O262" s="21">
        <f t="shared" si="9"/>
        <v>5.190265669822834E-7</v>
      </c>
    </row>
    <row r="263" spans="1:15" ht="15" customHeight="1" x14ac:dyDescent="0.25">
      <c r="A263" s="10" t="s">
        <v>61</v>
      </c>
      <c r="B263" s="10" t="s">
        <v>169</v>
      </c>
      <c r="C263" s="10" t="s">
        <v>26</v>
      </c>
      <c r="D263" s="8">
        <f>Zone_Site_Means!$J$13</f>
        <v>4.386333333333333</v>
      </c>
      <c r="E263" s="21">
        <f>D263*Parameters!$B$4*Parameters!$B$5</f>
        <v>4.3863333333333332E-6</v>
      </c>
      <c r="F263" s="21">
        <f>E263*Parameters!$C$9*Parameters!$C$10*Parameters!$C$11/(Parameters!$C$8*Parameters!$C$15)</f>
        <v>1.253238095238095E-7</v>
      </c>
      <c r="G263" s="21">
        <f>E263*Parameters!$C$12*Parameters!$F$27*Parameters!$C$13*Parameters!$C$10*Parameters!$C$11*Parameters!$C$14/(Parameters!$C$8*Parameters!$C$15)</f>
        <v>7.8533705745806074E-9</v>
      </c>
      <c r="H263" s="21">
        <f>F263/Parameters!$B$27</f>
        <v>4.1774603174603173E-4</v>
      </c>
      <c r="I263" s="21">
        <f>G263/Parameters!$B$27</f>
        <v>2.6177901915268693E-5</v>
      </c>
      <c r="J263" s="21">
        <f t="shared" si="8"/>
        <v>4.4392393366130044E-4</v>
      </c>
      <c r="K263" s="21">
        <f>F263*Parameters!$C$15/Parameters!$C$16</f>
        <v>1.253238095238095E-7</v>
      </c>
      <c r="L263" s="21">
        <f>G263*Parameters!$C$15/Parameters!$C$16</f>
        <v>7.8533705745806074E-9</v>
      </c>
      <c r="M263" s="21">
        <f>K263*Parameters!$C$27</f>
        <v>7.8953999999999986E-7</v>
      </c>
      <c r="N263" s="21">
        <f>L263*Parameters!$C$27</f>
        <v>4.9476234619857825E-8</v>
      </c>
      <c r="O263" s="21">
        <f t="shared" si="9"/>
        <v>8.3901623461985771E-7</v>
      </c>
    </row>
    <row r="264" spans="1:15" ht="15" customHeight="1" x14ac:dyDescent="0.25">
      <c r="A264" s="10" t="s">
        <v>61</v>
      </c>
      <c r="B264" s="10" t="s">
        <v>169</v>
      </c>
      <c r="C264" s="10" t="s">
        <v>27</v>
      </c>
      <c r="D264" s="8">
        <f>Zone_Site_Means!$K$13</f>
        <v>7.6533333333333333</v>
      </c>
      <c r="E264" s="21">
        <f>D264*Parameters!$B$4*Parameters!$B$5</f>
        <v>7.6533333333333335E-6</v>
      </c>
      <c r="F264" s="21">
        <f>E264*Parameters!$C$9*Parameters!$C$10*Parameters!$C$11/(Parameters!$C$8*Parameters!$C$15)</f>
        <v>2.1866666666666667E-7</v>
      </c>
      <c r="G264" s="21">
        <f>E264*Parameters!$C$12*Parameters!$F$28*Parameters!$C$13*Parameters!$C$10*Parameters!$C$11*Parameters!$C$14/(Parameters!$C$8*Parameters!$C$15)</f>
        <v>1.3292451600205701E-8</v>
      </c>
      <c r="H264" s="21">
        <f>F264/Parameters!$B$28</f>
        <v>7.2888888888888895E-4</v>
      </c>
      <c r="I264" s="21">
        <f>G264/Parameters!$B$28</f>
        <v>4.430817200068567E-5</v>
      </c>
      <c r="J264" s="21">
        <f t="shared" si="8"/>
        <v>7.7319706088957462E-4</v>
      </c>
      <c r="K264" s="21">
        <f>F264*Parameters!$C$15/Parameters!$C$16</f>
        <v>2.1866666666666669E-7</v>
      </c>
      <c r="L264" s="21">
        <f>G264*Parameters!$C$15/Parameters!$C$16</f>
        <v>1.3292451600205701E-8</v>
      </c>
      <c r="M264" s="21">
        <f>K264*Parameters!$C$28</f>
        <v>3.9360000000000003E-7</v>
      </c>
      <c r="N264" s="21">
        <f>L264*Parameters!$C$28</f>
        <v>2.3926412880370262E-8</v>
      </c>
      <c r="O264" s="21">
        <f t="shared" si="9"/>
        <v>4.1752641288037027E-7</v>
      </c>
    </row>
    <row r="265" spans="1:15" ht="15" customHeight="1" x14ac:dyDescent="0.25">
      <c r="A265" s="10" t="s">
        <v>61</v>
      </c>
      <c r="B265" s="10" t="s">
        <v>169</v>
      </c>
      <c r="C265" s="10" t="s">
        <v>28</v>
      </c>
      <c r="D265" s="8">
        <f>Zone_Site_Means!$L$13</f>
        <v>1.611</v>
      </c>
      <c r="E265" s="21">
        <f>D265*Parameters!$B$4*Parameters!$B$5</f>
        <v>1.6110000000000001E-6</v>
      </c>
      <c r="F265" s="21">
        <f>E265*Parameters!$C$9*Parameters!$C$10*Parameters!$C$11/(Parameters!$C$8*Parameters!$C$15)</f>
        <v>4.6028571428571428E-8</v>
      </c>
      <c r="G265" s="21">
        <f>E265*Parameters!$C$12*Parameters!$F$29*Parameters!$C$13*Parameters!$C$10*Parameters!$C$11*Parameters!$C$14/(Parameters!$C$8*Parameters!$C$15)</f>
        <v>2.5541711732141485E-9</v>
      </c>
      <c r="H265" s="21">
        <f>F265/Parameters!$B$29</f>
        <v>1.5342857142857145E-4</v>
      </c>
      <c r="I265" s="21">
        <f>G265/Parameters!$B$29</f>
        <v>8.5139039107138293E-6</v>
      </c>
      <c r="J265" s="21">
        <f t="shared" si="8"/>
        <v>1.6194247533928528E-4</v>
      </c>
      <c r="K265" s="21">
        <f>F265*Parameters!$C$15/Parameters!$C$16</f>
        <v>4.6028571428571428E-8</v>
      </c>
      <c r="L265" s="21">
        <f>G265*Parameters!$C$15/Parameters!$C$16</f>
        <v>2.5541711732141485E-9</v>
      </c>
      <c r="M265" s="21">
        <f>K265*Parameters!$C$29</f>
        <v>5.9837142857142862E-8</v>
      </c>
      <c r="N265" s="21">
        <f>L265*Parameters!$C$29</f>
        <v>3.3204225251783931E-9</v>
      </c>
      <c r="O265" s="21">
        <f t="shared" si="9"/>
        <v>6.315756538232125E-8</v>
      </c>
    </row>
    <row r="266" spans="1:15" ht="15" customHeight="1" x14ac:dyDescent="0.25">
      <c r="A266" s="10" t="s">
        <v>61</v>
      </c>
      <c r="B266" s="10" t="s">
        <v>169</v>
      </c>
      <c r="C266" s="10" t="s">
        <v>29</v>
      </c>
      <c r="D266" s="8">
        <f>Zone_Site_Means!$M$13</f>
        <v>2.94</v>
      </c>
      <c r="E266" s="21">
        <f>D266*Parameters!$B$4*Parameters!$B$5</f>
        <v>2.9399999999999998E-6</v>
      </c>
      <c r="F266" s="21">
        <f>E266*Parameters!$C$9*Parameters!$C$10*Parameters!$C$11/(Parameters!$C$8*Parameters!$C$15)</f>
        <v>8.3999999999999998E-8</v>
      </c>
      <c r="G266" s="21">
        <f>E266*Parameters!$C$12*Parameters!$F$30*Parameters!$C$13*Parameters!$C$10*Parameters!$C$11*Parameters!$C$14/(Parameters!$C$8*Parameters!$C$15)</f>
        <v>8.8247373639439187E-9</v>
      </c>
      <c r="H266" s="21">
        <f>F266/Parameters!$B$30</f>
        <v>2.8000000000000003E-4</v>
      </c>
      <c r="I266" s="21">
        <f>G266/Parameters!$B$30</f>
        <v>2.9415791213146398E-5</v>
      </c>
      <c r="J266" s="21">
        <f t="shared" si="8"/>
        <v>3.0941579121314644E-4</v>
      </c>
      <c r="K266" s="21">
        <f>F266*Parameters!$C$15/Parameters!$C$16</f>
        <v>8.3999999999999998E-8</v>
      </c>
      <c r="L266" s="21">
        <f>G266*Parameters!$C$15/Parameters!$C$16</f>
        <v>8.8247373639439187E-9</v>
      </c>
      <c r="M266" s="21">
        <f>K266*Parameters!$C$30</f>
        <v>0</v>
      </c>
      <c r="N266" s="21">
        <f>L266*Parameters!$C$30</f>
        <v>0</v>
      </c>
      <c r="O266" s="21">
        <f t="shared" si="9"/>
        <v>0</v>
      </c>
    </row>
    <row r="267" spans="1:15" ht="15" customHeight="1" x14ac:dyDescent="0.25">
      <c r="A267" s="10" t="s">
        <v>61</v>
      </c>
      <c r="B267" s="10" t="s">
        <v>169</v>
      </c>
      <c r="C267" s="10" t="s">
        <v>30</v>
      </c>
      <c r="D267" s="8">
        <f>Zone_Site_Means!$N$13</f>
        <v>1.6553333333333333</v>
      </c>
      <c r="E267" s="21">
        <f>D267*Parameters!$B$4*Parameters!$B$5</f>
        <v>1.6553333333333333E-6</v>
      </c>
      <c r="F267" s="21">
        <f>E267*Parameters!$C$9*Parameters!$C$10*Parameters!$C$11/(Parameters!$C$8*Parameters!$C$15)</f>
        <v>4.7295238095238092E-8</v>
      </c>
      <c r="G267" s="21">
        <f>E267*Parameters!$C$12*Parameters!$F$31*Parameters!$C$13*Parameters!$C$10*Parameters!$C$11*Parameters!$C$14/(Parameters!$C$8*Parameters!$C$15)</f>
        <v>6.902269607762393E-8</v>
      </c>
      <c r="H267" s="21">
        <f>F267/Parameters!$B$31</f>
        <v>1.5765079365079363E-3</v>
      </c>
      <c r="I267" s="21">
        <f>G267/Parameters!$B$31</f>
        <v>2.3007565359207975E-3</v>
      </c>
      <c r="J267" s="21">
        <f t="shared" si="8"/>
        <v>3.8772644724287338E-3</v>
      </c>
      <c r="K267" s="21">
        <f>F267*Parameters!$C$15/Parameters!$C$16</f>
        <v>4.7295238095238092E-8</v>
      </c>
      <c r="L267" s="21">
        <f>G267*Parameters!$C$15/Parameters!$C$16</f>
        <v>6.902269607762393E-8</v>
      </c>
      <c r="M267" s="21">
        <f>K267*Parameters!$C$31</f>
        <v>8.0401904761904758E-7</v>
      </c>
      <c r="N267" s="21">
        <f>L267*Parameters!$C$31</f>
        <v>1.1733858333196067E-6</v>
      </c>
      <c r="O267" s="21">
        <f t="shared" si="9"/>
        <v>1.9774048809386542E-6</v>
      </c>
    </row>
    <row r="268" spans="1:15" ht="15" customHeight="1" x14ac:dyDescent="0.25">
      <c r="A268" s="10" t="s">
        <v>61</v>
      </c>
      <c r="B268" s="10" t="s">
        <v>169</v>
      </c>
      <c r="C268" s="10" t="s">
        <v>31</v>
      </c>
      <c r="D268" s="8">
        <f>Zone_Site_Means!$O$13</f>
        <v>3.2873333333333332</v>
      </c>
      <c r="E268" s="21">
        <f>D268*Parameters!$B$4*Parameters!$B$5</f>
        <v>3.2873333333333333E-6</v>
      </c>
      <c r="F268" s="21">
        <f>E268*Parameters!$C$9*Parameters!$C$10*Parameters!$C$11/(Parameters!$C$8*Parameters!$C$15)</f>
        <v>9.3923809523809525E-8</v>
      </c>
      <c r="G268" s="21">
        <f>E268*Parameters!$C$12*Parameters!$F$32*Parameters!$C$13*Parameters!$C$10*Parameters!$C$11*Parameters!$C$14/(Parameters!$C$8*Parameters!$C$15)</f>
        <v>2.0958017667403825E-8</v>
      </c>
      <c r="H268" s="21">
        <f>F268/Parameters!$B$32</f>
        <v>1.8784761904761904E-3</v>
      </c>
      <c r="I268" s="21">
        <f>G268/Parameters!$B$32</f>
        <v>4.1916035334807646E-4</v>
      </c>
      <c r="J268" s="21">
        <f t="shared" si="8"/>
        <v>2.2976365438242669E-3</v>
      </c>
      <c r="K268" s="21">
        <f>F268*Parameters!$C$15/Parameters!$C$16</f>
        <v>9.3923809523809525E-8</v>
      </c>
      <c r="L268" s="21">
        <f>G268*Parameters!$C$15/Parameters!$C$16</f>
        <v>2.0958017667403825E-8</v>
      </c>
      <c r="M268" s="21">
        <f>K268*Parameters!$C$32</f>
        <v>1.5027809523809524E-6</v>
      </c>
      <c r="N268" s="21">
        <f>L268*Parameters!$C$32</f>
        <v>3.353282826784612E-7</v>
      </c>
      <c r="O268" s="21">
        <f t="shared" si="9"/>
        <v>1.8381092350594136E-6</v>
      </c>
    </row>
    <row r="269" spans="1:15" ht="15" customHeight="1" x14ac:dyDescent="0.25">
      <c r="A269" s="10" t="s">
        <v>61</v>
      </c>
      <c r="B269" s="10" t="s">
        <v>169</v>
      </c>
      <c r="C269" s="10" t="s">
        <v>32</v>
      </c>
      <c r="D269" s="8">
        <f>Zone_Site_Means!$P$13</f>
        <v>1.84</v>
      </c>
      <c r="E269" s="21">
        <f>D269*Parameters!$B$4*Parameters!$B$5</f>
        <v>1.8400000000000002E-6</v>
      </c>
      <c r="F269" s="21">
        <f>E269*Parameters!$C$9*Parameters!$C$10*Parameters!$C$11/(Parameters!$C$8*Parameters!$C$15)</f>
        <v>5.2571428571428575E-8</v>
      </c>
      <c r="G269" s="21">
        <f>E269*Parameters!$C$12*Parameters!$F$33*Parameters!$C$13*Parameters!$C$10*Parameters!$C$11*Parameters!$C$14/(Parameters!$C$8*Parameters!$C$15)</f>
        <v>3.748247686953149E-8</v>
      </c>
      <c r="H269" s="21">
        <f>F269/Parameters!$B$33</f>
        <v>1.0514285714285714E-4</v>
      </c>
      <c r="I269" s="21">
        <f>G269/Parameters!$B$33</f>
        <v>7.4964953739062982E-5</v>
      </c>
      <c r="J269" s="21">
        <f t="shared" si="8"/>
        <v>1.8010781088192014E-4</v>
      </c>
      <c r="K269" s="21">
        <f>F269*Parameters!$C$15/Parameters!$C$16</f>
        <v>5.2571428571428575E-8</v>
      </c>
      <c r="L269" s="21">
        <f>G269*Parameters!$C$15/Parameters!$C$16</f>
        <v>3.748247686953149E-8</v>
      </c>
      <c r="M269" s="21">
        <f>K269*Parameters!$C$33</f>
        <v>2.3657142857142859E-7</v>
      </c>
      <c r="N269" s="21">
        <f>L269*Parameters!$C$33</f>
        <v>1.686711459128917E-7</v>
      </c>
      <c r="O269" s="21">
        <f t="shared" si="9"/>
        <v>4.0524257448432032E-7</v>
      </c>
    </row>
    <row r="270" spans="1:15" ht="15" customHeight="1" x14ac:dyDescent="0.25">
      <c r="A270" s="10" t="s">
        <v>61</v>
      </c>
      <c r="B270" s="10" t="s">
        <v>169</v>
      </c>
      <c r="C270" s="10" t="s">
        <v>33</v>
      </c>
      <c r="D270" s="8">
        <f>Zone_Site_Means!$Q$13</f>
        <v>3.1616666666666666</v>
      </c>
      <c r="E270" s="21">
        <f>D270*Parameters!$B$4*Parameters!$B$5</f>
        <v>3.1616666666666667E-6</v>
      </c>
      <c r="F270" s="21">
        <f>E270*Parameters!$C$9*Parameters!$C$10*Parameters!$C$11/(Parameters!$C$8*Parameters!$C$15)</f>
        <v>9.0333333333333335E-8</v>
      </c>
      <c r="G270" s="21">
        <f>E270*Parameters!$C$12*Parameters!$F$34*Parameters!$C$13*Parameters!$C$10*Parameters!$C$11*Parameters!$C$14/(Parameters!$C$8*Parameters!$C$15)</f>
        <v>9.5527088005580568E-9</v>
      </c>
      <c r="H270" s="21">
        <f>F270/Parameters!$B$34</f>
        <v>6.9487179487179489E-3</v>
      </c>
      <c r="I270" s="21">
        <f>G270/Parameters!$B$34</f>
        <v>7.3482375388908138E-4</v>
      </c>
      <c r="J270" s="21">
        <f t="shared" si="8"/>
        <v>7.6835417026070302E-3</v>
      </c>
      <c r="K270" s="21">
        <f>F270*Parameters!$C$15/Parameters!$C$16</f>
        <v>9.0333333333333335E-8</v>
      </c>
      <c r="L270" s="21">
        <f>G270*Parameters!$C$15/Parameters!$C$16</f>
        <v>9.5527088005580568E-9</v>
      </c>
      <c r="M270" s="21">
        <f>K270*Parameters!$C$34</f>
        <v>8.2203333333333333E-7</v>
      </c>
      <c r="N270" s="21">
        <f>L270*Parameters!$C$34</f>
        <v>8.6929650085078318E-8</v>
      </c>
      <c r="O270" s="21">
        <f t="shared" si="9"/>
        <v>9.0896298341841159E-7</v>
      </c>
    </row>
    <row r="271" spans="1:15" ht="15" customHeight="1" x14ac:dyDescent="0.25">
      <c r="A271" s="10" t="s">
        <v>61</v>
      </c>
      <c r="B271" s="10" t="s">
        <v>170</v>
      </c>
      <c r="C271" s="10" t="s">
        <v>20</v>
      </c>
      <c r="D271" s="8">
        <f>Zone_Site_Means!$D$13</f>
        <v>3.5516666666666663</v>
      </c>
      <c r="E271" s="21">
        <f>D271*Parameters!$B$4*Parameters!$B$5</f>
        <v>3.5516666666666664E-6</v>
      </c>
      <c r="F271" s="21">
        <f>E271*Parameters!$D$9*Parameters!$D$10*Parameters!$D$11/(Parameters!$D$8*Parameters!$D$15)</f>
        <v>2.3677777777777775E-7</v>
      </c>
      <c r="G271" s="21">
        <f>E271*Parameters!$D$12*Parameters!$F$21*Parameters!$D$13*Parameters!$D$10*Parameters!$D$11*Parameters!$D$14/(Parameters!$D$8*Parameters!$D$15)</f>
        <v>7.764989553905126E-7</v>
      </c>
      <c r="H271" s="21">
        <f>F271/Parameters!$B$21</f>
        <v>4.7355555555555551E-4</v>
      </c>
      <c r="I271" s="21">
        <f>G271/Parameters!$B$21</f>
        <v>1.5529979107810252E-3</v>
      </c>
      <c r="J271" s="21">
        <f t="shared" si="8"/>
        <v>2.0265534663365808E-3</v>
      </c>
      <c r="K271" s="21">
        <f>F271*Parameters!$D$15/Parameters!$D$16</f>
        <v>2.0295238095238092E-8</v>
      </c>
      <c r="L271" s="21">
        <f>G271*Parameters!$D$15/Parameters!$D$16</f>
        <v>6.6557053319186802E-8</v>
      </c>
      <c r="M271" s="21">
        <f>K271*Parameters!$C$21</f>
        <v>6.9003809523809521E-9</v>
      </c>
      <c r="N271" s="21">
        <f>L271*Parameters!$C$21</f>
        <v>2.2629398128523513E-8</v>
      </c>
      <c r="O271" s="21">
        <f t="shared" si="9"/>
        <v>2.9529779080904464E-8</v>
      </c>
    </row>
    <row r="272" spans="1:15" ht="15" customHeight="1" x14ac:dyDescent="0.25">
      <c r="A272" s="10" t="s">
        <v>61</v>
      </c>
      <c r="B272" s="10" t="s">
        <v>170</v>
      </c>
      <c r="C272" s="10" t="s">
        <v>21</v>
      </c>
      <c r="D272" s="8">
        <f>Zone_Site_Means!$E$13</f>
        <v>4.2263333333333337</v>
      </c>
      <c r="E272" s="21">
        <f>D272*Parameters!$B$4*Parameters!$B$5</f>
        <v>4.2263333333333339E-6</v>
      </c>
      <c r="F272" s="21">
        <f>E272*Parameters!$D$9*Parameters!$D$10*Parameters!$D$11/(Parameters!$D$8*Parameters!$D$15)</f>
        <v>2.8175555555555559E-7</v>
      </c>
      <c r="G272" s="21">
        <f>E272*Parameters!$D$12*Parameters!$F$22*Parameters!$D$13*Parameters!$D$10*Parameters!$D$11*Parameters!$D$14/(Parameters!$D$8*Parameters!$D$15)</f>
        <v>1.1088490369139795E-6</v>
      </c>
      <c r="H272" s="21">
        <f>F272/Parameters!$B$22</f>
        <v>5.6351111111111114E-4</v>
      </c>
      <c r="I272" s="21">
        <f>G272/Parameters!$B$22</f>
        <v>2.2176980738279591E-3</v>
      </c>
      <c r="J272" s="21">
        <f t="shared" si="8"/>
        <v>2.7812091849390703E-3</v>
      </c>
      <c r="K272" s="21">
        <f>F272*Parameters!$D$15/Parameters!$D$16</f>
        <v>2.4150476190476194E-8</v>
      </c>
      <c r="L272" s="21">
        <f>G272*Parameters!$D$15/Parameters!$D$16</f>
        <v>9.5044203164055388E-8</v>
      </c>
      <c r="M272" s="21">
        <f>K272*Parameters!$C$22</f>
        <v>8.2111619047619069E-9</v>
      </c>
      <c r="N272" s="21">
        <f>L272*Parameters!$C$22</f>
        <v>3.2315029075778838E-8</v>
      </c>
      <c r="O272" s="21">
        <f t="shared" si="9"/>
        <v>4.0526190980540748E-8</v>
      </c>
    </row>
    <row r="273" spans="1:15" ht="15" customHeight="1" x14ac:dyDescent="0.25">
      <c r="A273" s="10" t="s">
        <v>61</v>
      </c>
      <c r="B273" s="10" t="s">
        <v>170</v>
      </c>
      <c r="C273" s="10" t="s">
        <v>22</v>
      </c>
      <c r="D273" s="8">
        <f>Zone_Site_Means!$F$13</f>
        <v>3.4160000000000004</v>
      </c>
      <c r="E273" s="21">
        <f>D273*Parameters!$B$4*Parameters!$B$5</f>
        <v>3.4160000000000008E-6</v>
      </c>
      <c r="F273" s="21">
        <f>E273*Parameters!$D$9*Parameters!$D$10*Parameters!$D$11/(Parameters!$D$8*Parameters!$D$15)</f>
        <v>2.2773333333333339E-7</v>
      </c>
      <c r="G273" s="21">
        <f>E273*Parameters!$D$12*Parameters!$F$23*Parameters!$D$13*Parameters!$D$10*Parameters!$D$11*Parameters!$D$14/(Parameters!$D$8*Parameters!$D$15)</f>
        <v>2.8770442298107894E-7</v>
      </c>
      <c r="H273" s="21">
        <f>F273/Parameters!$B$23</f>
        <v>4.5546666666666677E-4</v>
      </c>
      <c r="I273" s="21">
        <f>G273/Parameters!$B$23</f>
        <v>5.7540884596215787E-4</v>
      </c>
      <c r="J273" s="21">
        <f t="shared" si="8"/>
        <v>1.0308755126288247E-3</v>
      </c>
      <c r="K273" s="21">
        <f>F273*Parameters!$D$15/Parameters!$D$16</f>
        <v>1.9520000000000005E-8</v>
      </c>
      <c r="L273" s="21">
        <f>G273*Parameters!$D$15/Parameters!$D$16</f>
        <v>2.4660379112663907E-8</v>
      </c>
      <c r="M273" s="21">
        <f>K273*Parameters!$C$23</f>
        <v>6.6368000000000026E-9</v>
      </c>
      <c r="N273" s="21">
        <f>L273*Parameters!$C$23</f>
        <v>8.3845288983057296E-9</v>
      </c>
      <c r="O273" s="21">
        <f t="shared" si="9"/>
        <v>1.5021328898305732E-8</v>
      </c>
    </row>
    <row r="274" spans="1:15" ht="15" customHeight="1" x14ac:dyDescent="0.25">
      <c r="A274" s="10" t="s">
        <v>61</v>
      </c>
      <c r="B274" s="10" t="s">
        <v>170</v>
      </c>
      <c r="C274" s="10" t="s">
        <v>23</v>
      </c>
      <c r="D274" s="8">
        <f>Zone_Site_Means!$G$13</f>
        <v>3.8096666666666663</v>
      </c>
      <c r="E274" s="21">
        <f>D274*Parameters!$B$4*Parameters!$B$5</f>
        <v>3.8096666666666667E-6</v>
      </c>
      <c r="F274" s="21">
        <f>E274*Parameters!$D$9*Parameters!$D$10*Parameters!$D$11/(Parameters!$D$8*Parameters!$D$15)</f>
        <v>2.5397777777777777E-7</v>
      </c>
      <c r="G274" s="21">
        <f>E274*Parameters!$D$12*Parameters!$F$24*Parameters!$D$13*Parameters!$D$10*Parameters!$D$11*Parameters!$D$14/(Parameters!$D$8*Parameters!$D$15)</f>
        <v>4.0300984404302162E-7</v>
      </c>
      <c r="H274" s="21">
        <f>F274/Parameters!$B$24</f>
        <v>5.0795555555555548E-4</v>
      </c>
      <c r="I274" s="21">
        <f>G274/Parameters!$B$24</f>
        <v>8.0601968808604327E-4</v>
      </c>
      <c r="J274" s="21">
        <f t="shared" si="8"/>
        <v>1.3139752436415989E-3</v>
      </c>
      <c r="K274" s="21">
        <f>F274*Parameters!$D$15/Parameters!$D$16</f>
        <v>2.176952380952381E-8</v>
      </c>
      <c r="L274" s="21">
        <f>G274*Parameters!$D$15/Parameters!$D$16</f>
        <v>3.4543700917973285E-8</v>
      </c>
      <c r="M274" s="21">
        <f>K274*Parameters!$C$24</f>
        <v>7.4016380952380961E-9</v>
      </c>
      <c r="N274" s="21">
        <f>L274*Parameters!$C$24</f>
        <v>1.1744858312110918E-8</v>
      </c>
      <c r="O274" s="21">
        <f t="shared" si="9"/>
        <v>1.9146496407349014E-8</v>
      </c>
    </row>
    <row r="275" spans="1:15" ht="15" customHeight="1" x14ac:dyDescent="0.25">
      <c r="A275" s="10" t="s">
        <v>61</v>
      </c>
      <c r="B275" s="10" t="s">
        <v>170</v>
      </c>
      <c r="C275" s="10" t="s">
        <v>24</v>
      </c>
      <c r="D275" s="8">
        <f>Zone_Site_Means!$H$13</f>
        <v>6.133</v>
      </c>
      <c r="E275" s="21">
        <f>D275*Parameters!$B$4*Parameters!$B$5</f>
        <v>6.1330000000000004E-6</v>
      </c>
      <c r="F275" s="21">
        <f>E275*Parameters!$D$9*Parameters!$D$10*Parameters!$D$11/(Parameters!$D$8*Parameters!$D$15)</f>
        <v>4.0886666666666671E-7</v>
      </c>
      <c r="G275" s="21">
        <f>E275*Parameters!$D$12*Parameters!$F$25*Parameters!$D$13*Parameters!$D$10*Parameters!$D$11*Parameters!$D$14/(Parameters!$D$8*Parameters!$D$15)</f>
        <v>6.4588863257742637E-7</v>
      </c>
      <c r="H275" s="21">
        <f>F275/Parameters!$B$25</f>
        <v>8.1773333333333344E-4</v>
      </c>
      <c r="I275" s="21">
        <f>G275/Parameters!$B$25</f>
        <v>1.2917772651548527E-3</v>
      </c>
      <c r="J275" s="21">
        <f t="shared" si="8"/>
        <v>2.1095105984881863E-3</v>
      </c>
      <c r="K275" s="21">
        <f>F275*Parameters!$D$15/Parameters!$D$16</f>
        <v>3.5045714285714295E-8</v>
      </c>
      <c r="L275" s="21">
        <f>G275*Parameters!$D$15/Parameters!$D$16</f>
        <v>5.5361882792350828E-8</v>
      </c>
      <c r="M275" s="21">
        <f>K275*Parameters!$C$25</f>
        <v>1.1915542857142861E-8</v>
      </c>
      <c r="N275" s="21">
        <f>L275*Parameters!$C$25</f>
        <v>1.8823040149399283E-8</v>
      </c>
      <c r="O275" s="21">
        <f t="shared" si="9"/>
        <v>3.0738583006542143E-8</v>
      </c>
    </row>
    <row r="276" spans="1:15" ht="15" customHeight="1" x14ac:dyDescent="0.25">
      <c r="A276" s="10" t="s">
        <v>61</v>
      </c>
      <c r="B276" s="10" t="s">
        <v>170</v>
      </c>
      <c r="C276" s="10" t="s">
        <v>25</v>
      </c>
      <c r="D276" s="8">
        <f>Zone_Site_Means!$I$13</f>
        <v>14.393333333333333</v>
      </c>
      <c r="E276" s="21">
        <f>D276*Parameters!$B$4*Parameters!$B$5</f>
        <v>1.4393333333333333E-5</v>
      </c>
      <c r="F276" s="21">
        <f>E276*Parameters!$D$9*Parameters!$D$10*Parameters!$D$11/(Parameters!$D$8*Parameters!$D$15)</f>
        <v>9.5955555555555548E-7</v>
      </c>
      <c r="G276" s="21">
        <f>E276*Parameters!$D$12*Parameters!$F$26*Parameters!$D$13*Parameters!$D$10*Parameters!$D$11*Parameters!$D$14/(Parameters!$D$8*Parameters!$D$15)</f>
        <v>3.290380023022592E-6</v>
      </c>
      <c r="H276" s="21">
        <f>F276/Parameters!$B$26</f>
        <v>1.919111111111111E-3</v>
      </c>
      <c r="I276" s="21">
        <f>G276/Parameters!$B$26</f>
        <v>6.5807600460451839E-3</v>
      </c>
      <c r="J276" s="21">
        <f t="shared" si="8"/>
        <v>8.499871157156294E-3</v>
      </c>
      <c r="K276" s="21">
        <f>F276*Parameters!$D$15/Parameters!$D$16</f>
        <v>8.2247619047619032E-8</v>
      </c>
      <c r="L276" s="21">
        <f>G276*Parameters!$D$15/Parameters!$D$16</f>
        <v>2.8203257340193646E-7</v>
      </c>
      <c r="M276" s="21">
        <f>K276*Parameters!$C$26</f>
        <v>2.7964190476190474E-8</v>
      </c>
      <c r="N276" s="21">
        <f>L276*Parameters!$C$26</f>
        <v>9.5891074956658398E-8</v>
      </c>
      <c r="O276" s="21">
        <f t="shared" si="9"/>
        <v>1.2385526543284887E-7</v>
      </c>
    </row>
    <row r="277" spans="1:15" ht="15" customHeight="1" x14ac:dyDescent="0.25">
      <c r="A277" s="10" t="s">
        <v>61</v>
      </c>
      <c r="B277" s="10" t="s">
        <v>170</v>
      </c>
      <c r="C277" s="10" t="s">
        <v>26</v>
      </c>
      <c r="D277" s="8">
        <f>Zone_Site_Means!$J$13</f>
        <v>4.386333333333333</v>
      </c>
      <c r="E277" s="21">
        <f>D277*Parameters!$B$4*Parameters!$B$5</f>
        <v>4.3863333333333332E-6</v>
      </c>
      <c r="F277" s="21">
        <f>E277*Parameters!$D$9*Parameters!$D$10*Parameters!$D$11/(Parameters!$D$8*Parameters!$D$15)</f>
        <v>2.924222222222222E-7</v>
      </c>
      <c r="G277" s="21">
        <f>E277*Parameters!$D$12*Parameters!$F$27*Parameters!$D$13*Parameters!$D$10*Parameters!$D$11*Parameters!$D$14/(Parameters!$D$8*Parameters!$D$15)</f>
        <v>2.3168947672134358E-8</v>
      </c>
      <c r="H277" s="21">
        <f>F277/Parameters!$B$27</f>
        <v>9.7474074074074075E-4</v>
      </c>
      <c r="I277" s="21">
        <f>G277/Parameters!$B$27</f>
        <v>7.7229825573781201E-5</v>
      </c>
      <c r="J277" s="21">
        <f t="shared" si="8"/>
        <v>1.0519705663145219E-3</v>
      </c>
      <c r="K277" s="21">
        <f>F277*Parameters!$D$15/Parameters!$D$16</f>
        <v>2.5064761904761905E-8</v>
      </c>
      <c r="L277" s="21">
        <f>G277*Parameters!$D$15/Parameters!$D$16</f>
        <v>1.9859098004686592E-9</v>
      </c>
      <c r="M277" s="21">
        <f>K277*Parameters!$C$27</f>
        <v>1.5790799999999999E-7</v>
      </c>
      <c r="N277" s="21">
        <f>L277*Parameters!$C$27</f>
        <v>1.2511231742952552E-8</v>
      </c>
      <c r="O277" s="21">
        <f t="shared" si="9"/>
        <v>1.7041923174295253E-7</v>
      </c>
    </row>
    <row r="278" spans="1:15" ht="15" customHeight="1" x14ac:dyDescent="0.25">
      <c r="A278" s="10" t="s">
        <v>61</v>
      </c>
      <c r="B278" s="10" t="s">
        <v>170</v>
      </c>
      <c r="C278" s="10" t="s">
        <v>27</v>
      </c>
      <c r="D278" s="8">
        <f>Zone_Site_Means!$K$13</f>
        <v>7.6533333333333333</v>
      </c>
      <c r="E278" s="21">
        <f>D278*Parameters!$B$4*Parameters!$B$5</f>
        <v>7.6533333333333335E-6</v>
      </c>
      <c r="F278" s="21">
        <f>E278*Parameters!$D$9*Parameters!$D$10*Parameters!$D$11/(Parameters!$D$8*Parameters!$D$15)</f>
        <v>5.102222222222222E-7</v>
      </c>
      <c r="G278" s="21">
        <f>E278*Parameters!$D$12*Parameters!$F$28*Parameters!$D$13*Parameters!$D$10*Parameters!$D$11*Parameters!$D$14/(Parameters!$D$8*Parameters!$D$15)</f>
        <v>3.9215278667273531E-8</v>
      </c>
      <c r="H278" s="21">
        <f>F278/Parameters!$B$28</f>
        <v>1.7007407407407407E-3</v>
      </c>
      <c r="I278" s="21">
        <f>G278/Parameters!$B$28</f>
        <v>1.3071759555757843E-4</v>
      </c>
      <c r="J278" s="21">
        <f t="shared" si="8"/>
        <v>1.8314583362983193E-3</v>
      </c>
      <c r="K278" s="21">
        <f>F278*Parameters!$D$15/Parameters!$D$16</f>
        <v>4.3733333333333335E-8</v>
      </c>
      <c r="L278" s="21">
        <f>G278*Parameters!$D$15/Parameters!$D$16</f>
        <v>3.361309600052017E-9</v>
      </c>
      <c r="M278" s="21">
        <f>K278*Parameters!$C$28</f>
        <v>7.8720000000000006E-8</v>
      </c>
      <c r="N278" s="21">
        <f>L278*Parameters!$C$28</f>
        <v>6.0503572800936307E-9</v>
      </c>
      <c r="O278" s="21">
        <f t="shared" si="9"/>
        <v>8.4770357280093634E-8</v>
      </c>
    </row>
    <row r="279" spans="1:15" ht="15" customHeight="1" x14ac:dyDescent="0.25">
      <c r="A279" s="10" t="s">
        <v>61</v>
      </c>
      <c r="B279" s="10" t="s">
        <v>170</v>
      </c>
      <c r="C279" s="10" t="s">
        <v>28</v>
      </c>
      <c r="D279" s="8">
        <f>Zone_Site_Means!$L$13</f>
        <v>1.611</v>
      </c>
      <c r="E279" s="21">
        <f>D279*Parameters!$B$4*Parameters!$B$5</f>
        <v>1.6110000000000001E-6</v>
      </c>
      <c r="F279" s="21">
        <f>E279*Parameters!$D$9*Parameters!$D$10*Parameters!$D$11/(Parameters!$D$8*Parameters!$D$15)</f>
        <v>1.0740000000000001E-7</v>
      </c>
      <c r="G279" s="21">
        <f>E279*Parameters!$D$12*Parameters!$F$29*Parameters!$D$13*Parameters!$D$10*Parameters!$D$11*Parameters!$D$14/(Parameters!$D$8*Parameters!$D$15)</f>
        <v>7.5352942658041935E-9</v>
      </c>
      <c r="H279" s="21">
        <f>F279/Parameters!$B$29</f>
        <v>3.5800000000000008E-4</v>
      </c>
      <c r="I279" s="21">
        <f>G279/Parameters!$B$29</f>
        <v>2.5117647552680646E-5</v>
      </c>
      <c r="J279" s="21">
        <f t="shared" si="8"/>
        <v>3.8311764755268073E-4</v>
      </c>
      <c r="K279" s="21">
        <f>F279*Parameters!$D$15/Parameters!$D$16</f>
        <v>9.2057142857142862E-9</v>
      </c>
      <c r="L279" s="21">
        <f>G279*Parameters!$D$15/Parameters!$D$16</f>
        <v>6.4588236564035943E-10</v>
      </c>
      <c r="M279" s="21">
        <f>K279*Parameters!$C$29</f>
        <v>1.1967428571428573E-8</v>
      </c>
      <c r="N279" s="21">
        <f>L279*Parameters!$C$29</f>
        <v>8.3964707533246724E-10</v>
      </c>
      <c r="O279" s="21">
        <f t="shared" si="9"/>
        <v>1.2807075646761041E-8</v>
      </c>
    </row>
    <row r="280" spans="1:15" ht="15" customHeight="1" x14ac:dyDescent="0.25">
      <c r="A280" s="10" t="s">
        <v>61</v>
      </c>
      <c r="B280" s="10" t="s">
        <v>170</v>
      </c>
      <c r="C280" s="10" t="s">
        <v>29</v>
      </c>
      <c r="D280" s="8">
        <f>Zone_Site_Means!$M$13</f>
        <v>2.94</v>
      </c>
      <c r="E280" s="21">
        <f>D280*Parameters!$B$4*Parameters!$B$5</f>
        <v>2.9399999999999998E-6</v>
      </c>
      <c r="F280" s="21">
        <f>E280*Parameters!$D$9*Parameters!$D$10*Parameters!$D$11/(Parameters!$D$8*Parameters!$D$15)</f>
        <v>1.9600000000000001E-7</v>
      </c>
      <c r="G280" s="21">
        <f>E280*Parameters!$D$12*Parameters!$F$30*Parameters!$D$13*Parameters!$D$10*Parameters!$D$11*Parameters!$D$14/(Parameters!$D$8*Parameters!$D$15)</f>
        <v>2.6034665786347964E-8</v>
      </c>
      <c r="H280" s="21">
        <f>F280/Parameters!$B$30</f>
        <v>6.5333333333333346E-4</v>
      </c>
      <c r="I280" s="21">
        <f>G280/Parameters!$B$30</f>
        <v>8.6782219287826555E-5</v>
      </c>
      <c r="J280" s="21">
        <f t="shared" si="8"/>
        <v>7.4011555262116005E-4</v>
      </c>
      <c r="K280" s="21">
        <f>F280*Parameters!$D$15/Parameters!$D$16</f>
        <v>1.6800000000000002E-8</v>
      </c>
      <c r="L280" s="21">
        <f>G280*Parameters!$D$15/Parameters!$D$16</f>
        <v>2.2315427816869682E-9</v>
      </c>
      <c r="M280" s="21">
        <f>K280*Parameters!$C$30</f>
        <v>0</v>
      </c>
      <c r="N280" s="21">
        <f>L280*Parameters!$C$30</f>
        <v>0</v>
      </c>
      <c r="O280" s="21">
        <f t="shared" si="9"/>
        <v>0</v>
      </c>
    </row>
    <row r="281" spans="1:15" ht="15" customHeight="1" x14ac:dyDescent="0.25">
      <c r="A281" s="10" t="s">
        <v>61</v>
      </c>
      <c r="B281" s="10" t="s">
        <v>170</v>
      </c>
      <c r="C281" s="10" t="s">
        <v>30</v>
      </c>
      <c r="D281" s="8">
        <f>Zone_Site_Means!$N$13</f>
        <v>1.6553333333333333</v>
      </c>
      <c r="E281" s="21">
        <f>D281*Parameters!$B$4*Parameters!$B$5</f>
        <v>1.6553333333333333E-6</v>
      </c>
      <c r="F281" s="21">
        <f>E281*Parameters!$D$9*Parameters!$D$10*Parameters!$D$11/(Parameters!$D$8*Parameters!$D$15)</f>
        <v>1.1035555555555554E-7</v>
      </c>
      <c r="G281" s="21">
        <f>E281*Parameters!$D$12*Parameters!$F$31*Parameters!$D$13*Parameters!$D$10*Parameters!$D$11*Parameters!$D$14/(Parameters!$D$8*Parameters!$D$15)</f>
        <v>2.0363017616770276E-7</v>
      </c>
      <c r="H281" s="21">
        <f>F281/Parameters!$B$31</f>
        <v>3.678518518518518E-3</v>
      </c>
      <c r="I281" s="21">
        <f>G281/Parameters!$B$31</f>
        <v>6.7876725389234257E-3</v>
      </c>
      <c r="J281" s="21">
        <f t="shared" si="8"/>
        <v>1.0466191057441943E-2</v>
      </c>
      <c r="K281" s="21">
        <f>F281*Parameters!$D$15/Parameters!$D$16</f>
        <v>9.4590476190476178E-9</v>
      </c>
      <c r="L281" s="21">
        <f>G281*Parameters!$D$15/Parameters!$D$16</f>
        <v>1.7454015100088808E-8</v>
      </c>
      <c r="M281" s="21">
        <f>K281*Parameters!$C$31</f>
        <v>1.608038095238095E-7</v>
      </c>
      <c r="N281" s="21">
        <f>L281*Parameters!$C$31</f>
        <v>2.9671825670150972E-7</v>
      </c>
      <c r="O281" s="21">
        <f t="shared" si="9"/>
        <v>4.5752206622531919E-7</v>
      </c>
    </row>
    <row r="282" spans="1:15" ht="15" customHeight="1" x14ac:dyDescent="0.25">
      <c r="A282" s="10" t="s">
        <v>61</v>
      </c>
      <c r="B282" s="10" t="s">
        <v>170</v>
      </c>
      <c r="C282" s="10" t="s">
        <v>31</v>
      </c>
      <c r="D282" s="8">
        <f>Zone_Site_Means!$O$13</f>
        <v>3.2873333333333332</v>
      </c>
      <c r="E282" s="21">
        <f>D282*Parameters!$B$4*Parameters!$B$5</f>
        <v>3.2873333333333333E-6</v>
      </c>
      <c r="F282" s="21">
        <f>E282*Parameters!$D$9*Parameters!$D$10*Parameters!$D$11/(Parameters!$D$8*Parameters!$D$15)</f>
        <v>2.1915555555555555E-7</v>
      </c>
      <c r="G282" s="21">
        <f>E282*Parameters!$D$12*Parameters!$F$32*Parameters!$D$13*Parameters!$D$10*Parameters!$D$11*Parameters!$D$14/(Parameters!$D$8*Parameters!$D$15)</f>
        <v>6.1830167064754586E-8</v>
      </c>
      <c r="H282" s="21">
        <f>F282/Parameters!$B$32</f>
        <v>4.3831111111111111E-3</v>
      </c>
      <c r="I282" s="21">
        <f>G282/Parameters!$B$32</f>
        <v>1.2366033412950915E-3</v>
      </c>
      <c r="J282" s="21">
        <f t="shared" si="8"/>
        <v>5.6197144524062024E-3</v>
      </c>
      <c r="K282" s="21">
        <f>F282*Parameters!$D$15/Parameters!$D$16</f>
        <v>1.8784761904761904E-8</v>
      </c>
      <c r="L282" s="21">
        <f>G282*Parameters!$D$15/Parameters!$D$16</f>
        <v>5.2997286055503925E-9</v>
      </c>
      <c r="M282" s="21">
        <f>K282*Parameters!$C$32</f>
        <v>3.0055619047619047E-7</v>
      </c>
      <c r="N282" s="21">
        <f>L282*Parameters!$C$32</f>
        <v>8.479565768880628E-8</v>
      </c>
      <c r="O282" s="21">
        <f t="shared" si="9"/>
        <v>3.8535184816499675E-7</v>
      </c>
    </row>
    <row r="283" spans="1:15" ht="15" customHeight="1" x14ac:dyDescent="0.25">
      <c r="A283" s="10" t="s">
        <v>61</v>
      </c>
      <c r="B283" s="10" t="s">
        <v>170</v>
      </c>
      <c r="C283" s="10" t="s">
        <v>32</v>
      </c>
      <c r="D283" s="8">
        <f>Zone_Site_Means!$P$13</f>
        <v>1.84</v>
      </c>
      <c r="E283" s="21">
        <f>D283*Parameters!$B$4*Parameters!$B$5</f>
        <v>1.8400000000000002E-6</v>
      </c>
      <c r="F283" s="21">
        <f>E283*Parameters!$D$9*Parameters!$D$10*Parameters!$D$11/(Parameters!$D$8*Parameters!$D$15)</f>
        <v>1.2266666666666668E-7</v>
      </c>
      <c r="G283" s="21">
        <f>E283*Parameters!$D$12*Parameters!$F$33*Parameters!$D$13*Parameters!$D$10*Parameters!$D$11*Parameters!$D$14/(Parameters!$D$8*Parameters!$D$15)</f>
        <v>1.1058048731624231E-7</v>
      </c>
      <c r="H283" s="21">
        <f>F283/Parameters!$B$33</f>
        <v>2.4533333333333335E-4</v>
      </c>
      <c r="I283" s="21">
        <f>G283/Parameters!$B$33</f>
        <v>2.2116097463248461E-4</v>
      </c>
      <c r="J283" s="21">
        <f t="shared" si="8"/>
        <v>4.6649430796581796E-4</v>
      </c>
      <c r="K283" s="21">
        <f>F283*Parameters!$D$15/Parameters!$D$16</f>
        <v>1.0514285714285714E-8</v>
      </c>
      <c r="L283" s="21">
        <f>G283*Parameters!$D$15/Parameters!$D$16</f>
        <v>9.4783274842493404E-9</v>
      </c>
      <c r="M283" s="21">
        <f>K283*Parameters!$C$33</f>
        <v>4.7314285714285716E-8</v>
      </c>
      <c r="N283" s="21">
        <f>L283*Parameters!$C$33</f>
        <v>4.2652473679122032E-8</v>
      </c>
      <c r="O283" s="21">
        <f t="shared" si="9"/>
        <v>8.9966759393407748E-8</v>
      </c>
    </row>
    <row r="284" spans="1:15" ht="15" customHeight="1" x14ac:dyDescent="0.25">
      <c r="A284" s="10" t="s">
        <v>61</v>
      </c>
      <c r="B284" s="10" t="s">
        <v>170</v>
      </c>
      <c r="C284" s="10" t="s">
        <v>33</v>
      </c>
      <c r="D284" s="8">
        <f>Zone_Site_Means!$Q$13</f>
        <v>3.1616666666666666</v>
      </c>
      <c r="E284" s="21">
        <f>D284*Parameters!$B$4*Parameters!$B$5</f>
        <v>3.1616666666666667E-6</v>
      </c>
      <c r="F284" s="21">
        <f>E284*Parameters!$D$9*Parameters!$D$10*Parameters!$D$11/(Parameters!$D$8*Parameters!$D$15)</f>
        <v>2.1077777777777778E-7</v>
      </c>
      <c r="G284" s="21">
        <f>E284*Parameters!$D$12*Parameters!$F$34*Parameters!$D$13*Parameters!$D$10*Parameters!$D$11*Parameters!$D$14/(Parameters!$D$8*Parameters!$D$15)</f>
        <v>2.8182320982489285E-8</v>
      </c>
      <c r="H284" s="21">
        <f>F284/Parameters!$B$34</f>
        <v>1.6213675213675213E-2</v>
      </c>
      <c r="I284" s="21">
        <f>G284/Parameters!$B$34</f>
        <v>2.1678708448068683E-3</v>
      </c>
      <c r="J284" s="21">
        <f t="shared" si="8"/>
        <v>1.8381546058482082E-2</v>
      </c>
      <c r="K284" s="21">
        <f>F284*Parameters!$D$15/Parameters!$D$16</f>
        <v>1.8066666666666666E-8</v>
      </c>
      <c r="L284" s="21">
        <f>G284*Parameters!$D$15/Parameters!$D$16</f>
        <v>2.4156275127847959E-9</v>
      </c>
      <c r="M284" s="21">
        <f>K284*Parameters!$C$34</f>
        <v>1.6440666666666666E-7</v>
      </c>
      <c r="N284" s="21">
        <f>L284*Parameters!$C$34</f>
        <v>2.1982210366341642E-8</v>
      </c>
      <c r="O284" s="21">
        <f t="shared" si="9"/>
        <v>1.8638887703300831E-7</v>
      </c>
    </row>
    <row r="285" spans="1:15" ht="15" customHeight="1" x14ac:dyDescent="0.25">
      <c r="A285" s="10" t="s">
        <v>66</v>
      </c>
      <c r="B285" s="10" t="s">
        <v>169</v>
      </c>
      <c r="C285" s="10" t="s">
        <v>20</v>
      </c>
      <c r="D285" s="8">
        <f>Zone_Site_Means!$D$14</f>
        <v>4.1109999999999998</v>
      </c>
      <c r="E285" s="21">
        <f>D285*Parameters!$B$4*Parameters!$B$5</f>
        <v>4.1110000000000001E-6</v>
      </c>
      <c r="F285" s="21">
        <f>E285*Parameters!$C$9*Parameters!$C$10*Parameters!$C$11/(Parameters!$C$8*Parameters!$C$15)</f>
        <v>1.1745714285714286E-7</v>
      </c>
      <c r="G285" s="21">
        <f>E285*Parameters!$C$12*Parameters!$F$21*Parameters!$C$13*Parameters!$C$10*Parameters!$C$11*Parameters!$C$14/(Parameters!$C$8*Parameters!$C$15)</f>
        <v>3.0465333414505015E-7</v>
      </c>
      <c r="H285" s="21">
        <f>F285/Parameters!$B$21</f>
        <v>2.3491428571428572E-4</v>
      </c>
      <c r="I285" s="21">
        <f>G285/Parameters!$B$21</f>
        <v>6.0930666829010023E-4</v>
      </c>
      <c r="J285" s="21">
        <f t="shared" si="8"/>
        <v>8.4422095400438592E-4</v>
      </c>
      <c r="K285" s="21">
        <f>F285*Parameters!$C$15/Parameters!$C$16</f>
        <v>1.1745714285714286E-7</v>
      </c>
      <c r="L285" s="21">
        <f>G285*Parameters!$C$15/Parameters!$C$16</f>
        <v>3.0465333414505015E-7</v>
      </c>
      <c r="M285" s="21">
        <f>K285*Parameters!$C$21</f>
        <v>3.9935428571428574E-8</v>
      </c>
      <c r="N285" s="21">
        <f>L285*Parameters!$C$21</f>
        <v>1.0358213360931705E-7</v>
      </c>
      <c r="O285" s="21">
        <f t="shared" si="9"/>
        <v>1.4351756218074564E-7</v>
      </c>
    </row>
    <row r="286" spans="1:15" ht="15" customHeight="1" x14ac:dyDescent="0.25">
      <c r="A286" s="10" t="s">
        <v>66</v>
      </c>
      <c r="B286" s="10" t="s">
        <v>169</v>
      </c>
      <c r="C286" s="10" t="s">
        <v>21</v>
      </c>
      <c r="D286" s="8">
        <f>Zone_Site_Means!$E$14</f>
        <v>4.1580000000000004</v>
      </c>
      <c r="E286" s="21">
        <f>D286*Parameters!$B$4*Parameters!$B$5</f>
        <v>4.1580000000000007E-6</v>
      </c>
      <c r="F286" s="21">
        <f>E286*Parameters!$C$9*Parameters!$C$10*Parameters!$C$11/(Parameters!$C$8*Parameters!$C$15)</f>
        <v>1.1880000000000003E-7</v>
      </c>
      <c r="G286" s="21">
        <f>E286*Parameters!$C$12*Parameters!$F$22*Parameters!$C$13*Parameters!$C$10*Parameters!$C$11*Parameters!$C$14/(Parameters!$C$8*Parameters!$C$15)</f>
        <v>3.6977959601543404E-7</v>
      </c>
      <c r="H286" s="21">
        <f>F286/Parameters!$B$22</f>
        <v>2.3760000000000006E-4</v>
      </c>
      <c r="I286" s="21">
        <f>G286/Parameters!$B$22</f>
        <v>7.3955919203086808E-4</v>
      </c>
      <c r="J286" s="21">
        <f t="shared" si="8"/>
        <v>9.7715919203086822E-4</v>
      </c>
      <c r="K286" s="21">
        <f>F286*Parameters!$C$15/Parameters!$C$16</f>
        <v>1.1880000000000003E-7</v>
      </c>
      <c r="L286" s="21">
        <f>G286*Parameters!$C$15/Parameters!$C$16</f>
        <v>3.6977959601543404E-7</v>
      </c>
      <c r="M286" s="21">
        <f>K286*Parameters!$C$22</f>
        <v>4.0392000000000015E-8</v>
      </c>
      <c r="N286" s="21">
        <f>L286*Parameters!$C$22</f>
        <v>1.2572506264524758E-7</v>
      </c>
      <c r="O286" s="21">
        <f t="shared" si="9"/>
        <v>1.6611706264524759E-7</v>
      </c>
    </row>
    <row r="287" spans="1:15" ht="15" customHeight="1" x14ac:dyDescent="0.25">
      <c r="A287" s="10" t="s">
        <v>66</v>
      </c>
      <c r="B287" s="10" t="s">
        <v>169</v>
      </c>
      <c r="C287" s="10" t="s">
        <v>22</v>
      </c>
      <c r="D287" s="8">
        <f>Zone_Site_Means!$F$14</f>
        <v>4.8386666666666658</v>
      </c>
      <c r="E287" s="21">
        <f>D287*Parameters!$B$4*Parameters!$B$5</f>
        <v>4.8386666666666657E-6</v>
      </c>
      <c r="F287" s="21">
        <f>E287*Parameters!$C$9*Parameters!$C$10*Parameters!$C$11/(Parameters!$C$8*Parameters!$C$15)</f>
        <v>1.38247619047619E-7</v>
      </c>
      <c r="G287" s="21">
        <f>E287*Parameters!$C$12*Parameters!$F$23*Parameters!$C$13*Parameters!$C$10*Parameters!$C$11*Parameters!$C$14/(Parameters!$C$8*Parameters!$C$15)</f>
        <v>1.3813513722566859E-7</v>
      </c>
      <c r="H287" s="21">
        <f>F287/Parameters!$B$23</f>
        <v>2.76495238095238E-4</v>
      </c>
      <c r="I287" s="21">
        <f>G287/Parameters!$B$23</f>
        <v>2.7627027445133715E-4</v>
      </c>
      <c r="J287" s="21">
        <f t="shared" si="8"/>
        <v>5.5276551254657515E-4</v>
      </c>
      <c r="K287" s="21">
        <f>F287*Parameters!$C$15/Parameters!$C$16</f>
        <v>1.38247619047619E-7</v>
      </c>
      <c r="L287" s="21">
        <f>G287*Parameters!$C$15/Parameters!$C$16</f>
        <v>1.3813513722566859E-7</v>
      </c>
      <c r="M287" s="21">
        <f>K287*Parameters!$C$23</f>
        <v>4.7004190476190464E-8</v>
      </c>
      <c r="N287" s="21">
        <f>L287*Parameters!$C$23</f>
        <v>4.6965946656727323E-8</v>
      </c>
      <c r="O287" s="21">
        <f t="shared" si="9"/>
        <v>9.3970137132917794E-8</v>
      </c>
    </row>
    <row r="288" spans="1:15" ht="15" customHeight="1" x14ac:dyDescent="0.25">
      <c r="A288" s="10" t="s">
        <v>66</v>
      </c>
      <c r="B288" s="10" t="s">
        <v>169</v>
      </c>
      <c r="C288" s="10" t="s">
        <v>23</v>
      </c>
      <c r="D288" s="8">
        <f>Zone_Site_Means!$G$14</f>
        <v>4.0270000000000001</v>
      </c>
      <c r="E288" s="21">
        <f>D288*Parameters!$B$4*Parameters!$B$5</f>
        <v>4.0270000000000006E-6</v>
      </c>
      <c r="F288" s="21">
        <f>E288*Parameters!$C$9*Parameters!$C$10*Parameters!$C$11/(Parameters!$C$8*Parameters!$C$15)</f>
        <v>1.1505714285714286E-7</v>
      </c>
      <c r="G288" s="21">
        <f>E288*Parameters!$C$12*Parameters!$F$24*Parameters!$C$13*Parameters!$C$10*Parameters!$C$11*Parameters!$C$14/(Parameters!$C$8*Parameters!$C$15)</f>
        <v>1.4439763766309413E-7</v>
      </c>
      <c r="H288" s="21">
        <f>F288/Parameters!$B$24</f>
        <v>2.3011428571428571E-4</v>
      </c>
      <c r="I288" s="21">
        <f>G288/Parameters!$B$24</f>
        <v>2.8879527532618828E-4</v>
      </c>
      <c r="J288" s="21">
        <f t="shared" si="8"/>
        <v>5.1890956104047397E-4</v>
      </c>
      <c r="K288" s="21">
        <f>F288*Parameters!$C$15/Parameters!$C$16</f>
        <v>1.1505714285714288E-7</v>
      </c>
      <c r="L288" s="21">
        <f>G288*Parameters!$C$15/Parameters!$C$16</f>
        <v>1.4439763766309413E-7</v>
      </c>
      <c r="M288" s="21">
        <f>K288*Parameters!$C$24</f>
        <v>3.9119428571428582E-8</v>
      </c>
      <c r="N288" s="21">
        <f>L288*Parameters!$C$24</f>
        <v>4.9095196805452007E-8</v>
      </c>
      <c r="O288" s="21">
        <f t="shared" si="9"/>
        <v>8.8214625376880589E-8</v>
      </c>
    </row>
    <row r="289" spans="1:15" ht="15" customHeight="1" x14ac:dyDescent="0.25">
      <c r="A289" s="10" t="s">
        <v>66</v>
      </c>
      <c r="B289" s="10" t="s">
        <v>169</v>
      </c>
      <c r="C289" s="10" t="s">
        <v>24</v>
      </c>
      <c r="D289" s="8">
        <f>Zone_Site_Means!$H$14</f>
        <v>6.0986666666666665</v>
      </c>
      <c r="E289" s="21">
        <f>D289*Parameters!$B$4*Parameters!$B$5</f>
        <v>6.0986666666666663E-6</v>
      </c>
      <c r="F289" s="21">
        <f>E289*Parameters!$C$9*Parameters!$C$10*Parameters!$C$11/(Parameters!$C$8*Parameters!$C$15)</f>
        <v>1.7424761904761903E-7</v>
      </c>
      <c r="G289" s="21">
        <f>E289*Parameters!$C$12*Parameters!$F$25*Parameters!$C$13*Parameters!$C$10*Parameters!$C$11*Parameters!$C$14/(Parameters!$C$8*Parameters!$C$15)</f>
        <v>2.177054772208223E-7</v>
      </c>
      <c r="H289" s="21">
        <f>F289/Parameters!$B$25</f>
        <v>3.4849523809523807E-4</v>
      </c>
      <c r="I289" s="21">
        <f>G289/Parameters!$B$25</f>
        <v>4.3541095444164459E-4</v>
      </c>
      <c r="J289" s="21">
        <f t="shared" si="8"/>
        <v>7.8390619253688272E-4</v>
      </c>
      <c r="K289" s="21">
        <f>F289*Parameters!$C$15/Parameters!$C$16</f>
        <v>1.7424761904761906E-7</v>
      </c>
      <c r="L289" s="21">
        <f>G289*Parameters!$C$15/Parameters!$C$16</f>
        <v>2.1770547722082227E-7</v>
      </c>
      <c r="M289" s="21">
        <f>K289*Parameters!$C$25</f>
        <v>5.9244190476190487E-8</v>
      </c>
      <c r="N289" s="21">
        <f>L289*Parameters!$C$25</f>
        <v>7.4019862255079578E-8</v>
      </c>
      <c r="O289" s="21">
        <f t="shared" si="9"/>
        <v>1.3326405273127006E-7</v>
      </c>
    </row>
    <row r="290" spans="1:15" ht="15" customHeight="1" x14ac:dyDescent="0.25">
      <c r="A290" s="10" t="s">
        <v>66</v>
      </c>
      <c r="B290" s="10" t="s">
        <v>169</v>
      </c>
      <c r="C290" s="10" t="s">
        <v>25</v>
      </c>
      <c r="D290" s="8">
        <f>Zone_Site_Means!$I$14</f>
        <v>14.029666666666666</v>
      </c>
      <c r="E290" s="21">
        <f>D290*Parameters!$B$4*Parameters!$B$5</f>
        <v>1.4029666666666665E-5</v>
      </c>
      <c r="F290" s="21">
        <f>E290*Parameters!$C$9*Parameters!$C$10*Parameters!$C$11/(Parameters!$C$8*Parameters!$C$15)</f>
        <v>4.0084761904761907E-7</v>
      </c>
      <c r="G290" s="21">
        <f>E290*Parameters!$C$12*Parameters!$F$26*Parameters!$C$13*Parameters!$C$10*Parameters!$C$11*Parameters!$C$14/(Parameters!$C$8*Parameters!$C$15)</f>
        <v>1.087130828062789E-6</v>
      </c>
      <c r="H290" s="21">
        <f>F290/Parameters!$B$26</f>
        <v>8.0169523809523813E-4</v>
      </c>
      <c r="I290" s="21">
        <f>G290/Parameters!$B$26</f>
        <v>2.1742616561255782E-3</v>
      </c>
      <c r="J290" s="21">
        <f t="shared" si="8"/>
        <v>2.9759568942208164E-3</v>
      </c>
      <c r="K290" s="21">
        <f>F290*Parameters!$C$15/Parameters!$C$16</f>
        <v>4.0084761904761901E-7</v>
      </c>
      <c r="L290" s="21">
        <f>G290*Parameters!$C$15/Parameters!$C$16</f>
        <v>1.087130828062789E-6</v>
      </c>
      <c r="M290" s="21">
        <f>K290*Parameters!$C$26</f>
        <v>1.3628819047619047E-7</v>
      </c>
      <c r="N290" s="21">
        <f>L290*Parameters!$C$26</f>
        <v>3.6962448154134829E-7</v>
      </c>
      <c r="O290" s="21">
        <f t="shared" si="9"/>
        <v>5.0591267201753878E-7</v>
      </c>
    </row>
    <row r="291" spans="1:15" ht="15" customHeight="1" x14ac:dyDescent="0.25">
      <c r="A291" s="10" t="s">
        <v>66</v>
      </c>
      <c r="B291" s="10" t="s">
        <v>169</v>
      </c>
      <c r="C291" s="10" t="s">
        <v>26</v>
      </c>
      <c r="D291" s="8">
        <f>Zone_Site_Means!$J$14</f>
        <v>5.5881666666666669</v>
      </c>
      <c r="E291" s="21">
        <f>D291*Parameters!$B$4*Parameters!$B$5</f>
        <v>5.5881666666666676E-6</v>
      </c>
      <c r="F291" s="21">
        <f>E291*Parameters!$C$9*Parameters!$C$10*Parameters!$C$11/(Parameters!$C$8*Parameters!$C$15)</f>
        <v>1.596619047619048E-7</v>
      </c>
      <c r="G291" s="21">
        <f>E291*Parameters!$C$12*Parameters!$F$27*Parameters!$C$13*Parameters!$C$10*Parameters!$C$11*Parameters!$C$14/(Parameters!$C$8*Parameters!$C$15)</f>
        <v>1.0005154722817584E-8</v>
      </c>
      <c r="H291" s="21">
        <f>F291/Parameters!$B$27</f>
        <v>5.322063492063494E-4</v>
      </c>
      <c r="I291" s="21">
        <f>G291/Parameters!$B$27</f>
        <v>3.3350515742725285E-5</v>
      </c>
      <c r="J291" s="21">
        <f t="shared" si="8"/>
        <v>5.6555686494907465E-4</v>
      </c>
      <c r="K291" s="21">
        <f>F291*Parameters!$C$15/Parameters!$C$16</f>
        <v>1.596619047619048E-7</v>
      </c>
      <c r="L291" s="21">
        <f>G291*Parameters!$C$15/Parameters!$C$16</f>
        <v>1.0005154722817583E-8</v>
      </c>
      <c r="M291" s="21">
        <f>K291*Parameters!$C$27</f>
        <v>1.0058700000000002E-6</v>
      </c>
      <c r="N291" s="21">
        <f>L291*Parameters!$C$27</f>
        <v>6.3032474753750774E-8</v>
      </c>
      <c r="O291" s="21">
        <f t="shared" si="9"/>
        <v>1.068902474753751E-6</v>
      </c>
    </row>
    <row r="292" spans="1:15" ht="15" customHeight="1" x14ac:dyDescent="0.25">
      <c r="A292" s="10" t="s">
        <v>66</v>
      </c>
      <c r="B292" s="10" t="s">
        <v>169</v>
      </c>
      <c r="C292" s="10" t="s">
        <v>27</v>
      </c>
      <c r="D292" s="8">
        <f>Zone_Site_Means!$K$14</f>
        <v>11.009</v>
      </c>
      <c r="E292" s="21">
        <f>D292*Parameters!$B$4*Parameters!$B$5</f>
        <v>1.1009000000000001E-5</v>
      </c>
      <c r="F292" s="21">
        <f>E292*Parameters!$C$9*Parameters!$C$10*Parameters!$C$11/(Parameters!$C$8*Parameters!$C$15)</f>
        <v>3.1454285714285713E-7</v>
      </c>
      <c r="G292" s="21">
        <f>E292*Parameters!$C$12*Parameters!$F$28*Parameters!$C$13*Parameters!$C$10*Parameters!$C$11*Parameters!$C$14/(Parameters!$C$8*Parameters!$C$15)</f>
        <v>1.9120635844947462E-8</v>
      </c>
      <c r="H292" s="21">
        <f>F292/Parameters!$B$28</f>
        <v>1.0484761904761906E-3</v>
      </c>
      <c r="I292" s="21">
        <f>G292/Parameters!$B$28</f>
        <v>6.373545281649155E-5</v>
      </c>
      <c r="J292" s="21">
        <f t="shared" si="8"/>
        <v>1.1122116432926822E-3</v>
      </c>
      <c r="K292" s="21">
        <f>F292*Parameters!$C$15/Parameters!$C$16</f>
        <v>3.1454285714285713E-7</v>
      </c>
      <c r="L292" s="21">
        <f>G292*Parameters!$C$15/Parameters!$C$16</f>
        <v>1.9120635844947462E-8</v>
      </c>
      <c r="M292" s="21">
        <f>K292*Parameters!$C$28</f>
        <v>5.6617714285714288E-7</v>
      </c>
      <c r="N292" s="21">
        <f>L292*Parameters!$C$28</f>
        <v>3.4417144520905433E-8</v>
      </c>
      <c r="O292" s="21">
        <f t="shared" si="9"/>
        <v>6.0059428737804832E-7</v>
      </c>
    </row>
    <row r="293" spans="1:15" ht="15" customHeight="1" x14ac:dyDescent="0.25">
      <c r="A293" s="10" t="s">
        <v>66</v>
      </c>
      <c r="B293" s="10" t="s">
        <v>169</v>
      </c>
      <c r="C293" s="10" t="s">
        <v>28</v>
      </c>
      <c r="D293" s="8">
        <f>Zone_Site_Means!$L$14</f>
        <v>2.2913333333333337</v>
      </c>
      <c r="E293" s="21">
        <f>D293*Parameters!$B$4*Parameters!$B$5</f>
        <v>2.2913333333333338E-6</v>
      </c>
      <c r="F293" s="21">
        <f>E293*Parameters!$C$9*Parameters!$C$10*Parameters!$C$11/(Parameters!$C$8*Parameters!$C$15)</f>
        <v>6.5466666666666684E-8</v>
      </c>
      <c r="G293" s="21">
        <f>E293*Parameters!$C$12*Parameters!$F$29*Parameters!$C$13*Parameters!$C$10*Parameters!$C$11*Parameters!$C$14/(Parameters!$C$8*Parameters!$C$15)</f>
        <v>3.6328103961667827E-9</v>
      </c>
      <c r="H293" s="21">
        <f>F293/Parameters!$B$29</f>
        <v>2.182222222222223E-4</v>
      </c>
      <c r="I293" s="21">
        <f>G293/Parameters!$B$29</f>
        <v>1.210936798722261E-5</v>
      </c>
      <c r="J293" s="21">
        <f t="shared" si="8"/>
        <v>2.3033159020944492E-4</v>
      </c>
      <c r="K293" s="21">
        <f>F293*Parameters!$C$15/Parameters!$C$16</f>
        <v>6.5466666666666684E-8</v>
      </c>
      <c r="L293" s="21">
        <f>G293*Parameters!$C$15/Parameters!$C$16</f>
        <v>3.6328103961667827E-9</v>
      </c>
      <c r="M293" s="21">
        <f>K293*Parameters!$C$29</f>
        <v>8.5106666666666693E-8</v>
      </c>
      <c r="N293" s="21">
        <f>L293*Parameters!$C$29</f>
        <v>4.7226535150168179E-9</v>
      </c>
      <c r="O293" s="21">
        <f t="shared" si="9"/>
        <v>8.9829320181683511E-8</v>
      </c>
    </row>
    <row r="294" spans="1:15" ht="15" customHeight="1" x14ac:dyDescent="0.25">
      <c r="A294" s="10" t="s">
        <v>66</v>
      </c>
      <c r="B294" s="10" t="s">
        <v>169</v>
      </c>
      <c r="C294" s="10" t="s">
        <v>29</v>
      </c>
      <c r="D294" s="8">
        <f>Zone_Site_Means!$M$14</f>
        <v>3.4736666666666665</v>
      </c>
      <c r="E294" s="21">
        <f>D294*Parameters!$B$4*Parameters!$B$5</f>
        <v>3.4736666666666665E-6</v>
      </c>
      <c r="F294" s="21">
        <f>E294*Parameters!$C$9*Parameters!$C$10*Parameters!$C$11/(Parameters!$C$8*Parameters!$C$15)</f>
        <v>9.9247619047619025E-8</v>
      </c>
      <c r="G294" s="21">
        <f>E294*Parameters!$C$12*Parameters!$F$30*Parameters!$C$13*Parameters!$C$10*Parameters!$C$11*Parameters!$C$14/(Parameters!$C$8*Parameters!$C$15)</f>
        <v>1.0426597286809479E-8</v>
      </c>
      <c r="H294" s="21">
        <f>F294/Parameters!$B$30</f>
        <v>3.3082539682539679E-4</v>
      </c>
      <c r="I294" s="21">
        <f>G294/Parameters!$B$30</f>
        <v>3.4755324289364935E-5</v>
      </c>
      <c r="J294" s="21">
        <f t="shared" si="8"/>
        <v>3.6558072111476171E-4</v>
      </c>
      <c r="K294" s="21">
        <f>F294*Parameters!$C$15/Parameters!$C$16</f>
        <v>9.9247619047619012E-8</v>
      </c>
      <c r="L294" s="21">
        <f>G294*Parameters!$C$15/Parameters!$C$16</f>
        <v>1.0426597286809479E-8</v>
      </c>
      <c r="M294" s="21">
        <f>K294*Parameters!$C$30</f>
        <v>0</v>
      </c>
      <c r="N294" s="21">
        <f>L294*Parameters!$C$30</f>
        <v>0</v>
      </c>
      <c r="O294" s="21">
        <f t="shared" si="9"/>
        <v>0</v>
      </c>
    </row>
    <row r="295" spans="1:15" ht="15" customHeight="1" x14ac:dyDescent="0.25">
      <c r="A295" s="10" t="s">
        <v>66</v>
      </c>
      <c r="B295" s="10" t="s">
        <v>169</v>
      </c>
      <c r="C295" s="10" t="s">
        <v>30</v>
      </c>
      <c r="D295" s="8">
        <f>Zone_Site_Means!$N$14</f>
        <v>1.5573333333333335</v>
      </c>
      <c r="E295" s="21">
        <f>D295*Parameters!$B$4*Parameters!$B$5</f>
        <v>1.5573333333333335E-6</v>
      </c>
      <c r="F295" s="21">
        <f>E295*Parameters!$C$9*Parameters!$C$10*Parameters!$C$11/(Parameters!$C$8*Parameters!$C$15)</f>
        <v>4.44952380952381E-8</v>
      </c>
      <c r="G295" s="21">
        <f>E295*Parameters!$C$12*Parameters!$F$31*Parameters!$C$13*Parameters!$C$10*Parameters!$C$11*Parameters!$C$14/(Parameters!$C$8*Parameters!$C$15)</f>
        <v>6.493637456195309E-8</v>
      </c>
      <c r="H295" s="21">
        <f>F295/Parameters!$B$31</f>
        <v>1.4831746031746032E-3</v>
      </c>
      <c r="I295" s="21">
        <f>G295/Parameters!$B$31</f>
        <v>2.1645458187317698E-3</v>
      </c>
      <c r="J295" s="21">
        <f t="shared" si="8"/>
        <v>3.6477204219063728E-3</v>
      </c>
      <c r="K295" s="21">
        <f>F295*Parameters!$C$15/Parameters!$C$16</f>
        <v>4.44952380952381E-8</v>
      </c>
      <c r="L295" s="21">
        <f>G295*Parameters!$C$15/Parameters!$C$16</f>
        <v>6.493637456195309E-8</v>
      </c>
      <c r="M295" s="21">
        <f>K295*Parameters!$C$31</f>
        <v>7.5641904761904771E-7</v>
      </c>
      <c r="N295" s="21">
        <f>L295*Parameters!$C$31</f>
        <v>1.1039183675532025E-6</v>
      </c>
      <c r="O295" s="21">
        <f t="shared" si="9"/>
        <v>1.8603374151722502E-6</v>
      </c>
    </row>
    <row r="296" spans="1:15" ht="15" customHeight="1" x14ac:dyDescent="0.25">
      <c r="A296" s="10" t="s">
        <v>66</v>
      </c>
      <c r="B296" s="10" t="s">
        <v>169</v>
      </c>
      <c r="C296" s="10" t="s">
        <v>31</v>
      </c>
      <c r="D296" s="8">
        <f>Zone_Site_Means!$O$14</f>
        <v>2.6923333333333335</v>
      </c>
      <c r="E296" s="21">
        <f>D296*Parameters!$B$4*Parameters!$B$5</f>
        <v>2.6923333333333334E-6</v>
      </c>
      <c r="F296" s="21">
        <f>E296*Parameters!$C$9*Parameters!$C$10*Parameters!$C$11/(Parameters!$C$8*Parameters!$C$15)</f>
        <v>7.6923809523809519E-8</v>
      </c>
      <c r="G296" s="21">
        <f>E296*Parameters!$C$12*Parameters!$F$32*Parameters!$C$13*Parameters!$C$10*Parameters!$C$11*Parameters!$C$14/(Parameters!$C$8*Parameters!$C$15)</f>
        <v>1.7164663222431623E-8</v>
      </c>
      <c r="H296" s="21">
        <f>F296/Parameters!$B$32</f>
        <v>1.5384761904761904E-3</v>
      </c>
      <c r="I296" s="21">
        <f>G296/Parameters!$B$32</f>
        <v>3.4329326444863242E-4</v>
      </c>
      <c r="J296" s="21">
        <f t="shared" si="8"/>
        <v>1.8817694549248228E-3</v>
      </c>
      <c r="K296" s="21">
        <f>F296*Parameters!$C$15/Parameters!$C$16</f>
        <v>7.6923809523809519E-8</v>
      </c>
      <c r="L296" s="21">
        <f>G296*Parameters!$C$15/Parameters!$C$16</f>
        <v>1.7164663222431623E-8</v>
      </c>
      <c r="M296" s="21">
        <f>K296*Parameters!$C$32</f>
        <v>1.2307809523809523E-6</v>
      </c>
      <c r="N296" s="21">
        <f>L296*Parameters!$C$32</f>
        <v>2.7463461155890597E-7</v>
      </c>
      <c r="O296" s="21">
        <f t="shared" si="9"/>
        <v>1.5054155639398583E-6</v>
      </c>
    </row>
    <row r="297" spans="1:15" ht="15" customHeight="1" x14ac:dyDescent="0.25">
      <c r="A297" s="10" t="s">
        <v>66</v>
      </c>
      <c r="B297" s="10" t="s">
        <v>169</v>
      </c>
      <c r="C297" s="10" t="s">
        <v>32</v>
      </c>
      <c r="D297" s="8">
        <f>Zone_Site_Means!$P$14</f>
        <v>0.5</v>
      </c>
      <c r="E297" s="21">
        <f>D297*Parameters!$B$4*Parameters!$B$5</f>
        <v>4.9999999999999998E-7</v>
      </c>
      <c r="F297" s="21">
        <f>E297*Parameters!$C$9*Parameters!$C$10*Parameters!$C$11/(Parameters!$C$8*Parameters!$C$15)</f>
        <v>1.4285714285714286E-8</v>
      </c>
      <c r="G297" s="21">
        <f>E297*Parameters!$C$12*Parameters!$F$33*Parameters!$C$13*Parameters!$C$10*Parameters!$C$11*Parameters!$C$14/(Parameters!$C$8*Parameters!$C$15)</f>
        <v>1.018545567106834E-8</v>
      </c>
      <c r="H297" s="21">
        <f>F297/Parameters!$B$33</f>
        <v>2.8571428571428571E-5</v>
      </c>
      <c r="I297" s="21">
        <f>G297/Parameters!$B$33</f>
        <v>2.0370911342136681E-5</v>
      </c>
      <c r="J297" s="21">
        <f t="shared" si="8"/>
        <v>4.8942339913565251E-5</v>
      </c>
      <c r="K297" s="21">
        <f>F297*Parameters!$C$15/Parameters!$C$16</f>
        <v>1.4285714285714284E-8</v>
      </c>
      <c r="L297" s="21">
        <f>G297*Parameters!$C$15/Parameters!$C$16</f>
        <v>1.0185455671068339E-8</v>
      </c>
      <c r="M297" s="21">
        <f>K297*Parameters!$C$33</f>
        <v>6.4285714285714277E-8</v>
      </c>
      <c r="N297" s="21">
        <f>L297*Parameters!$C$33</f>
        <v>4.5834550519807525E-8</v>
      </c>
      <c r="O297" s="21">
        <f t="shared" si="9"/>
        <v>1.1012026480552181E-7</v>
      </c>
    </row>
    <row r="298" spans="1:15" ht="15" customHeight="1" x14ac:dyDescent="0.25">
      <c r="A298" s="10" t="s">
        <v>66</v>
      </c>
      <c r="B298" s="10" t="s">
        <v>169</v>
      </c>
      <c r="C298" s="10" t="s">
        <v>33</v>
      </c>
      <c r="D298" s="8">
        <f>Zone_Site_Means!$Q$14</f>
        <v>2.8649999999999998</v>
      </c>
      <c r="E298" s="21">
        <f>D298*Parameters!$B$4*Parameters!$B$5</f>
        <v>2.8650000000000001E-6</v>
      </c>
      <c r="F298" s="21">
        <f>E298*Parameters!$C$9*Parameters!$C$10*Parameters!$C$11/(Parameters!$C$8*Parameters!$C$15)</f>
        <v>8.1857142857142857E-8</v>
      </c>
      <c r="G298" s="21">
        <f>E298*Parameters!$C$12*Parameters!$F$34*Parameters!$C$13*Parameters!$C$10*Parameters!$C$11*Parameters!$C$14/(Parameters!$C$8*Parameters!$C$15)</f>
        <v>8.6563555235420655E-9</v>
      </c>
      <c r="H298" s="21">
        <f>F298/Parameters!$B$34</f>
        <v>6.2967032967032972E-3</v>
      </c>
      <c r="I298" s="21">
        <f>G298/Parameters!$B$34</f>
        <v>6.6587350181092819E-4</v>
      </c>
      <c r="J298" s="21">
        <f t="shared" si="8"/>
        <v>6.9625767985142251E-3</v>
      </c>
      <c r="K298" s="21">
        <f>F298*Parameters!$C$15/Parameters!$C$16</f>
        <v>8.1857142857142857E-8</v>
      </c>
      <c r="L298" s="21">
        <f>G298*Parameters!$C$15/Parameters!$C$16</f>
        <v>8.6563555235420655E-9</v>
      </c>
      <c r="M298" s="21">
        <f>K298*Parameters!$C$34</f>
        <v>7.4489999999999995E-7</v>
      </c>
      <c r="N298" s="21">
        <f>L298*Parameters!$C$34</f>
        <v>7.8772835264232798E-8</v>
      </c>
      <c r="O298" s="21">
        <f t="shared" si="9"/>
        <v>8.2367283526423275E-7</v>
      </c>
    </row>
    <row r="299" spans="1:15" ht="15" customHeight="1" x14ac:dyDescent="0.25">
      <c r="A299" s="10" t="s">
        <v>66</v>
      </c>
      <c r="B299" s="10" t="s">
        <v>170</v>
      </c>
      <c r="C299" s="10" t="s">
        <v>20</v>
      </c>
      <c r="D299" s="8">
        <f>Zone_Site_Means!$D$14</f>
        <v>4.1109999999999998</v>
      </c>
      <c r="E299" s="21">
        <f>D299*Parameters!$B$4*Parameters!$B$5</f>
        <v>4.1110000000000001E-6</v>
      </c>
      <c r="F299" s="21">
        <f>E299*Parameters!$D$9*Parameters!$D$10*Parameters!$D$11/(Parameters!$D$8*Parameters!$D$15)</f>
        <v>2.7406666666666665E-7</v>
      </c>
      <c r="G299" s="21">
        <f>E299*Parameters!$D$12*Parameters!$F$21*Parameters!$D$13*Parameters!$D$10*Parameters!$D$11*Parameters!$D$14/(Parameters!$D$8*Parameters!$D$15)</f>
        <v>8.9878569843558826E-7</v>
      </c>
      <c r="H299" s="21">
        <f>F299/Parameters!$B$21</f>
        <v>5.4813333333333328E-4</v>
      </c>
      <c r="I299" s="21">
        <f>G299/Parameters!$B$21</f>
        <v>1.7975713968711765E-3</v>
      </c>
      <c r="J299" s="21">
        <f t="shared" si="8"/>
        <v>2.3457047302045098E-3</v>
      </c>
      <c r="K299" s="21">
        <f>F299*Parameters!$D$15/Parameters!$D$16</f>
        <v>2.3491428571428569E-8</v>
      </c>
      <c r="L299" s="21">
        <f>G299*Parameters!$D$15/Parameters!$D$16</f>
        <v>7.7038774151621842E-8</v>
      </c>
      <c r="M299" s="21">
        <f>K299*Parameters!$C$21</f>
        <v>7.9870857142857134E-9</v>
      </c>
      <c r="N299" s="21">
        <f>L299*Parameters!$C$21</f>
        <v>2.6193183211551429E-8</v>
      </c>
      <c r="O299" s="21">
        <f t="shared" si="9"/>
        <v>3.4180268925837146E-8</v>
      </c>
    </row>
    <row r="300" spans="1:15" ht="15" customHeight="1" x14ac:dyDescent="0.25">
      <c r="A300" s="10" t="s">
        <v>66</v>
      </c>
      <c r="B300" s="10" t="s">
        <v>170</v>
      </c>
      <c r="C300" s="10" t="s">
        <v>21</v>
      </c>
      <c r="D300" s="8">
        <f>Zone_Site_Means!$E$14</f>
        <v>4.1580000000000004</v>
      </c>
      <c r="E300" s="21">
        <f>D300*Parameters!$B$4*Parameters!$B$5</f>
        <v>4.1580000000000007E-6</v>
      </c>
      <c r="F300" s="21">
        <f>E300*Parameters!$D$9*Parameters!$D$10*Parameters!$D$11/(Parameters!$D$8*Parameters!$D$15)</f>
        <v>2.7720000000000002E-7</v>
      </c>
      <c r="G300" s="21">
        <f>E300*Parameters!$D$12*Parameters!$F$22*Parameters!$D$13*Parameters!$D$10*Parameters!$D$11*Parameters!$D$14/(Parameters!$D$8*Parameters!$D$15)</f>
        <v>1.0909206472485987E-6</v>
      </c>
      <c r="H300" s="21">
        <f>F300/Parameters!$B$22</f>
        <v>5.5440000000000003E-4</v>
      </c>
      <c r="I300" s="21">
        <f>G300/Parameters!$B$22</f>
        <v>2.1818412944971974E-3</v>
      </c>
      <c r="J300" s="21">
        <f t="shared" si="8"/>
        <v>2.7362412944971974E-3</v>
      </c>
      <c r="K300" s="21">
        <f>F300*Parameters!$D$15/Parameters!$D$16</f>
        <v>2.3759999999999999E-8</v>
      </c>
      <c r="L300" s="21">
        <f>G300*Parameters!$D$15/Parameters!$D$16</f>
        <v>9.3507484049879878E-8</v>
      </c>
      <c r="M300" s="21">
        <f>K300*Parameters!$C$22</f>
        <v>8.0783999999999997E-9</v>
      </c>
      <c r="N300" s="21">
        <f>L300*Parameters!$C$22</f>
        <v>3.1792544576959158E-8</v>
      </c>
      <c r="O300" s="21">
        <f t="shared" si="9"/>
        <v>3.9870944576959161E-8</v>
      </c>
    </row>
    <row r="301" spans="1:15" ht="15" customHeight="1" x14ac:dyDescent="0.25">
      <c r="A301" s="10" t="s">
        <v>66</v>
      </c>
      <c r="B301" s="10" t="s">
        <v>170</v>
      </c>
      <c r="C301" s="10" t="s">
        <v>22</v>
      </c>
      <c r="D301" s="8">
        <f>Zone_Site_Means!$F$14</f>
        <v>4.8386666666666658</v>
      </c>
      <c r="E301" s="21">
        <f>D301*Parameters!$B$4*Parameters!$B$5</f>
        <v>4.8386666666666657E-6</v>
      </c>
      <c r="F301" s="21">
        <f>E301*Parameters!$D$9*Parameters!$D$10*Parameters!$D$11/(Parameters!$D$8*Parameters!$D$15)</f>
        <v>3.2257777777777768E-7</v>
      </c>
      <c r="G301" s="21">
        <f>E301*Parameters!$D$12*Parameters!$F$23*Parameters!$D$13*Parameters!$D$10*Parameters!$D$11*Parameters!$D$14/(Parameters!$D$8*Parameters!$D$15)</f>
        <v>4.0752511748568892E-7</v>
      </c>
      <c r="H301" s="21">
        <f>F301/Parameters!$B$23</f>
        <v>6.4515555555555535E-4</v>
      </c>
      <c r="I301" s="21">
        <f>G301/Parameters!$B$23</f>
        <v>8.1505023497137786E-4</v>
      </c>
      <c r="J301" s="21">
        <f t="shared" si="8"/>
        <v>1.4602057905269332E-3</v>
      </c>
      <c r="K301" s="21">
        <f>F301*Parameters!$D$15/Parameters!$D$16</f>
        <v>2.7649523809523803E-8</v>
      </c>
      <c r="L301" s="21">
        <f>G301*Parameters!$D$15/Parameters!$D$16</f>
        <v>3.4930724355916192E-8</v>
      </c>
      <c r="M301" s="21">
        <f>K301*Parameters!$C$23</f>
        <v>9.4008380952380939E-9</v>
      </c>
      <c r="N301" s="21">
        <f>L301*Parameters!$C$23</f>
        <v>1.1876446281011506E-8</v>
      </c>
      <c r="O301" s="21">
        <f t="shared" si="9"/>
        <v>2.12772843762496E-8</v>
      </c>
    </row>
    <row r="302" spans="1:15" ht="15" customHeight="1" x14ac:dyDescent="0.25">
      <c r="A302" s="10" t="s">
        <v>66</v>
      </c>
      <c r="B302" s="10" t="s">
        <v>170</v>
      </c>
      <c r="C302" s="10" t="s">
        <v>23</v>
      </c>
      <c r="D302" s="8">
        <f>Zone_Site_Means!$G$14</f>
        <v>4.0270000000000001</v>
      </c>
      <c r="E302" s="21">
        <f>D302*Parameters!$B$4*Parameters!$B$5</f>
        <v>4.0270000000000006E-6</v>
      </c>
      <c r="F302" s="21">
        <f>E302*Parameters!$D$9*Parameters!$D$10*Parameters!$D$11/(Parameters!$D$8*Parameters!$D$15)</f>
        <v>2.684666666666667E-7</v>
      </c>
      <c r="G302" s="21">
        <f>E302*Parameters!$D$12*Parameters!$F$24*Parameters!$D$13*Parameters!$D$10*Parameters!$D$11*Parameters!$D$14/(Parameters!$D$8*Parameters!$D$15)</f>
        <v>4.2600069348882187E-7</v>
      </c>
      <c r="H302" s="21">
        <f>F302/Parameters!$B$24</f>
        <v>5.3693333333333334E-4</v>
      </c>
      <c r="I302" s="21">
        <f>G302/Parameters!$B$24</f>
        <v>8.5200138697764374E-4</v>
      </c>
      <c r="J302" s="21">
        <f t="shared" si="8"/>
        <v>1.3889347203109772E-3</v>
      </c>
      <c r="K302" s="21">
        <f>F302*Parameters!$D$15/Parameters!$D$16</f>
        <v>2.3011428571428574E-8</v>
      </c>
      <c r="L302" s="21">
        <f>G302*Parameters!$D$15/Parameters!$D$16</f>
        <v>3.6514345156184729E-8</v>
      </c>
      <c r="M302" s="21">
        <f>K302*Parameters!$C$24</f>
        <v>7.8238857142857163E-9</v>
      </c>
      <c r="N302" s="21">
        <f>L302*Parameters!$C$24</f>
        <v>1.2414877353102808E-8</v>
      </c>
      <c r="O302" s="21">
        <f t="shared" si="9"/>
        <v>2.0238763067388526E-8</v>
      </c>
    </row>
    <row r="303" spans="1:15" ht="15" customHeight="1" x14ac:dyDescent="0.25">
      <c r="A303" s="10" t="s">
        <v>66</v>
      </c>
      <c r="B303" s="10" t="s">
        <v>170</v>
      </c>
      <c r="C303" s="10" t="s">
        <v>24</v>
      </c>
      <c r="D303" s="8">
        <f>Zone_Site_Means!$H$14</f>
        <v>6.0986666666666665</v>
      </c>
      <c r="E303" s="21">
        <f>D303*Parameters!$B$4*Parameters!$B$5</f>
        <v>6.0986666666666663E-6</v>
      </c>
      <c r="F303" s="21">
        <f>E303*Parameters!$D$9*Parameters!$D$10*Parameters!$D$11/(Parameters!$D$8*Parameters!$D$15)</f>
        <v>4.0657777777777775E-7</v>
      </c>
      <c r="G303" s="21">
        <f>E303*Parameters!$D$12*Parameters!$F$25*Parameters!$D$13*Parameters!$D$10*Parameters!$D$11*Parameters!$D$14/(Parameters!$D$8*Parameters!$D$15)</f>
        <v>6.4227286383154485E-7</v>
      </c>
      <c r="H303" s="21">
        <f>F303/Parameters!$B$25</f>
        <v>8.1315555555555553E-4</v>
      </c>
      <c r="I303" s="21">
        <f>G303/Parameters!$B$25</f>
        <v>1.2845457276630897E-3</v>
      </c>
      <c r="J303" s="21">
        <f t="shared" si="8"/>
        <v>2.0977012832186451E-3</v>
      </c>
      <c r="K303" s="21">
        <f>F303*Parameters!$D$15/Parameters!$D$16</f>
        <v>3.4849523809523808E-8</v>
      </c>
      <c r="L303" s="21">
        <f>G303*Parameters!$D$15/Parameters!$D$16</f>
        <v>5.5051959756989559E-8</v>
      </c>
      <c r="M303" s="21">
        <f>K303*Parameters!$C$25</f>
        <v>1.1848838095238095E-8</v>
      </c>
      <c r="N303" s="21">
        <f>L303*Parameters!$C$25</f>
        <v>1.8717666317376451E-8</v>
      </c>
      <c r="O303" s="21">
        <f t="shared" si="9"/>
        <v>3.056650441261455E-8</v>
      </c>
    </row>
    <row r="304" spans="1:15" ht="15" customHeight="1" x14ac:dyDescent="0.25">
      <c r="A304" s="10" t="s">
        <v>66</v>
      </c>
      <c r="B304" s="10" t="s">
        <v>170</v>
      </c>
      <c r="C304" s="10" t="s">
        <v>25</v>
      </c>
      <c r="D304" s="8">
        <f>Zone_Site_Means!$I$14</f>
        <v>14.029666666666666</v>
      </c>
      <c r="E304" s="21">
        <f>D304*Parameters!$B$4*Parameters!$B$5</f>
        <v>1.4029666666666665E-5</v>
      </c>
      <c r="F304" s="21">
        <f>E304*Parameters!$D$9*Parameters!$D$10*Parameters!$D$11/(Parameters!$D$8*Parameters!$D$15)</f>
        <v>9.3531111111111106E-7</v>
      </c>
      <c r="G304" s="21">
        <f>E304*Parameters!$D$12*Parameters!$F$26*Parameters!$D$13*Parameters!$D$10*Parameters!$D$11*Parameters!$D$14/(Parameters!$D$8*Parameters!$D$15)</f>
        <v>3.2072442053959681E-6</v>
      </c>
      <c r="H304" s="21">
        <f>F304/Parameters!$B$26</f>
        <v>1.8706222222222221E-3</v>
      </c>
      <c r="I304" s="21">
        <f>G304/Parameters!$B$26</f>
        <v>6.4144884107919364E-3</v>
      </c>
      <c r="J304" s="21">
        <f t="shared" si="8"/>
        <v>8.2851106330141585E-3</v>
      </c>
      <c r="K304" s="21">
        <f>F304*Parameters!$D$15/Parameters!$D$16</f>
        <v>8.01695238095238E-8</v>
      </c>
      <c r="L304" s="21">
        <f>G304*Parameters!$D$15/Parameters!$D$16</f>
        <v>2.7490664617679724E-7</v>
      </c>
      <c r="M304" s="21">
        <f>K304*Parameters!$C$26</f>
        <v>2.7257638095238094E-8</v>
      </c>
      <c r="N304" s="21">
        <f>L304*Parameters!$C$26</f>
        <v>9.3468259700111072E-8</v>
      </c>
      <c r="O304" s="21">
        <f t="shared" si="9"/>
        <v>1.2072589779534916E-7</v>
      </c>
    </row>
    <row r="305" spans="1:15" ht="15" customHeight="1" x14ac:dyDescent="0.25">
      <c r="A305" s="10" t="s">
        <v>66</v>
      </c>
      <c r="B305" s="10" t="s">
        <v>170</v>
      </c>
      <c r="C305" s="10" t="s">
        <v>26</v>
      </c>
      <c r="D305" s="8">
        <f>Zone_Site_Means!$J$14</f>
        <v>5.5881666666666669</v>
      </c>
      <c r="E305" s="21">
        <f>D305*Parameters!$B$4*Parameters!$B$5</f>
        <v>5.5881666666666676E-6</v>
      </c>
      <c r="F305" s="21">
        <f>E305*Parameters!$D$9*Parameters!$D$10*Parameters!$D$11/(Parameters!$D$8*Parameters!$D$15)</f>
        <v>3.7254444444444454E-7</v>
      </c>
      <c r="G305" s="21">
        <f>E305*Parameters!$D$12*Parameters!$F$27*Parameters!$D$13*Parameters!$D$10*Parameters!$D$11*Parameters!$D$14/(Parameters!$D$8*Parameters!$D$15)</f>
        <v>2.9517123128618937E-8</v>
      </c>
      <c r="H305" s="21">
        <f>F305/Parameters!$B$27</f>
        <v>1.2418148148148152E-3</v>
      </c>
      <c r="I305" s="21">
        <f>G305/Parameters!$B$27</f>
        <v>9.8390410428729805E-5</v>
      </c>
      <c r="J305" s="21">
        <f t="shared" si="8"/>
        <v>1.3402052252435449E-3</v>
      </c>
      <c r="K305" s="21">
        <f>F305*Parameters!$D$15/Parameters!$D$16</f>
        <v>3.1932380952380962E-8</v>
      </c>
      <c r="L305" s="21">
        <f>G305*Parameters!$D$15/Parameters!$D$16</f>
        <v>2.5300391253101946E-9</v>
      </c>
      <c r="M305" s="21">
        <f>K305*Parameters!$C$27</f>
        <v>2.0117400000000005E-7</v>
      </c>
      <c r="N305" s="21">
        <f>L305*Parameters!$C$27</f>
        <v>1.5939246489454227E-8</v>
      </c>
      <c r="O305" s="21">
        <f t="shared" si="9"/>
        <v>2.1711324648945427E-7</v>
      </c>
    </row>
    <row r="306" spans="1:15" ht="15" customHeight="1" x14ac:dyDescent="0.25">
      <c r="A306" s="10" t="s">
        <v>66</v>
      </c>
      <c r="B306" s="10" t="s">
        <v>170</v>
      </c>
      <c r="C306" s="10" t="s">
        <v>27</v>
      </c>
      <c r="D306" s="8">
        <f>Zone_Site_Means!$K$14</f>
        <v>11.009</v>
      </c>
      <c r="E306" s="21">
        <f>D306*Parameters!$B$4*Parameters!$B$5</f>
        <v>1.1009000000000001E-5</v>
      </c>
      <c r="F306" s="21">
        <f>E306*Parameters!$D$9*Parameters!$D$10*Parameters!$D$11/(Parameters!$D$8*Parameters!$D$15)</f>
        <v>7.3393333333333327E-7</v>
      </c>
      <c r="G306" s="21">
        <f>E306*Parameters!$D$12*Parameters!$F$28*Parameters!$D$13*Parameters!$D$10*Parameters!$D$11*Parameters!$D$14/(Parameters!$D$8*Parameters!$D$15)</f>
        <v>5.6409538699653442E-8</v>
      </c>
      <c r="H306" s="21">
        <f>F306/Parameters!$B$28</f>
        <v>2.4464444444444447E-3</v>
      </c>
      <c r="I306" s="21">
        <f>G306/Parameters!$B$28</f>
        <v>1.8803179566551149E-4</v>
      </c>
      <c r="J306" s="21">
        <f t="shared" si="8"/>
        <v>2.634476240109956E-3</v>
      </c>
      <c r="K306" s="21">
        <f>F306*Parameters!$D$15/Parameters!$D$16</f>
        <v>6.2908571428571424E-8</v>
      </c>
      <c r="L306" s="21">
        <f>G306*Parameters!$D$15/Parameters!$D$16</f>
        <v>4.8351033171131515E-9</v>
      </c>
      <c r="M306" s="21">
        <f>K306*Parameters!$C$28</f>
        <v>1.1323542857142857E-7</v>
      </c>
      <c r="N306" s="21">
        <f>L306*Parameters!$C$28</f>
        <v>8.7031859708036726E-9</v>
      </c>
      <c r="O306" s="21">
        <f t="shared" si="9"/>
        <v>1.2193861454223224E-7</v>
      </c>
    </row>
    <row r="307" spans="1:15" ht="15" customHeight="1" x14ac:dyDescent="0.25">
      <c r="A307" s="10" t="s">
        <v>66</v>
      </c>
      <c r="B307" s="10" t="s">
        <v>170</v>
      </c>
      <c r="C307" s="10" t="s">
        <v>28</v>
      </c>
      <c r="D307" s="8">
        <f>Zone_Site_Means!$L$14</f>
        <v>2.2913333333333337</v>
      </c>
      <c r="E307" s="21">
        <f>D307*Parameters!$B$4*Parameters!$B$5</f>
        <v>2.2913333333333338E-6</v>
      </c>
      <c r="F307" s="21">
        <f>E307*Parameters!$D$9*Parameters!$D$10*Parameters!$D$11/(Parameters!$D$8*Parameters!$D$15)</f>
        <v>1.5275555555555559E-7</v>
      </c>
      <c r="G307" s="21">
        <f>E307*Parameters!$D$12*Parameters!$F$29*Parameters!$D$13*Parameters!$D$10*Parameters!$D$11*Parameters!$D$14/(Parameters!$D$8*Parameters!$D$15)</f>
        <v>1.071748660938093E-8</v>
      </c>
      <c r="H307" s="21">
        <f>F307/Parameters!$B$29</f>
        <v>5.0918518518518533E-4</v>
      </c>
      <c r="I307" s="21">
        <f>G307/Parameters!$B$29</f>
        <v>3.5724955364603101E-5</v>
      </c>
      <c r="J307" s="21">
        <f t="shared" si="8"/>
        <v>5.449101405497884E-4</v>
      </c>
      <c r="K307" s="21">
        <f>F307*Parameters!$D$15/Parameters!$D$16</f>
        <v>1.3093333333333336E-8</v>
      </c>
      <c r="L307" s="21">
        <f>G307*Parameters!$D$15/Parameters!$D$16</f>
        <v>9.1864170937550832E-10</v>
      </c>
      <c r="M307" s="21">
        <f>K307*Parameters!$C$29</f>
        <v>1.7021333333333337E-8</v>
      </c>
      <c r="N307" s="21">
        <f>L307*Parameters!$C$29</f>
        <v>1.1942342221881608E-9</v>
      </c>
      <c r="O307" s="21">
        <f t="shared" si="9"/>
        <v>1.8215567555521496E-8</v>
      </c>
    </row>
    <row r="308" spans="1:15" ht="15" customHeight="1" x14ac:dyDescent="0.25">
      <c r="A308" s="10" t="s">
        <v>66</v>
      </c>
      <c r="B308" s="10" t="s">
        <v>170</v>
      </c>
      <c r="C308" s="10" t="s">
        <v>29</v>
      </c>
      <c r="D308" s="8">
        <f>Zone_Site_Means!$M$14</f>
        <v>3.4736666666666665</v>
      </c>
      <c r="E308" s="21">
        <f>D308*Parameters!$B$4*Parameters!$B$5</f>
        <v>3.4736666666666665E-6</v>
      </c>
      <c r="F308" s="21">
        <f>E308*Parameters!$D$9*Parameters!$D$10*Parameters!$D$11/(Parameters!$D$8*Parameters!$D$15)</f>
        <v>2.3157777777777776E-7</v>
      </c>
      <c r="G308" s="21">
        <f>E308*Parameters!$D$12*Parameters!$F$30*Parameters!$D$13*Parameters!$D$10*Parameters!$D$11*Parameters!$D$14/(Parameters!$D$8*Parameters!$D$15)</f>
        <v>3.0760459428518378E-8</v>
      </c>
      <c r="H308" s="21">
        <f>F308/Parameters!$B$30</f>
        <v>7.719259259259259E-4</v>
      </c>
      <c r="I308" s="21">
        <f>G308/Parameters!$B$30</f>
        <v>1.0253486476172794E-4</v>
      </c>
      <c r="J308" s="21">
        <f t="shared" si="8"/>
        <v>8.7446079068765389E-4</v>
      </c>
      <c r="K308" s="21">
        <f>F308*Parameters!$D$15/Parameters!$D$16</f>
        <v>1.9849523809523806E-8</v>
      </c>
      <c r="L308" s="21">
        <f>G308*Parameters!$D$15/Parameters!$D$16</f>
        <v>2.636610808158718E-9</v>
      </c>
      <c r="M308" s="21">
        <f>K308*Parameters!$C$30</f>
        <v>0</v>
      </c>
      <c r="N308" s="21">
        <f>L308*Parameters!$C$30</f>
        <v>0</v>
      </c>
      <c r="O308" s="21">
        <f t="shared" si="9"/>
        <v>0</v>
      </c>
    </row>
    <row r="309" spans="1:15" ht="15" customHeight="1" x14ac:dyDescent="0.25">
      <c r="A309" s="10" t="s">
        <v>66</v>
      </c>
      <c r="B309" s="10" t="s">
        <v>170</v>
      </c>
      <c r="C309" s="10" t="s">
        <v>30</v>
      </c>
      <c r="D309" s="8">
        <f>Zone_Site_Means!$N$14</f>
        <v>1.5573333333333335</v>
      </c>
      <c r="E309" s="21">
        <f>D309*Parameters!$B$4*Parameters!$B$5</f>
        <v>1.5573333333333335E-6</v>
      </c>
      <c r="F309" s="21">
        <f>E309*Parameters!$D$9*Parameters!$D$10*Parameters!$D$11/(Parameters!$D$8*Parameters!$D$15)</f>
        <v>1.0382222222222224E-7</v>
      </c>
      <c r="G309" s="21">
        <f>E309*Parameters!$D$12*Parameters!$F$31*Parameters!$D$13*Parameters!$D$10*Parameters!$D$11*Parameters!$D$14/(Parameters!$D$8*Parameters!$D$15)</f>
        <v>1.915747448762601E-7</v>
      </c>
      <c r="H309" s="21">
        <f>F309/Parameters!$B$31</f>
        <v>3.4607407407407412E-3</v>
      </c>
      <c r="I309" s="21">
        <f>G309/Parameters!$B$31</f>
        <v>6.3858248292086696E-3</v>
      </c>
      <c r="J309" s="21">
        <f t="shared" si="8"/>
        <v>9.8465655699494104E-3</v>
      </c>
      <c r="K309" s="21">
        <f>F309*Parameters!$D$15/Parameters!$D$16</f>
        <v>8.8990476190476214E-9</v>
      </c>
      <c r="L309" s="21">
        <f>G309*Parameters!$D$15/Parameters!$D$16</f>
        <v>1.6420692417965152E-8</v>
      </c>
      <c r="M309" s="21">
        <f>K309*Parameters!$C$31</f>
        <v>1.5128380952380956E-7</v>
      </c>
      <c r="N309" s="21">
        <f>L309*Parameters!$C$31</f>
        <v>2.7915177110540756E-7</v>
      </c>
      <c r="O309" s="21">
        <f t="shared" si="9"/>
        <v>4.3043558062921709E-7</v>
      </c>
    </row>
    <row r="310" spans="1:15" ht="15" customHeight="1" x14ac:dyDescent="0.25">
      <c r="A310" s="10" t="s">
        <v>66</v>
      </c>
      <c r="B310" s="10" t="s">
        <v>170</v>
      </c>
      <c r="C310" s="10" t="s">
        <v>31</v>
      </c>
      <c r="D310" s="8">
        <f>Zone_Site_Means!$O$14</f>
        <v>2.6923333333333335</v>
      </c>
      <c r="E310" s="21">
        <f>D310*Parameters!$B$4*Parameters!$B$5</f>
        <v>2.6923333333333334E-6</v>
      </c>
      <c r="F310" s="21">
        <f>E310*Parameters!$D$9*Parameters!$D$10*Parameters!$D$11/(Parameters!$D$8*Parameters!$D$15)</f>
        <v>1.7948888888888889E-7</v>
      </c>
      <c r="G310" s="21">
        <f>E310*Parameters!$D$12*Parameters!$F$32*Parameters!$D$13*Parameters!$D$10*Parameters!$D$11*Parameters!$D$14/(Parameters!$D$8*Parameters!$D$15)</f>
        <v>5.0639044755832766E-8</v>
      </c>
      <c r="H310" s="21">
        <f>F310/Parameters!$B$32</f>
        <v>3.5897777777777777E-3</v>
      </c>
      <c r="I310" s="21">
        <f>G310/Parameters!$B$32</f>
        <v>1.0127808951166553E-3</v>
      </c>
      <c r="J310" s="21">
        <f t="shared" si="8"/>
        <v>4.6025586728944325E-3</v>
      </c>
      <c r="K310" s="21">
        <f>F310*Parameters!$D$15/Parameters!$D$16</f>
        <v>1.5384761904761904E-8</v>
      </c>
      <c r="L310" s="21">
        <f>G310*Parameters!$D$15/Parameters!$D$16</f>
        <v>4.3404895504999513E-9</v>
      </c>
      <c r="M310" s="21">
        <f>K310*Parameters!$C$32</f>
        <v>2.4615619047619046E-7</v>
      </c>
      <c r="N310" s="21">
        <f>L310*Parameters!$C$32</f>
        <v>6.9447832807999221E-8</v>
      </c>
      <c r="O310" s="21">
        <f t="shared" si="9"/>
        <v>3.1560402328418969E-7</v>
      </c>
    </row>
    <row r="311" spans="1:15" ht="15" customHeight="1" x14ac:dyDescent="0.25">
      <c r="A311" s="10" t="s">
        <v>66</v>
      </c>
      <c r="B311" s="10" t="s">
        <v>170</v>
      </c>
      <c r="C311" s="10" t="s">
        <v>32</v>
      </c>
      <c r="D311" s="8">
        <f>Zone_Site_Means!$P$14</f>
        <v>0.5</v>
      </c>
      <c r="E311" s="21">
        <f>D311*Parameters!$B$4*Parameters!$B$5</f>
        <v>4.9999999999999998E-7</v>
      </c>
      <c r="F311" s="21">
        <f>E311*Parameters!$D$9*Parameters!$D$10*Parameters!$D$11/(Parameters!$D$8*Parameters!$D$15)</f>
        <v>3.3333333333333334E-8</v>
      </c>
      <c r="G311" s="21">
        <f>E311*Parameters!$D$12*Parameters!$F$33*Parameters!$D$13*Parameters!$D$10*Parameters!$D$11*Parameters!$D$14/(Parameters!$D$8*Parameters!$D$15)</f>
        <v>3.0049045466370191E-8</v>
      </c>
      <c r="H311" s="21">
        <f>F311/Parameters!$B$33</f>
        <v>6.666666666666667E-5</v>
      </c>
      <c r="I311" s="21">
        <f>G311/Parameters!$B$33</f>
        <v>6.0098090932740382E-5</v>
      </c>
      <c r="J311" s="21">
        <f t="shared" si="8"/>
        <v>1.2676475759940706E-4</v>
      </c>
      <c r="K311" s="21">
        <f>F311*Parameters!$D$15/Parameters!$D$16</f>
        <v>2.8571428571428572E-9</v>
      </c>
      <c r="L311" s="21">
        <f>G311*Parameters!$D$15/Parameters!$D$16</f>
        <v>2.575632468546016E-9</v>
      </c>
      <c r="M311" s="21">
        <f>K311*Parameters!$C$33</f>
        <v>1.2857142857142857E-8</v>
      </c>
      <c r="N311" s="21">
        <f>L311*Parameters!$C$33</f>
        <v>1.1590346108457072E-8</v>
      </c>
      <c r="O311" s="21">
        <f t="shared" si="9"/>
        <v>2.4447488965599928E-8</v>
      </c>
    </row>
    <row r="312" spans="1:15" ht="15" customHeight="1" x14ac:dyDescent="0.25">
      <c r="A312" s="10" t="s">
        <v>66</v>
      </c>
      <c r="B312" s="10" t="s">
        <v>170</v>
      </c>
      <c r="C312" s="10" t="s">
        <v>33</v>
      </c>
      <c r="D312" s="8">
        <f>Zone_Site_Means!$Q$14</f>
        <v>2.8649999999999998</v>
      </c>
      <c r="E312" s="21">
        <f>D312*Parameters!$B$4*Parameters!$B$5</f>
        <v>2.8650000000000001E-6</v>
      </c>
      <c r="F312" s="21">
        <f>E312*Parameters!$D$9*Parameters!$D$10*Parameters!$D$11/(Parameters!$D$8*Parameters!$D$15)</f>
        <v>1.91E-7</v>
      </c>
      <c r="G312" s="21">
        <f>E312*Parameters!$D$12*Parameters!$F$34*Parameters!$D$13*Parameters!$D$10*Parameters!$D$11*Parameters!$D$14/(Parameters!$D$8*Parameters!$D$15)</f>
        <v>2.5537907100104955E-8</v>
      </c>
      <c r="H312" s="21">
        <f>F312/Parameters!$B$34</f>
        <v>1.4692307692307694E-2</v>
      </c>
      <c r="I312" s="21">
        <f>G312/Parameters!$B$34</f>
        <v>1.9644543923157658E-3</v>
      </c>
      <c r="J312" s="21">
        <f t="shared" si="8"/>
        <v>1.665676208462346E-2</v>
      </c>
      <c r="K312" s="21">
        <f>F312*Parameters!$D$15/Parameters!$D$16</f>
        <v>1.6371428571428572E-8</v>
      </c>
      <c r="L312" s="21">
        <f>G312*Parameters!$D$15/Parameters!$D$16</f>
        <v>2.1889634657232821E-9</v>
      </c>
      <c r="M312" s="21">
        <f>K312*Parameters!$C$34</f>
        <v>1.4898E-7</v>
      </c>
      <c r="N312" s="21">
        <f>L312*Parameters!$C$34</f>
        <v>1.9919567538081865E-8</v>
      </c>
      <c r="O312" s="21">
        <f t="shared" si="9"/>
        <v>1.6889956753808186E-7</v>
      </c>
    </row>
    <row r="313" spans="1:15" ht="15" customHeight="1" x14ac:dyDescent="0.25">
      <c r="A313" s="10" t="s">
        <v>70</v>
      </c>
      <c r="B313" s="10" t="s">
        <v>169</v>
      </c>
      <c r="C313" s="10" t="s">
        <v>20</v>
      </c>
      <c r="D313" s="8">
        <f>Zone_Site_Means!$D$15</f>
        <v>4.7663333333333329</v>
      </c>
      <c r="E313" s="21">
        <f>D313*Parameters!$B$4*Parameters!$B$5</f>
        <v>4.7663333333333338E-6</v>
      </c>
      <c r="F313" s="21">
        <f>E313*Parameters!$C$9*Parameters!$C$10*Parameters!$C$11/(Parameters!$C$8*Parameters!$C$15)</f>
        <v>1.3618095238095238E-7</v>
      </c>
      <c r="G313" s="21">
        <f>E313*Parameters!$C$12*Parameters!$F$21*Parameters!$C$13*Parameters!$C$10*Parameters!$C$11*Parameters!$C$14/(Parameters!$C$8*Parameters!$C$15)</f>
        <v>3.5321803494203124E-7</v>
      </c>
      <c r="H313" s="21">
        <f>F313/Parameters!$B$21</f>
        <v>2.7236190476190476E-4</v>
      </c>
      <c r="I313" s="21">
        <f>G313/Parameters!$B$21</f>
        <v>7.0643606988406247E-4</v>
      </c>
      <c r="J313" s="21">
        <f t="shared" si="8"/>
        <v>9.7879797464596723E-4</v>
      </c>
      <c r="K313" s="21">
        <f>F313*Parameters!$C$15/Parameters!$C$16</f>
        <v>1.3618095238095238E-7</v>
      </c>
      <c r="L313" s="21">
        <f>G313*Parameters!$C$15/Parameters!$C$16</f>
        <v>3.5321803494203118E-7</v>
      </c>
      <c r="M313" s="21">
        <f>K313*Parameters!$C$21</f>
        <v>4.6301523809523817E-8</v>
      </c>
      <c r="N313" s="21">
        <f>L313*Parameters!$C$21</f>
        <v>1.200941318802906E-7</v>
      </c>
      <c r="O313" s="21">
        <f t="shared" si="9"/>
        <v>1.6639565568981442E-7</v>
      </c>
    </row>
    <row r="314" spans="1:15" ht="15" customHeight="1" x14ac:dyDescent="0.25">
      <c r="A314" s="10" t="s">
        <v>70</v>
      </c>
      <c r="B314" s="10" t="s">
        <v>169</v>
      </c>
      <c r="C314" s="10" t="s">
        <v>21</v>
      </c>
      <c r="D314" s="8">
        <f>Zone_Site_Means!$E$15</f>
        <v>4.9413333333333327</v>
      </c>
      <c r="E314" s="21">
        <f>D314*Parameters!$B$4*Parameters!$B$5</f>
        <v>4.941333333333333E-6</v>
      </c>
      <c r="F314" s="21">
        <f>E314*Parameters!$C$9*Parameters!$C$10*Parameters!$C$11/(Parameters!$C$8*Parameters!$C$15)</f>
        <v>1.4118095238095236E-7</v>
      </c>
      <c r="G314" s="21">
        <f>E314*Parameters!$C$12*Parameters!$F$22*Parameters!$C$13*Parameters!$C$10*Parameters!$C$11*Parameters!$C$14/(Parameters!$C$8*Parameters!$C$15)</f>
        <v>4.3944306007157233E-7</v>
      </c>
      <c r="H314" s="21">
        <f>F314/Parameters!$B$22</f>
        <v>2.8236190476190474E-4</v>
      </c>
      <c r="I314" s="21">
        <f>G314/Parameters!$B$22</f>
        <v>8.7888612014314462E-4</v>
      </c>
      <c r="J314" s="21">
        <f t="shared" si="8"/>
        <v>1.1612480249050493E-3</v>
      </c>
      <c r="K314" s="21">
        <f>F314*Parameters!$C$15/Parameters!$C$16</f>
        <v>1.4118095238095236E-7</v>
      </c>
      <c r="L314" s="21">
        <f>G314*Parameters!$C$15/Parameters!$C$16</f>
        <v>4.3944306007157233E-7</v>
      </c>
      <c r="M314" s="21">
        <f>K314*Parameters!$C$22</f>
        <v>4.8001523809523806E-8</v>
      </c>
      <c r="N314" s="21">
        <f>L314*Parameters!$C$22</f>
        <v>1.4941064042433461E-7</v>
      </c>
      <c r="O314" s="21">
        <f t="shared" si="9"/>
        <v>1.9741216423385842E-7</v>
      </c>
    </row>
    <row r="315" spans="1:15" ht="15" customHeight="1" x14ac:dyDescent="0.25">
      <c r="A315" s="10" t="s">
        <v>70</v>
      </c>
      <c r="B315" s="10" t="s">
        <v>169</v>
      </c>
      <c r="C315" s="10" t="s">
        <v>22</v>
      </c>
      <c r="D315" s="8">
        <f>Zone_Site_Means!$F$15</f>
        <v>4.8496666666666668</v>
      </c>
      <c r="E315" s="21">
        <f>D315*Parameters!$B$4*Parameters!$B$5</f>
        <v>4.8496666666666669E-6</v>
      </c>
      <c r="F315" s="21">
        <f>E315*Parameters!$C$9*Parameters!$C$10*Parameters!$C$11/(Parameters!$C$8*Parameters!$C$15)</f>
        <v>1.3856190476190478E-7</v>
      </c>
      <c r="G315" s="21">
        <f>E315*Parameters!$C$12*Parameters!$F$23*Parameters!$C$13*Parameters!$C$10*Parameters!$C$11*Parameters!$C$14/(Parameters!$C$8*Parameters!$C$15)</f>
        <v>1.3844916722900613E-7</v>
      </c>
      <c r="H315" s="21">
        <f>F315/Parameters!$B$23</f>
        <v>2.7712380952380953E-4</v>
      </c>
      <c r="I315" s="21">
        <f>G315/Parameters!$B$23</f>
        <v>2.7689833445801226E-4</v>
      </c>
      <c r="J315" s="21">
        <f t="shared" si="8"/>
        <v>5.5402214398182184E-4</v>
      </c>
      <c r="K315" s="21">
        <f>F315*Parameters!$C$15/Parameters!$C$16</f>
        <v>1.3856190476190478E-7</v>
      </c>
      <c r="L315" s="21">
        <f>G315*Parameters!$C$15/Parameters!$C$16</f>
        <v>1.3844916722900613E-7</v>
      </c>
      <c r="M315" s="21">
        <f>K315*Parameters!$C$23</f>
        <v>4.7111047619047626E-8</v>
      </c>
      <c r="N315" s="21">
        <f>L315*Parameters!$C$23</f>
        <v>4.7072716857862088E-8</v>
      </c>
      <c r="O315" s="21">
        <f t="shared" si="9"/>
        <v>9.4183764476909707E-8</v>
      </c>
    </row>
    <row r="316" spans="1:15" ht="15" customHeight="1" x14ac:dyDescent="0.25">
      <c r="A316" s="10" t="s">
        <v>70</v>
      </c>
      <c r="B316" s="10" t="s">
        <v>169</v>
      </c>
      <c r="C316" s="10" t="s">
        <v>23</v>
      </c>
      <c r="D316" s="8">
        <f>Zone_Site_Means!$G$15</f>
        <v>4.112333333333333</v>
      </c>
      <c r="E316" s="21">
        <f>D316*Parameters!$B$4*Parameters!$B$5</f>
        <v>4.112333333333333E-6</v>
      </c>
      <c r="F316" s="21">
        <f>E316*Parameters!$C$9*Parameters!$C$10*Parameters!$C$11/(Parameters!$C$8*Parameters!$C$15)</f>
        <v>1.1749523809523808E-7</v>
      </c>
      <c r="G316" s="21">
        <f>E316*Parameters!$C$12*Parameters!$F$24*Parameters!$C$13*Parameters!$C$10*Parameters!$C$11*Parameters!$C$14/(Parameters!$C$8*Parameters!$C$15)</f>
        <v>1.4745746675354623E-7</v>
      </c>
      <c r="H316" s="21">
        <f>F316/Parameters!$B$24</f>
        <v>2.3499047619047615E-4</v>
      </c>
      <c r="I316" s="21">
        <f>G316/Parameters!$B$24</f>
        <v>2.9491493350709244E-4</v>
      </c>
      <c r="J316" s="21">
        <f t="shared" si="8"/>
        <v>5.2990540969756863E-4</v>
      </c>
      <c r="K316" s="21">
        <f>F316*Parameters!$C$15/Parameters!$C$16</f>
        <v>1.1749523809523808E-7</v>
      </c>
      <c r="L316" s="21">
        <f>G316*Parameters!$C$15/Parameters!$C$16</f>
        <v>1.4745746675354623E-7</v>
      </c>
      <c r="M316" s="21">
        <f>K316*Parameters!$C$24</f>
        <v>3.9948380952380953E-8</v>
      </c>
      <c r="N316" s="21">
        <f>L316*Parameters!$C$24</f>
        <v>5.0135538696205719E-8</v>
      </c>
      <c r="O316" s="21">
        <f t="shared" si="9"/>
        <v>9.0083919648586679E-8</v>
      </c>
    </row>
    <row r="317" spans="1:15" ht="15" customHeight="1" x14ac:dyDescent="0.25">
      <c r="A317" s="10" t="s">
        <v>70</v>
      </c>
      <c r="B317" s="10" t="s">
        <v>169</v>
      </c>
      <c r="C317" s="10" t="s">
        <v>24</v>
      </c>
      <c r="D317" s="8">
        <f>Zone_Site_Means!$H$15</f>
        <v>6.5249999999999995</v>
      </c>
      <c r="E317" s="21">
        <f>D317*Parameters!$B$4*Parameters!$B$5</f>
        <v>6.5249999999999994E-6</v>
      </c>
      <c r="F317" s="21">
        <f>E317*Parameters!$C$9*Parameters!$C$10*Parameters!$C$11/(Parameters!$C$8*Parameters!$C$15)</f>
        <v>1.8642857142857139E-7</v>
      </c>
      <c r="G317" s="21">
        <f>E317*Parameters!$C$12*Parameters!$F$25*Parameters!$C$13*Parameters!$C$10*Parameters!$C$11*Parameters!$C$14/(Parameters!$C$8*Parameters!$C$15)</f>
        <v>2.3292439421718388E-7</v>
      </c>
      <c r="H317" s="21">
        <f>F317/Parameters!$B$25</f>
        <v>3.7285714285714277E-4</v>
      </c>
      <c r="I317" s="21">
        <f>G317/Parameters!$B$25</f>
        <v>4.6584878843436775E-4</v>
      </c>
      <c r="J317" s="21">
        <f t="shared" si="8"/>
        <v>8.3870593129151052E-4</v>
      </c>
      <c r="K317" s="21">
        <f>F317*Parameters!$C$15/Parameters!$C$16</f>
        <v>1.8642857142857139E-7</v>
      </c>
      <c r="L317" s="21">
        <f>G317*Parameters!$C$15/Parameters!$C$16</f>
        <v>2.3292439421718388E-7</v>
      </c>
      <c r="M317" s="21">
        <f>K317*Parameters!$C$25</f>
        <v>6.3385714285714276E-8</v>
      </c>
      <c r="N317" s="21">
        <f>L317*Parameters!$C$25</f>
        <v>7.9194294033842522E-8</v>
      </c>
      <c r="O317" s="21">
        <f t="shared" si="9"/>
        <v>1.4258000831955681E-7</v>
      </c>
    </row>
    <row r="318" spans="1:15" ht="15" customHeight="1" x14ac:dyDescent="0.25">
      <c r="A318" s="10" t="s">
        <v>70</v>
      </c>
      <c r="B318" s="10" t="s">
        <v>169</v>
      </c>
      <c r="C318" s="10" t="s">
        <v>25</v>
      </c>
      <c r="D318" s="8">
        <f>Zone_Site_Means!$I$15</f>
        <v>14.811333333333332</v>
      </c>
      <c r="E318" s="21">
        <f>D318*Parameters!$B$4*Parameters!$B$5</f>
        <v>1.4811333333333333E-5</v>
      </c>
      <c r="F318" s="21">
        <f>E318*Parameters!$C$9*Parameters!$C$10*Parameters!$C$11/(Parameters!$C$8*Parameters!$C$15)</f>
        <v>4.231809523809524E-7</v>
      </c>
      <c r="G318" s="21">
        <f>E318*Parameters!$C$12*Parameters!$F$26*Parameters!$C$13*Parameters!$C$10*Parameters!$C$11*Parameters!$C$14/(Parameters!$C$8*Parameters!$C$15)</f>
        <v>1.1477006156986853E-6</v>
      </c>
      <c r="H318" s="21">
        <f>F318/Parameters!$B$26</f>
        <v>8.4636190476190473E-4</v>
      </c>
      <c r="I318" s="21">
        <f>G318/Parameters!$B$26</f>
        <v>2.2954012313973707E-3</v>
      </c>
      <c r="J318" s="21">
        <f t="shared" si="8"/>
        <v>3.1417631361592754E-3</v>
      </c>
      <c r="K318" s="21">
        <f>F318*Parameters!$C$15/Parameters!$C$16</f>
        <v>4.231809523809524E-7</v>
      </c>
      <c r="L318" s="21">
        <f>G318*Parameters!$C$15/Parameters!$C$16</f>
        <v>1.1477006156986853E-6</v>
      </c>
      <c r="M318" s="21">
        <f>K318*Parameters!$C$26</f>
        <v>1.4388152380952382E-7</v>
      </c>
      <c r="N318" s="21">
        <f>L318*Parameters!$C$26</f>
        <v>3.9021820933755303E-7</v>
      </c>
      <c r="O318" s="21">
        <f t="shared" si="9"/>
        <v>5.3409973314707688E-7</v>
      </c>
    </row>
    <row r="319" spans="1:15" ht="15" customHeight="1" x14ac:dyDescent="0.25">
      <c r="A319" s="10" t="s">
        <v>70</v>
      </c>
      <c r="B319" s="10" t="s">
        <v>169</v>
      </c>
      <c r="C319" s="10" t="s">
        <v>26</v>
      </c>
      <c r="D319" s="8">
        <f>Zone_Site_Means!$J$15</f>
        <v>4.8053333333333335</v>
      </c>
      <c r="E319" s="21">
        <f>D319*Parameters!$B$4*Parameters!$B$5</f>
        <v>4.8053333333333338E-6</v>
      </c>
      <c r="F319" s="21">
        <f>E319*Parameters!$C$9*Parameters!$C$10*Parameters!$C$11/(Parameters!$C$8*Parameters!$C$15)</f>
        <v>1.3729523809523811E-7</v>
      </c>
      <c r="G319" s="21">
        <f>E319*Parameters!$C$12*Parameters!$F$27*Parameters!$C$13*Parameters!$C$10*Parameters!$C$11*Parameters!$C$14/(Parameters!$C$8*Parameters!$C$15)</f>
        <v>8.6035557567561369E-9</v>
      </c>
      <c r="H319" s="21">
        <f>F319/Parameters!$B$27</f>
        <v>4.5765079365079372E-4</v>
      </c>
      <c r="I319" s="21">
        <f>G319/Parameters!$B$27</f>
        <v>2.8678519189187125E-5</v>
      </c>
      <c r="J319" s="21">
        <f t="shared" si="8"/>
        <v>4.8632931283998083E-4</v>
      </c>
      <c r="K319" s="21">
        <f>F319*Parameters!$C$15/Parameters!$C$16</f>
        <v>1.3729523809523811E-7</v>
      </c>
      <c r="L319" s="21">
        <f>G319*Parameters!$C$15/Parameters!$C$16</f>
        <v>8.6035557567561369E-9</v>
      </c>
      <c r="M319" s="21">
        <f>K319*Parameters!$C$27</f>
        <v>8.6496000000000004E-7</v>
      </c>
      <c r="N319" s="21">
        <f>L319*Parameters!$C$27</f>
        <v>5.4202401267563663E-8</v>
      </c>
      <c r="O319" s="21">
        <f t="shared" si="9"/>
        <v>9.1916240126756374E-7</v>
      </c>
    </row>
    <row r="320" spans="1:15" ht="15" customHeight="1" x14ac:dyDescent="0.25">
      <c r="A320" s="10" t="s">
        <v>70</v>
      </c>
      <c r="B320" s="10" t="s">
        <v>169</v>
      </c>
      <c r="C320" s="10" t="s">
        <v>27</v>
      </c>
      <c r="D320" s="8">
        <f>Zone_Site_Means!$K$15</f>
        <v>9.4696666666666669</v>
      </c>
      <c r="E320" s="21">
        <f>D320*Parameters!$B$4*Parameters!$B$5</f>
        <v>9.4696666666666684E-6</v>
      </c>
      <c r="F320" s="21">
        <f>E320*Parameters!$C$9*Parameters!$C$10*Parameters!$C$11/(Parameters!$C$8*Parameters!$C$15)</f>
        <v>2.7056190476190485E-7</v>
      </c>
      <c r="G320" s="21">
        <f>E320*Parameters!$C$12*Parameters!$F$28*Parameters!$C$13*Parameters!$C$10*Parameters!$C$11*Parameters!$C$14/(Parameters!$C$8*Parameters!$C$15)</f>
        <v>1.6447093097136059E-8</v>
      </c>
      <c r="H320" s="21">
        <f>F320/Parameters!$B$28</f>
        <v>9.018730158730162E-4</v>
      </c>
      <c r="I320" s="21">
        <f>G320/Parameters!$B$28</f>
        <v>5.4823643657120204E-5</v>
      </c>
      <c r="J320" s="21">
        <f t="shared" si="8"/>
        <v>9.5669665953013639E-4</v>
      </c>
      <c r="K320" s="21">
        <f>F320*Parameters!$C$15/Parameters!$C$16</f>
        <v>2.7056190476190485E-7</v>
      </c>
      <c r="L320" s="21">
        <f>G320*Parameters!$C$15/Parameters!$C$16</f>
        <v>1.6447093097136059E-8</v>
      </c>
      <c r="M320" s="21">
        <f>K320*Parameters!$C$28</f>
        <v>4.8701142857142876E-7</v>
      </c>
      <c r="N320" s="21">
        <f>L320*Parameters!$C$28</f>
        <v>2.9604767574844906E-8</v>
      </c>
      <c r="O320" s="21">
        <f t="shared" si="9"/>
        <v>5.1661619614627364E-7</v>
      </c>
    </row>
    <row r="321" spans="1:15" ht="15" customHeight="1" x14ac:dyDescent="0.25">
      <c r="A321" s="10" t="s">
        <v>70</v>
      </c>
      <c r="B321" s="10" t="s">
        <v>169</v>
      </c>
      <c r="C321" s="10" t="s">
        <v>28</v>
      </c>
      <c r="D321" s="8">
        <f>Zone_Site_Means!$L$15</f>
        <v>1.9803333333333333</v>
      </c>
      <c r="E321" s="21">
        <f>D321*Parameters!$B$4*Parameters!$B$5</f>
        <v>1.9803333333333337E-6</v>
      </c>
      <c r="F321" s="21">
        <f>E321*Parameters!$C$9*Parameters!$C$10*Parameters!$C$11/(Parameters!$C$8*Parameters!$C$15)</f>
        <v>5.65809523809524E-8</v>
      </c>
      <c r="G321" s="21">
        <f>E321*Parameters!$C$12*Parameters!$F$29*Parameters!$C$13*Parameters!$C$10*Parameters!$C$11*Parameters!$C$14/(Parameters!$C$8*Parameters!$C$15)</f>
        <v>3.139733279550022E-9</v>
      </c>
      <c r="H321" s="21">
        <f>F321/Parameters!$B$29</f>
        <v>1.8860317460317469E-4</v>
      </c>
      <c r="I321" s="21">
        <f>G321/Parameters!$B$29</f>
        <v>1.0465777598500075E-5</v>
      </c>
      <c r="J321" s="21">
        <f t="shared" si="8"/>
        <v>1.9906895220167477E-4</v>
      </c>
      <c r="K321" s="21">
        <f>F321*Parameters!$C$15/Parameters!$C$16</f>
        <v>5.65809523809524E-8</v>
      </c>
      <c r="L321" s="21">
        <f>G321*Parameters!$C$15/Parameters!$C$16</f>
        <v>3.139733279550022E-9</v>
      </c>
      <c r="M321" s="21">
        <f>K321*Parameters!$C$29</f>
        <v>7.3555238095238124E-8</v>
      </c>
      <c r="N321" s="21">
        <f>L321*Parameters!$C$29</f>
        <v>4.0816532634150291E-9</v>
      </c>
      <c r="O321" s="21">
        <f t="shared" si="9"/>
        <v>7.763689135865315E-8</v>
      </c>
    </row>
    <row r="322" spans="1:15" ht="15" customHeight="1" x14ac:dyDescent="0.25">
      <c r="A322" s="10" t="s">
        <v>70</v>
      </c>
      <c r="B322" s="10" t="s">
        <v>169</v>
      </c>
      <c r="C322" s="10" t="s">
        <v>29</v>
      </c>
      <c r="D322" s="8">
        <f>Zone_Site_Means!$M$15</f>
        <v>4.8163333333333327</v>
      </c>
      <c r="E322" s="21">
        <f>D322*Parameters!$B$4*Parameters!$B$5</f>
        <v>4.8163333333333334E-6</v>
      </c>
      <c r="F322" s="21">
        <f>E322*Parameters!$C$9*Parameters!$C$10*Parameters!$C$11/(Parameters!$C$8*Parameters!$C$15)</f>
        <v>1.376095238095238E-7</v>
      </c>
      <c r="G322" s="21">
        <f>E322*Parameters!$C$12*Parameters!$F$30*Parameters!$C$13*Parameters!$C$10*Parameters!$C$11*Parameters!$C$14/(Parameters!$C$8*Parameters!$C$15)</f>
        <v>1.4456760790433754E-8</v>
      </c>
      <c r="H322" s="21">
        <f>F322/Parameters!$B$30</f>
        <v>4.5869841269841272E-4</v>
      </c>
      <c r="I322" s="21">
        <f>G322/Parameters!$B$30</f>
        <v>4.8189202634779184E-5</v>
      </c>
      <c r="J322" s="21">
        <f t="shared" si="8"/>
        <v>5.0688761533319187E-4</v>
      </c>
      <c r="K322" s="21">
        <f>F322*Parameters!$C$15/Parameters!$C$16</f>
        <v>1.376095238095238E-7</v>
      </c>
      <c r="L322" s="21">
        <f>G322*Parameters!$C$15/Parameters!$C$16</f>
        <v>1.4456760790433754E-8</v>
      </c>
      <c r="M322" s="21">
        <f>K322*Parameters!$C$30</f>
        <v>0</v>
      </c>
      <c r="N322" s="21">
        <f>L322*Parameters!$C$30</f>
        <v>0</v>
      </c>
      <c r="O322" s="21">
        <f t="shared" si="9"/>
        <v>0</v>
      </c>
    </row>
    <row r="323" spans="1:15" ht="15" customHeight="1" x14ac:dyDescent="0.25">
      <c r="A323" s="10" t="s">
        <v>70</v>
      </c>
      <c r="B323" s="10" t="s">
        <v>169</v>
      </c>
      <c r="C323" s="10" t="s">
        <v>30</v>
      </c>
      <c r="D323" s="8">
        <f>Zone_Site_Means!$N$15</f>
        <v>1.8836666666666666</v>
      </c>
      <c r="E323" s="21">
        <f>D323*Parameters!$B$4*Parameters!$B$5</f>
        <v>1.8836666666666669E-6</v>
      </c>
      <c r="F323" s="21">
        <f>E323*Parameters!$C$9*Parameters!$C$10*Parameters!$C$11/(Parameters!$C$8*Parameters!$C$15)</f>
        <v>5.3819047619047623E-8</v>
      </c>
      <c r="G323" s="21">
        <f>E323*Parameters!$C$12*Parameters!$F$31*Parameters!$C$13*Parameters!$C$10*Parameters!$C$11*Parameters!$C$14/(Parameters!$C$8*Parameters!$C$15)</f>
        <v>7.8543547228081518E-8</v>
      </c>
      <c r="H323" s="21">
        <f>F323/Parameters!$B$31</f>
        <v>1.7939682539682541E-3</v>
      </c>
      <c r="I323" s="21">
        <f>G323/Parameters!$B$31</f>
        <v>2.6181182409360506E-3</v>
      </c>
      <c r="J323" s="21">
        <f t="shared" si="8"/>
        <v>4.412086494904305E-3</v>
      </c>
      <c r="K323" s="21">
        <f>F323*Parameters!$C$15/Parameters!$C$16</f>
        <v>5.3819047619047623E-8</v>
      </c>
      <c r="L323" s="21">
        <f>G323*Parameters!$C$15/Parameters!$C$16</f>
        <v>7.8543547228081518E-8</v>
      </c>
      <c r="M323" s="21">
        <f>K323*Parameters!$C$31</f>
        <v>9.1492380952380961E-7</v>
      </c>
      <c r="N323" s="21">
        <f>L323*Parameters!$C$31</f>
        <v>1.3352403028773858E-6</v>
      </c>
      <c r="O323" s="21">
        <f t="shared" si="9"/>
        <v>2.2501641124011954E-6</v>
      </c>
    </row>
    <row r="324" spans="1:15" ht="15" customHeight="1" x14ac:dyDescent="0.25">
      <c r="A324" s="10" t="s">
        <v>70</v>
      </c>
      <c r="B324" s="10" t="s">
        <v>169</v>
      </c>
      <c r="C324" s="10" t="s">
        <v>31</v>
      </c>
      <c r="D324" s="8">
        <f>Zone_Site_Means!$O$15</f>
        <v>3.9233333333333333</v>
      </c>
      <c r="E324" s="21">
        <f>D324*Parameters!$B$4*Parameters!$B$5</f>
        <v>3.9233333333333336E-6</v>
      </c>
      <c r="F324" s="21">
        <f>E324*Parameters!$C$9*Parameters!$C$10*Parameters!$C$11/(Parameters!$C$8*Parameters!$C$15)</f>
        <v>1.120952380952381E-7</v>
      </c>
      <c r="G324" s="21">
        <f>E324*Parameters!$C$12*Parameters!$F$32*Parameters!$C$13*Parameters!$C$10*Parameters!$C$11*Parameters!$C$14/(Parameters!$C$8*Parameters!$C$15)</f>
        <v>2.5012762922869905E-8</v>
      </c>
      <c r="H324" s="21">
        <f>F324/Parameters!$B$32</f>
        <v>2.2419047619047618E-3</v>
      </c>
      <c r="I324" s="21">
        <f>G324/Parameters!$B$32</f>
        <v>5.0025525845739808E-4</v>
      </c>
      <c r="J324" s="21">
        <f t="shared" si="8"/>
        <v>2.7421600203621599E-3</v>
      </c>
      <c r="K324" s="21">
        <f>F324*Parameters!$C$15/Parameters!$C$16</f>
        <v>1.120952380952381E-7</v>
      </c>
      <c r="L324" s="21">
        <f>G324*Parameters!$C$15/Parameters!$C$16</f>
        <v>2.5012762922869905E-8</v>
      </c>
      <c r="M324" s="21">
        <f>K324*Parameters!$C$32</f>
        <v>1.7935238095238096E-6</v>
      </c>
      <c r="N324" s="21">
        <f>L324*Parameters!$C$32</f>
        <v>4.0020420676591849E-7</v>
      </c>
      <c r="O324" s="21">
        <f t="shared" si="9"/>
        <v>2.1937280162897279E-6</v>
      </c>
    </row>
    <row r="325" spans="1:15" ht="15" customHeight="1" x14ac:dyDescent="0.25">
      <c r="A325" s="10" t="s">
        <v>70</v>
      </c>
      <c r="B325" s="10" t="s">
        <v>169</v>
      </c>
      <c r="C325" s="10" t="s">
        <v>32</v>
      </c>
      <c r="D325" s="8">
        <f>Zone_Site_Means!$P$15</f>
        <v>3.3506666666666667</v>
      </c>
      <c r="E325" s="21">
        <f>D325*Parameters!$B$4*Parameters!$B$5</f>
        <v>3.350666666666667E-6</v>
      </c>
      <c r="F325" s="21">
        <f>E325*Parameters!$C$9*Parameters!$C$10*Parameters!$C$11/(Parameters!$C$8*Parameters!$C$15)</f>
        <v>9.5733333333333357E-8</v>
      </c>
      <c r="G325" s="21">
        <f>E325*Parameters!$C$12*Parameters!$F$33*Parameters!$C$13*Parameters!$C$10*Parameters!$C$11*Parameters!$C$14/(Parameters!$C$8*Parameters!$C$15)</f>
        <v>6.8256133603719284E-8</v>
      </c>
      <c r="H325" s="21">
        <f>F325/Parameters!$B$33</f>
        <v>1.9146666666666672E-4</v>
      </c>
      <c r="I325" s="21">
        <f>G325/Parameters!$B$33</f>
        <v>1.3651226720743856E-4</v>
      </c>
      <c r="J325" s="21">
        <f t="shared" ref="J325:J388" si="10">H325+I325</f>
        <v>3.2797893387410525E-4</v>
      </c>
      <c r="K325" s="21">
        <f>F325*Parameters!$C$15/Parameters!$C$16</f>
        <v>9.573333333333337E-8</v>
      </c>
      <c r="L325" s="21">
        <f>G325*Parameters!$C$15/Parameters!$C$16</f>
        <v>6.8256133603719284E-8</v>
      </c>
      <c r="M325" s="21">
        <f>K325*Parameters!$C$33</f>
        <v>4.3080000000000018E-7</v>
      </c>
      <c r="N325" s="21">
        <f>L325*Parameters!$C$33</f>
        <v>3.0715260121673678E-7</v>
      </c>
      <c r="O325" s="21">
        <f t="shared" ref="O325:O388" si="11">M325+N325</f>
        <v>7.3795260121673696E-7</v>
      </c>
    </row>
    <row r="326" spans="1:15" ht="15" customHeight="1" x14ac:dyDescent="0.25">
      <c r="A326" s="10" t="s">
        <v>70</v>
      </c>
      <c r="B326" s="10" t="s">
        <v>169</v>
      </c>
      <c r="C326" s="10" t="s">
        <v>33</v>
      </c>
      <c r="D326" s="8">
        <f>Zone_Site_Means!$Q$15</f>
        <v>5.3006666666666673</v>
      </c>
      <c r="E326" s="21">
        <f>D326*Parameters!$B$4*Parameters!$B$5</f>
        <v>5.3006666666666674E-6</v>
      </c>
      <c r="F326" s="21">
        <f>E326*Parameters!$C$9*Parameters!$C$10*Parameters!$C$11/(Parameters!$C$8*Parameters!$C$15)</f>
        <v>1.514476190476191E-7</v>
      </c>
      <c r="G326" s="21">
        <f>E326*Parameters!$C$12*Parameters!$F$34*Parameters!$C$13*Parameters!$C$10*Parameters!$C$11*Parameters!$C$14/(Parameters!$C$8*Parameters!$C$15)</f>
        <v>1.6015516641694701E-8</v>
      </c>
      <c r="H326" s="21">
        <f>F326/Parameters!$B$34</f>
        <v>1.1649816849816854E-2</v>
      </c>
      <c r="I326" s="21">
        <f>G326/Parameters!$B$34</f>
        <v>1.2319628185919001E-3</v>
      </c>
      <c r="J326" s="21">
        <f t="shared" si="10"/>
        <v>1.2881779668408755E-2</v>
      </c>
      <c r="K326" s="21">
        <f>F326*Parameters!$C$15/Parameters!$C$16</f>
        <v>1.514476190476191E-7</v>
      </c>
      <c r="L326" s="21">
        <f>G326*Parameters!$C$15/Parameters!$C$16</f>
        <v>1.6015516641694701E-8</v>
      </c>
      <c r="M326" s="21">
        <f>K326*Parameters!$C$34</f>
        <v>1.3781733333333336E-6</v>
      </c>
      <c r="N326" s="21">
        <f>L326*Parameters!$C$34</f>
        <v>1.4574120143942176E-7</v>
      </c>
      <c r="O326" s="21">
        <f t="shared" si="11"/>
        <v>1.5239145347727555E-6</v>
      </c>
    </row>
    <row r="327" spans="1:15" ht="15" customHeight="1" x14ac:dyDescent="0.25">
      <c r="A327" s="10" t="s">
        <v>70</v>
      </c>
      <c r="B327" s="10" t="s">
        <v>170</v>
      </c>
      <c r="C327" s="10" t="s">
        <v>20</v>
      </c>
      <c r="D327" s="8">
        <f>Zone_Site_Means!$D$15</f>
        <v>4.7663333333333329</v>
      </c>
      <c r="E327" s="21">
        <f>D327*Parameters!$B$4*Parameters!$B$5</f>
        <v>4.7663333333333338E-6</v>
      </c>
      <c r="F327" s="21">
        <f>E327*Parameters!$D$9*Parameters!$D$10*Parameters!$D$11/(Parameters!$D$8*Parameters!$D$15)</f>
        <v>3.177555555555556E-7</v>
      </c>
      <c r="G327" s="21">
        <f>E327*Parameters!$D$12*Parameters!$F$21*Parameters!$D$13*Parameters!$D$10*Parameters!$D$11*Parameters!$D$14/(Parameters!$D$8*Parameters!$D$15)</f>
        <v>1.0420608693692108E-6</v>
      </c>
      <c r="H327" s="21">
        <f>F327/Parameters!$B$21</f>
        <v>6.3551111111111115E-4</v>
      </c>
      <c r="I327" s="21">
        <f>G327/Parameters!$B$21</f>
        <v>2.0841217387384215E-3</v>
      </c>
      <c r="J327" s="21">
        <f t="shared" si="10"/>
        <v>2.7196328498495328E-3</v>
      </c>
      <c r="K327" s="21">
        <f>F327*Parameters!$D$15/Parameters!$D$16</f>
        <v>2.7236190476190479E-8</v>
      </c>
      <c r="L327" s="21">
        <f>G327*Parameters!$D$15/Parameters!$D$16</f>
        <v>8.9319503088789506E-8</v>
      </c>
      <c r="M327" s="21">
        <f>K327*Parameters!$C$21</f>
        <v>9.2603047619047638E-9</v>
      </c>
      <c r="N327" s="21">
        <f>L327*Parameters!$C$21</f>
        <v>3.0368631050188433E-8</v>
      </c>
      <c r="O327" s="21">
        <f t="shared" si="11"/>
        <v>3.9628935812093195E-8</v>
      </c>
    </row>
    <row r="328" spans="1:15" ht="15" customHeight="1" x14ac:dyDescent="0.25">
      <c r="A328" s="10" t="s">
        <v>70</v>
      </c>
      <c r="B328" s="10" t="s">
        <v>170</v>
      </c>
      <c r="C328" s="10" t="s">
        <v>21</v>
      </c>
      <c r="D328" s="8">
        <f>Zone_Site_Means!$E$15</f>
        <v>4.9413333333333327</v>
      </c>
      <c r="E328" s="21">
        <f>D328*Parameters!$B$4*Parameters!$B$5</f>
        <v>4.941333333333333E-6</v>
      </c>
      <c r="F328" s="21">
        <f>E328*Parameters!$D$9*Parameters!$D$10*Parameters!$D$11/(Parameters!$D$8*Parameters!$D$15)</f>
        <v>3.2942222222222223E-7</v>
      </c>
      <c r="G328" s="21">
        <f>E328*Parameters!$D$12*Parameters!$F$22*Parameters!$D$13*Parameters!$D$10*Parameters!$D$11*Parameters!$D$14/(Parameters!$D$8*Parameters!$D$15)</f>
        <v>1.2964412117054049E-6</v>
      </c>
      <c r="H328" s="21">
        <f>F328/Parameters!$B$22</f>
        <v>6.5884444444444447E-4</v>
      </c>
      <c r="I328" s="21">
        <f>G328/Parameters!$B$22</f>
        <v>2.5928824234108098E-3</v>
      </c>
      <c r="J328" s="21">
        <f t="shared" si="10"/>
        <v>3.2517268678552542E-3</v>
      </c>
      <c r="K328" s="21">
        <f>F328*Parameters!$D$15/Parameters!$D$16</f>
        <v>2.8236190476190478E-8</v>
      </c>
      <c r="L328" s="21">
        <f>G328*Parameters!$D$15/Parameters!$D$16</f>
        <v>1.1112353243189185E-7</v>
      </c>
      <c r="M328" s="21">
        <f>K328*Parameters!$C$22</f>
        <v>9.6003047619047638E-9</v>
      </c>
      <c r="N328" s="21">
        <f>L328*Parameters!$C$22</f>
        <v>3.7782001026843233E-8</v>
      </c>
      <c r="O328" s="21">
        <f t="shared" si="11"/>
        <v>4.7382305788747996E-8</v>
      </c>
    </row>
    <row r="329" spans="1:15" ht="15" customHeight="1" x14ac:dyDescent="0.25">
      <c r="A329" s="10" t="s">
        <v>70</v>
      </c>
      <c r="B329" s="10" t="s">
        <v>170</v>
      </c>
      <c r="C329" s="10" t="s">
        <v>22</v>
      </c>
      <c r="D329" s="8">
        <f>Zone_Site_Means!$F$15</f>
        <v>4.8496666666666668</v>
      </c>
      <c r="E329" s="21">
        <f>D329*Parameters!$B$4*Parameters!$B$5</f>
        <v>4.8496666666666669E-6</v>
      </c>
      <c r="F329" s="21">
        <f>E329*Parameters!$D$9*Parameters!$D$10*Parameters!$D$11/(Parameters!$D$8*Parameters!$D$15)</f>
        <v>3.2331111111111114E-7</v>
      </c>
      <c r="G329" s="21">
        <f>E329*Parameters!$D$12*Parameters!$F$23*Parameters!$D$13*Parameters!$D$10*Parameters!$D$11*Parameters!$D$14/(Parameters!$D$8*Parameters!$D$15)</f>
        <v>4.0845156615453915E-7</v>
      </c>
      <c r="H329" s="21">
        <f>F329/Parameters!$B$23</f>
        <v>6.466222222222223E-4</v>
      </c>
      <c r="I329" s="21">
        <f>G329/Parameters!$B$23</f>
        <v>8.1690313230907831E-4</v>
      </c>
      <c r="J329" s="21">
        <f t="shared" si="10"/>
        <v>1.4635253545313006E-3</v>
      </c>
      <c r="K329" s="21">
        <f>F329*Parameters!$D$15/Parameters!$D$16</f>
        <v>2.7712380952380955E-8</v>
      </c>
      <c r="L329" s="21">
        <f>G329*Parameters!$D$15/Parameters!$D$16</f>
        <v>3.501013424181764E-8</v>
      </c>
      <c r="M329" s="21">
        <f>K329*Parameters!$C$23</f>
        <v>9.4222095238095259E-9</v>
      </c>
      <c r="N329" s="21">
        <f>L329*Parameters!$C$23</f>
        <v>1.1903445642217999E-8</v>
      </c>
      <c r="O329" s="21">
        <f t="shared" si="11"/>
        <v>2.1325655166027525E-8</v>
      </c>
    </row>
    <row r="330" spans="1:15" ht="15" customHeight="1" x14ac:dyDescent="0.25">
      <c r="A330" s="10" t="s">
        <v>70</v>
      </c>
      <c r="B330" s="10" t="s">
        <v>170</v>
      </c>
      <c r="C330" s="10" t="s">
        <v>23</v>
      </c>
      <c r="D330" s="8">
        <f>Zone_Site_Means!$G$15</f>
        <v>4.112333333333333</v>
      </c>
      <c r="E330" s="21">
        <f>D330*Parameters!$B$4*Parameters!$B$5</f>
        <v>4.112333333333333E-6</v>
      </c>
      <c r="F330" s="21">
        <f>E330*Parameters!$D$9*Parameters!$D$10*Parameters!$D$11/(Parameters!$D$8*Parameters!$D$15)</f>
        <v>2.7415555555555555E-7</v>
      </c>
      <c r="G330" s="21">
        <f>E330*Parameters!$D$12*Parameters!$F$24*Parameters!$D$13*Parameters!$D$10*Parameters!$D$11*Parameters!$D$14/(Parameters!$D$8*Parameters!$D$15)</f>
        <v>4.3502777547981079E-7</v>
      </c>
      <c r="H330" s="21">
        <f>F330/Parameters!$B$24</f>
        <v>5.4831111111111109E-4</v>
      </c>
      <c r="I330" s="21">
        <f>G330/Parameters!$B$24</f>
        <v>8.7005555095962157E-4</v>
      </c>
      <c r="J330" s="21">
        <f t="shared" si="10"/>
        <v>1.4183666620707328E-3</v>
      </c>
      <c r="K330" s="21">
        <f>F330*Parameters!$D$15/Parameters!$D$16</f>
        <v>2.349904761904762E-8</v>
      </c>
      <c r="L330" s="21">
        <f>G330*Parameters!$D$15/Parameters!$D$16</f>
        <v>3.7288095041126642E-8</v>
      </c>
      <c r="M330" s="21">
        <f>K330*Parameters!$C$24</f>
        <v>7.9896761904761916E-9</v>
      </c>
      <c r="N330" s="21">
        <f>L330*Parameters!$C$24</f>
        <v>1.2677952313983059E-8</v>
      </c>
      <c r="O330" s="21">
        <f t="shared" si="11"/>
        <v>2.066762850445925E-8</v>
      </c>
    </row>
    <row r="331" spans="1:15" ht="15" customHeight="1" x14ac:dyDescent="0.25">
      <c r="A331" s="10" t="s">
        <v>70</v>
      </c>
      <c r="B331" s="10" t="s">
        <v>170</v>
      </c>
      <c r="C331" s="10" t="s">
        <v>24</v>
      </c>
      <c r="D331" s="8">
        <f>Zone_Site_Means!$H$15</f>
        <v>6.5249999999999995</v>
      </c>
      <c r="E331" s="21">
        <f>D331*Parameters!$B$4*Parameters!$B$5</f>
        <v>6.5249999999999994E-6</v>
      </c>
      <c r="F331" s="21">
        <f>E331*Parameters!$D$9*Parameters!$D$10*Parameters!$D$11/(Parameters!$D$8*Parameters!$D$15)</f>
        <v>4.3499999999999991E-7</v>
      </c>
      <c r="G331" s="21">
        <f>E331*Parameters!$D$12*Parameters!$F$25*Parameters!$D$13*Parameters!$D$10*Parameters!$D$11*Parameters!$D$14/(Parameters!$D$8*Parameters!$D$15)</f>
        <v>6.8717158447215184E-7</v>
      </c>
      <c r="H331" s="21">
        <f>F331/Parameters!$B$25</f>
        <v>8.6999999999999979E-4</v>
      </c>
      <c r="I331" s="21">
        <f>G331/Parameters!$B$25</f>
        <v>1.3743431689443037E-3</v>
      </c>
      <c r="J331" s="21">
        <f t="shared" si="10"/>
        <v>2.2443431689443036E-3</v>
      </c>
      <c r="K331" s="21">
        <f>F331*Parameters!$D$15/Parameters!$D$16</f>
        <v>3.7285714285714274E-8</v>
      </c>
      <c r="L331" s="21">
        <f>G331*Parameters!$D$15/Parameters!$D$16</f>
        <v>5.890042152618444E-8</v>
      </c>
      <c r="M331" s="21">
        <f>K331*Parameters!$C$25</f>
        <v>1.2677142857142853E-8</v>
      </c>
      <c r="N331" s="21">
        <f>L331*Parameters!$C$25</f>
        <v>2.0026143318902713E-8</v>
      </c>
      <c r="O331" s="21">
        <f t="shared" si="11"/>
        <v>3.2703286176045564E-8</v>
      </c>
    </row>
    <row r="332" spans="1:15" ht="15" customHeight="1" x14ac:dyDescent="0.25">
      <c r="A332" s="10" t="s">
        <v>70</v>
      </c>
      <c r="B332" s="10" t="s">
        <v>170</v>
      </c>
      <c r="C332" s="10" t="s">
        <v>25</v>
      </c>
      <c r="D332" s="8">
        <f>Zone_Site_Means!$I$15</f>
        <v>14.811333333333332</v>
      </c>
      <c r="E332" s="21">
        <f>D332*Parameters!$B$4*Parameters!$B$5</f>
        <v>1.4811333333333333E-5</v>
      </c>
      <c r="F332" s="21">
        <f>E332*Parameters!$D$9*Parameters!$D$10*Parameters!$D$11/(Parameters!$D$8*Parameters!$D$15)</f>
        <v>9.8742222222222248E-7</v>
      </c>
      <c r="G332" s="21">
        <f>E332*Parameters!$D$12*Parameters!$F$26*Parameters!$D$13*Parameters!$D$10*Parameters!$D$11*Parameters!$D$14/(Parameters!$D$8*Parameters!$D$15)</f>
        <v>3.3859366823294551E-6</v>
      </c>
      <c r="H332" s="21">
        <f>F332/Parameters!$B$26</f>
        <v>1.9748444444444451E-3</v>
      </c>
      <c r="I332" s="21">
        <f>G332/Parameters!$B$26</f>
        <v>6.7718733646589101E-3</v>
      </c>
      <c r="J332" s="21">
        <f t="shared" si="10"/>
        <v>8.7467178091033548E-3</v>
      </c>
      <c r="K332" s="21">
        <f>F332*Parameters!$D$15/Parameters!$D$16</f>
        <v>8.4636190476190493E-8</v>
      </c>
      <c r="L332" s="21">
        <f>G332*Parameters!$D$15/Parameters!$D$16</f>
        <v>2.9022314419966757E-7</v>
      </c>
      <c r="M332" s="21">
        <f>K332*Parameters!$C$26</f>
        <v>2.877630476190477E-8</v>
      </c>
      <c r="N332" s="21">
        <f>L332*Parameters!$C$26</f>
        <v>9.8675869027886976E-8</v>
      </c>
      <c r="O332" s="21">
        <f t="shared" si="11"/>
        <v>1.2745217378979175E-7</v>
      </c>
    </row>
    <row r="333" spans="1:15" ht="15" customHeight="1" x14ac:dyDescent="0.25">
      <c r="A333" s="10" t="s">
        <v>70</v>
      </c>
      <c r="B333" s="10" t="s">
        <v>170</v>
      </c>
      <c r="C333" s="10" t="s">
        <v>26</v>
      </c>
      <c r="D333" s="8">
        <f>Zone_Site_Means!$J$15</f>
        <v>4.8053333333333335</v>
      </c>
      <c r="E333" s="21">
        <f>D333*Parameters!$B$4*Parameters!$B$5</f>
        <v>4.8053333333333338E-6</v>
      </c>
      <c r="F333" s="21">
        <f>E333*Parameters!$D$9*Parameters!$D$10*Parameters!$D$11/(Parameters!$D$8*Parameters!$D$15)</f>
        <v>3.2035555555555558E-7</v>
      </c>
      <c r="G333" s="21">
        <f>E333*Parameters!$D$12*Parameters!$F$27*Parameters!$D$13*Parameters!$D$10*Parameters!$D$11*Parameters!$D$14/(Parameters!$D$8*Parameters!$D$15)</f>
        <v>2.5382137673188612E-8</v>
      </c>
      <c r="H333" s="21">
        <f>F333/Parameters!$B$27</f>
        <v>1.0678518518518519E-3</v>
      </c>
      <c r="I333" s="21">
        <f>G333/Parameters!$B$27</f>
        <v>8.4607125577295387E-5</v>
      </c>
      <c r="J333" s="21">
        <f t="shared" si="10"/>
        <v>1.1524589774291473E-3</v>
      </c>
      <c r="K333" s="21">
        <f>F333*Parameters!$D$15/Parameters!$D$16</f>
        <v>2.7459047619047623E-8</v>
      </c>
      <c r="L333" s="21">
        <f>G333*Parameters!$D$15/Parameters!$D$16</f>
        <v>2.1756118005590238E-9</v>
      </c>
      <c r="M333" s="21">
        <f>K333*Parameters!$C$27</f>
        <v>1.7299200000000002E-7</v>
      </c>
      <c r="N333" s="21">
        <f>L333*Parameters!$C$27</f>
        <v>1.3706354343521849E-8</v>
      </c>
      <c r="O333" s="21">
        <f t="shared" si="11"/>
        <v>1.8669835434352187E-7</v>
      </c>
    </row>
    <row r="334" spans="1:15" ht="15" customHeight="1" x14ac:dyDescent="0.25">
      <c r="A334" s="10" t="s">
        <v>70</v>
      </c>
      <c r="B334" s="10" t="s">
        <v>170</v>
      </c>
      <c r="C334" s="10" t="s">
        <v>27</v>
      </c>
      <c r="D334" s="8">
        <f>Zone_Site_Means!$K$15</f>
        <v>9.4696666666666669</v>
      </c>
      <c r="E334" s="21">
        <f>D334*Parameters!$B$4*Parameters!$B$5</f>
        <v>9.4696666666666684E-6</v>
      </c>
      <c r="F334" s="21">
        <f>E334*Parameters!$D$9*Parameters!$D$10*Parameters!$D$11/(Parameters!$D$8*Parameters!$D$15)</f>
        <v>6.3131111111111131E-7</v>
      </c>
      <c r="G334" s="21">
        <f>E334*Parameters!$D$12*Parameters!$F$28*Parameters!$D$13*Parameters!$D$10*Parameters!$D$11*Parameters!$D$14/(Parameters!$D$8*Parameters!$D$15)</f>
        <v>4.8522075420669599E-8</v>
      </c>
      <c r="H334" s="21">
        <f>F334/Parameters!$B$28</f>
        <v>2.104370370370371E-3</v>
      </c>
      <c r="I334" s="21">
        <f>G334/Parameters!$B$28</f>
        <v>1.6174025140223202E-4</v>
      </c>
      <c r="J334" s="21">
        <f t="shared" si="10"/>
        <v>2.266110621772603E-3</v>
      </c>
      <c r="K334" s="21">
        <f>F334*Parameters!$D$15/Parameters!$D$16</f>
        <v>5.4112380952380973E-8</v>
      </c>
      <c r="L334" s="21">
        <f>G334*Parameters!$D$15/Parameters!$D$16</f>
        <v>4.1590350360573941E-9</v>
      </c>
      <c r="M334" s="21">
        <f>K334*Parameters!$C$28</f>
        <v>9.7402285714285748E-8</v>
      </c>
      <c r="N334" s="21">
        <f>L334*Parameters!$C$28</f>
        <v>7.4862630649033101E-9</v>
      </c>
      <c r="O334" s="21">
        <f t="shared" si="11"/>
        <v>1.0488854877918906E-7</v>
      </c>
    </row>
    <row r="335" spans="1:15" ht="15" customHeight="1" x14ac:dyDescent="0.25">
      <c r="A335" s="10" t="s">
        <v>70</v>
      </c>
      <c r="B335" s="10" t="s">
        <v>170</v>
      </c>
      <c r="C335" s="10" t="s">
        <v>28</v>
      </c>
      <c r="D335" s="8">
        <f>Zone_Site_Means!$L$15</f>
        <v>1.9803333333333333</v>
      </c>
      <c r="E335" s="21">
        <f>D335*Parameters!$B$4*Parameters!$B$5</f>
        <v>1.9803333333333337E-6</v>
      </c>
      <c r="F335" s="21">
        <f>E335*Parameters!$D$9*Parameters!$D$10*Parameters!$D$11/(Parameters!$D$8*Parameters!$D$15)</f>
        <v>1.3202222222222224E-7</v>
      </c>
      <c r="G335" s="21">
        <f>E335*Parameters!$D$12*Parameters!$F$29*Parameters!$D$13*Parameters!$D$10*Parameters!$D$11*Parameters!$D$14/(Parameters!$D$8*Parameters!$D$15)</f>
        <v>9.2628146561437446E-9</v>
      </c>
      <c r="H335" s="21">
        <f>F335/Parameters!$B$29</f>
        <v>4.4007407407407417E-4</v>
      </c>
      <c r="I335" s="21">
        <f>G335/Parameters!$B$29</f>
        <v>3.0876048853812482E-5</v>
      </c>
      <c r="J335" s="21">
        <f t="shared" si="10"/>
        <v>4.7095012292788666E-4</v>
      </c>
      <c r="K335" s="21">
        <f>F335*Parameters!$D$15/Parameters!$D$16</f>
        <v>1.1316190476190479E-8</v>
      </c>
      <c r="L335" s="21">
        <f>G335*Parameters!$D$15/Parameters!$D$16</f>
        <v>7.9395554195517817E-10</v>
      </c>
      <c r="M335" s="21">
        <f>K335*Parameters!$C$29</f>
        <v>1.4711047619047624E-8</v>
      </c>
      <c r="N335" s="21">
        <f>L335*Parameters!$C$29</f>
        <v>1.0321422045417317E-9</v>
      </c>
      <c r="O335" s="21">
        <f t="shared" si="11"/>
        <v>1.5743189823589356E-8</v>
      </c>
    </row>
    <row r="336" spans="1:15" ht="15" customHeight="1" x14ac:dyDescent="0.25">
      <c r="A336" s="10" t="s">
        <v>70</v>
      </c>
      <c r="B336" s="10" t="s">
        <v>170</v>
      </c>
      <c r="C336" s="10" t="s">
        <v>29</v>
      </c>
      <c r="D336" s="8">
        <f>Zone_Site_Means!$M$15</f>
        <v>4.8163333333333327</v>
      </c>
      <c r="E336" s="21">
        <f>D336*Parameters!$B$4*Parameters!$B$5</f>
        <v>4.8163333333333334E-6</v>
      </c>
      <c r="F336" s="21">
        <f>E336*Parameters!$D$9*Parameters!$D$10*Parameters!$D$11/(Parameters!$D$8*Parameters!$D$15)</f>
        <v>3.2108888888888888E-7</v>
      </c>
      <c r="G336" s="21">
        <f>E336*Parameters!$D$12*Parameters!$F$30*Parameters!$D$13*Parameters!$D$10*Parameters!$D$11*Parameters!$D$14/(Parameters!$D$8*Parameters!$D$15)</f>
        <v>4.2650213826183873E-8</v>
      </c>
      <c r="H336" s="21">
        <f>F336/Parameters!$B$30</f>
        <v>1.0702962962962964E-3</v>
      </c>
      <c r="I336" s="21">
        <f>G336/Parameters!$B$30</f>
        <v>1.4216737942061291E-4</v>
      </c>
      <c r="J336" s="21">
        <f t="shared" si="10"/>
        <v>1.2124636757169093E-3</v>
      </c>
      <c r="K336" s="21">
        <f>F336*Parameters!$D$15/Parameters!$D$16</f>
        <v>2.7521904761904762E-8</v>
      </c>
      <c r="L336" s="21">
        <f>G336*Parameters!$D$15/Parameters!$D$16</f>
        <v>3.6557326136729032E-9</v>
      </c>
      <c r="M336" s="21">
        <f>K336*Parameters!$C$30</f>
        <v>0</v>
      </c>
      <c r="N336" s="21">
        <f>L336*Parameters!$C$30</f>
        <v>0</v>
      </c>
      <c r="O336" s="21">
        <f t="shared" si="11"/>
        <v>0</v>
      </c>
    </row>
    <row r="337" spans="1:15" ht="15" customHeight="1" x14ac:dyDescent="0.25">
      <c r="A337" s="10" t="s">
        <v>70</v>
      </c>
      <c r="B337" s="10" t="s">
        <v>170</v>
      </c>
      <c r="C337" s="10" t="s">
        <v>30</v>
      </c>
      <c r="D337" s="8">
        <f>Zone_Site_Means!$N$15</f>
        <v>1.8836666666666666</v>
      </c>
      <c r="E337" s="21">
        <f>D337*Parameters!$B$4*Parameters!$B$5</f>
        <v>1.8836666666666669E-6</v>
      </c>
      <c r="F337" s="21">
        <f>E337*Parameters!$D$9*Parameters!$D$10*Parameters!$D$11/(Parameters!$D$8*Parameters!$D$15)</f>
        <v>1.2557777777777779E-7</v>
      </c>
      <c r="G337" s="21">
        <f>E337*Parameters!$D$12*Parameters!$F$31*Parameters!$D$13*Parameters!$D$10*Parameters!$D$11*Parameters!$D$14/(Parameters!$D$8*Parameters!$D$15)</f>
        <v>2.3171851097939766E-7</v>
      </c>
      <c r="H337" s="21">
        <f>F337/Parameters!$B$31</f>
        <v>4.1859259259259263E-3</v>
      </c>
      <c r="I337" s="21">
        <f>G337/Parameters!$B$31</f>
        <v>7.723950365979922E-3</v>
      </c>
      <c r="J337" s="21">
        <f t="shared" si="10"/>
        <v>1.1909876291905848E-2</v>
      </c>
      <c r="K337" s="21">
        <f>F337*Parameters!$D$15/Parameters!$D$16</f>
        <v>1.0763809523809526E-8</v>
      </c>
      <c r="L337" s="21">
        <f>G337*Parameters!$D$15/Parameters!$D$16</f>
        <v>1.9861586655376943E-8</v>
      </c>
      <c r="M337" s="21">
        <f>K337*Parameters!$C$31</f>
        <v>1.8298476190476192E-7</v>
      </c>
      <c r="N337" s="21">
        <f>L337*Parameters!$C$31</f>
        <v>3.3764697314140801E-7</v>
      </c>
      <c r="O337" s="21">
        <f t="shared" si="11"/>
        <v>5.2063173504616993E-7</v>
      </c>
    </row>
    <row r="338" spans="1:15" ht="15" customHeight="1" x14ac:dyDescent="0.25">
      <c r="A338" s="10" t="s">
        <v>70</v>
      </c>
      <c r="B338" s="10" t="s">
        <v>170</v>
      </c>
      <c r="C338" s="10" t="s">
        <v>31</v>
      </c>
      <c r="D338" s="8">
        <f>Zone_Site_Means!$O$15</f>
        <v>3.9233333333333333</v>
      </c>
      <c r="E338" s="21">
        <f>D338*Parameters!$B$4*Parameters!$B$5</f>
        <v>3.9233333333333336E-6</v>
      </c>
      <c r="F338" s="21">
        <f>E338*Parameters!$D$9*Parameters!$D$10*Parameters!$D$11/(Parameters!$D$8*Parameters!$D$15)</f>
        <v>2.6155555555555556E-7</v>
      </c>
      <c r="G338" s="21">
        <f>E338*Parameters!$D$12*Parameters!$F$32*Parameters!$D$13*Parameters!$D$10*Parameters!$D$11*Parameters!$D$14/(Parameters!$D$8*Parameters!$D$15)</f>
        <v>7.3792442339501266E-8</v>
      </c>
      <c r="H338" s="21">
        <f>F338/Parameters!$B$32</f>
        <v>5.2311111111111109E-3</v>
      </c>
      <c r="I338" s="21">
        <f>G338/Parameters!$B$32</f>
        <v>1.4758488467900253E-3</v>
      </c>
      <c r="J338" s="21">
        <f t="shared" si="10"/>
        <v>6.7069599579011362E-3</v>
      </c>
      <c r="K338" s="21">
        <f>F338*Parameters!$D$15/Parameters!$D$16</f>
        <v>2.2419047619047619E-8</v>
      </c>
      <c r="L338" s="21">
        <f>G338*Parameters!$D$15/Parameters!$D$16</f>
        <v>6.3250664862429658E-9</v>
      </c>
      <c r="M338" s="21">
        <f>K338*Parameters!$C$32</f>
        <v>3.5870476190476191E-7</v>
      </c>
      <c r="N338" s="21">
        <f>L338*Parameters!$C$32</f>
        <v>1.0120106377988745E-7</v>
      </c>
      <c r="O338" s="21">
        <f t="shared" si="11"/>
        <v>4.5990582568464936E-7</v>
      </c>
    </row>
    <row r="339" spans="1:15" ht="15" customHeight="1" x14ac:dyDescent="0.25">
      <c r="A339" s="10" t="s">
        <v>70</v>
      </c>
      <c r="B339" s="10" t="s">
        <v>170</v>
      </c>
      <c r="C339" s="10" t="s">
        <v>32</v>
      </c>
      <c r="D339" s="8">
        <f>Zone_Site_Means!$P$15</f>
        <v>3.3506666666666667</v>
      </c>
      <c r="E339" s="21">
        <f>D339*Parameters!$B$4*Parameters!$B$5</f>
        <v>3.350666666666667E-6</v>
      </c>
      <c r="F339" s="21">
        <f>E339*Parameters!$D$9*Parameters!$D$10*Parameters!$D$11/(Parameters!$D$8*Parameters!$D$15)</f>
        <v>2.233777777777778E-7</v>
      </c>
      <c r="G339" s="21">
        <f>E339*Parameters!$D$12*Parameters!$F$33*Parameters!$D$13*Parameters!$D$10*Parameters!$D$11*Parameters!$D$14/(Parameters!$D$8*Parameters!$D$15)</f>
        <v>2.0136867001863552E-7</v>
      </c>
      <c r="H339" s="21">
        <f>F339/Parameters!$B$33</f>
        <v>4.4675555555555562E-4</v>
      </c>
      <c r="I339" s="21">
        <f>G339/Parameters!$B$33</f>
        <v>4.0273734003727104E-4</v>
      </c>
      <c r="J339" s="21">
        <f t="shared" si="10"/>
        <v>8.4949289559282666E-4</v>
      </c>
      <c r="K339" s="21">
        <f>F339*Parameters!$D$15/Parameters!$D$16</f>
        <v>1.914666666666667E-8</v>
      </c>
      <c r="L339" s="21">
        <f>G339*Parameters!$D$15/Parameters!$D$16</f>
        <v>1.7260171715883046E-8</v>
      </c>
      <c r="M339" s="21">
        <f>K339*Parameters!$C$33</f>
        <v>8.6160000000000012E-8</v>
      </c>
      <c r="N339" s="21">
        <f>L339*Parameters!$C$33</f>
        <v>7.7670772721473708E-8</v>
      </c>
      <c r="O339" s="21">
        <f t="shared" si="11"/>
        <v>1.6383077272147371E-7</v>
      </c>
    </row>
    <row r="340" spans="1:15" ht="15" customHeight="1" x14ac:dyDescent="0.25">
      <c r="A340" s="10" t="s">
        <v>70</v>
      </c>
      <c r="B340" s="10" t="s">
        <v>170</v>
      </c>
      <c r="C340" s="10" t="s">
        <v>33</v>
      </c>
      <c r="D340" s="8">
        <f>Zone_Site_Means!$Q$15</f>
        <v>5.3006666666666673</v>
      </c>
      <c r="E340" s="21">
        <f>D340*Parameters!$B$4*Parameters!$B$5</f>
        <v>5.3006666666666674E-6</v>
      </c>
      <c r="F340" s="21">
        <f>E340*Parameters!$D$9*Parameters!$D$10*Parameters!$D$11/(Parameters!$D$8*Parameters!$D$15)</f>
        <v>3.5337777777777783E-7</v>
      </c>
      <c r="G340" s="21">
        <f>E340*Parameters!$D$12*Parameters!$F$34*Parameters!$D$13*Parameters!$D$10*Parameters!$D$11*Parameters!$D$14/(Parameters!$D$8*Parameters!$D$15)</f>
        <v>4.7248842199635698E-8</v>
      </c>
      <c r="H340" s="21">
        <f>F340/Parameters!$B$34</f>
        <v>2.718290598290599E-2</v>
      </c>
      <c r="I340" s="21">
        <f>G340/Parameters!$B$34</f>
        <v>3.6345263230489E-3</v>
      </c>
      <c r="J340" s="21">
        <f t="shared" si="10"/>
        <v>3.0817432305954889E-2</v>
      </c>
      <c r="K340" s="21">
        <f>F340*Parameters!$D$15/Parameters!$D$16</f>
        <v>3.0289523809523812E-8</v>
      </c>
      <c r="L340" s="21">
        <f>G340*Parameters!$D$15/Parameters!$D$16</f>
        <v>4.0499007599687743E-9</v>
      </c>
      <c r="M340" s="21">
        <f>K340*Parameters!$C$34</f>
        <v>2.7563466666666668E-7</v>
      </c>
      <c r="N340" s="21">
        <f>L340*Parameters!$C$34</f>
        <v>3.6854096915715842E-8</v>
      </c>
      <c r="O340" s="21">
        <f t="shared" si="11"/>
        <v>3.1248876358238251E-7</v>
      </c>
    </row>
    <row r="341" spans="1:15" ht="15" customHeight="1" x14ac:dyDescent="0.25">
      <c r="A341" s="10" t="s">
        <v>74</v>
      </c>
      <c r="B341" s="10" t="s">
        <v>169</v>
      </c>
      <c r="C341" s="10" t="s">
        <v>20</v>
      </c>
      <c r="D341" s="8">
        <f>Zone_Site_Means!$D$16</f>
        <v>5.4953333333333338</v>
      </c>
      <c r="E341" s="21">
        <f>D341*Parameters!$B$4*Parameters!$B$5</f>
        <v>5.495333333333334E-6</v>
      </c>
      <c r="F341" s="21">
        <f>E341*Parameters!$C$9*Parameters!$C$10*Parameters!$C$11/(Parameters!$C$8*Parameters!$C$15)</f>
        <v>1.5700952380952383E-7</v>
      </c>
      <c r="G341" s="21">
        <f>E341*Parameters!$C$12*Parameters!$F$21*Parameters!$C$13*Parameters!$C$10*Parameters!$C$11*Parameters!$C$14/(Parameters!$C$8*Parameters!$C$15)</f>
        <v>4.0724194167804229E-7</v>
      </c>
      <c r="H341" s="21">
        <f>F341/Parameters!$B$21</f>
        <v>3.1401904761904767E-4</v>
      </c>
      <c r="I341" s="21">
        <f>G341/Parameters!$B$21</f>
        <v>8.1448388335608453E-4</v>
      </c>
      <c r="J341" s="21">
        <f t="shared" si="10"/>
        <v>1.1285029309751322E-3</v>
      </c>
      <c r="K341" s="21">
        <f>F341*Parameters!$C$15/Parameters!$C$16</f>
        <v>1.5700952380952383E-7</v>
      </c>
      <c r="L341" s="21">
        <f>G341*Parameters!$C$15/Parameters!$C$16</f>
        <v>4.0724194167804224E-7</v>
      </c>
      <c r="M341" s="21">
        <f>K341*Parameters!$C$21</f>
        <v>5.3383238095238107E-8</v>
      </c>
      <c r="N341" s="21">
        <f>L341*Parameters!$C$21</f>
        <v>1.3846226017053436E-7</v>
      </c>
      <c r="O341" s="21">
        <f t="shared" si="11"/>
        <v>1.9184549826577246E-7</v>
      </c>
    </row>
    <row r="342" spans="1:15" ht="15" customHeight="1" x14ac:dyDescent="0.25">
      <c r="A342" s="10" t="s">
        <v>74</v>
      </c>
      <c r="B342" s="10" t="s">
        <v>169</v>
      </c>
      <c r="C342" s="10" t="s">
        <v>21</v>
      </c>
      <c r="D342" s="8">
        <f>Zone_Site_Means!$E$16</f>
        <v>5.8893333333333331</v>
      </c>
      <c r="E342" s="21">
        <f>D342*Parameters!$B$4*Parameters!$B$5</f>
        <v>5.8893333333333331E-6</v>
      </c>
      <c r="F342" s="21">
        <f>E342*Parameters!$C$9*Parameters!$C$10*Parameters!$C$11/(Parameters!$C$8*Parameters!$C$15)</f>
        <v>1.6826666666666664E-7</v>
      </c>
      <c r="G342" s="21">
        <f>E342*Parameters!$C$12*Parameters!$F$22*Parameters!$C$13*Parameters!$C$10*Parameters!$C$11*Parameters!$C$14/(Parameters!$C$8*Parameters!$C$15)</f>
        <v>5.2375067359312865E-7</v>
      </c>
      <c r="H342" s="21">
        <f>F342/Parameters!$B$22</f>
        <v>3.3653333333333329E-4</v>
      </c>
      <c r="I342" s="21">
        <f>G342/Parameters!$B$22</f>
        <v>1.0475013471862573E-3</v>
      </c>
      <c r="J342" s="21">
        <f t="shared" si="10"/>
        <v>1.3840346805195907E-3</v>
      </c>
      <c r="K342" s="21">
        <f>F342*Parameters!$C$15/Parameters!$C$16</f>
        <v>1.6826666666666664E-7</v>
      </c>
      <c r="L342" s="21">
        <f>G342*Parameters!$C$15/Parameters!$C$16</f>
        <v>5.2375067359312865E-7</v>
      </c>
      <c r="M342" s="21">
        <f>K342*Parameters!$C$22</f>
        <v>5.7210666666666659E-8</v>
      </c>
      <c r="N342" s="21">
        <f>L342*Parameters!$C$22</f>
        <v>1.7807522902166376E-7</v>
      </c>
      <c r="O342" s="21">
        <f t="shared" si="11"/>
        <v>2.3528589568833042E-7</v>
      </c>
    </row>
    <row r="343" spans="1:15" ht="15" customHeight="1" x14ac:dyDescent="0.25">
      <c r="A343" s="10" t="s">
        <v>74</v>
      </c>
      <c r="B343" s="10" t="s">
        <v>169</v>
      </c>
      <c r="C343" s="10" t="s">
        <v>22</v>
      </c>
      <c r="D343" s="8">
        <f>Zone_Site_Means!$F$16</f>
        <v>5.2126666666666663</v>
      </c>
      <c r="E343" s="21">
        <f>D343*Parameters!$B$4*Parameters!$B$5</f>
        <v>5.2126666666666667E-6</v>
      </c>
      <c r="F343" s="21">
        <f>E343*Parameters!$C$9*Parameters!$C$10*Parameters!$C$11/(Parameters!$C$8*Parameters!$C$15)</f>
        <v>1.4893333333333332E-7</v>
      </c>
      <c r="G343" s="21">
        <f>E343*Parameters!$C$12*Parameters!$F$23*Parameters!$C$13*Parameters!$C$10*Parameters!$C$11*Parameters!$C$14/(Parameters!$C$8*Parameters!$C$15)</f>
        <v>1.488121573391434E-7</v>
      </c>
      <c r="H343" s="21">
        <f>F343/Parameters!$B$23</f>
        <v>2.9786666666666662E-4</v>
      </c>
      <c r="I343" s="21">
        <f>G343/Parameters!$B$23</f>
        <v>2.9762431467828681E-4</v>
      </c>
      <c r="J343" s="21">
        <f t="shared" si="10"/>
        <v>5.9549098134495338E-4</v>
      </c>
      <c r="K343" s="21">
        <f>F343*Parameters!$C$15/Parameters!$C$16</f>
        <v>1.4893333333333332E-7</v>
      </c>
      <c r="L343" s="21">
        <f>G343*Parameters!$C$15/Parameters!$C$16</f>
        <v>1.488121573391434E-7</v>
      </c>
      <c r="M343" s="21">
        <f>K343*Parameters!$C$23</f>
        <v>5.0637333333333335E-8</v>
      </c>
      <c r="N343" s="21">
        <f>L343*Parameters!$C$23</f>
        <v>5.0596133495308761E-8</v>
      </c>
      <c r="O343" s="21">
        <f t="shared" si="11"/>
        <v>1.012334668286421E-7</v>
      </c>
    </row>
    <row r="344" spans="1:15" ht="15" customHeight="1" x14ac:dyDescent="0.25">
      <c r="A344" s="10" t="s">
        <v>74</v>
      </c>
      <c r="B344" s="10" t="s">
        <v>169</v>
      </c>
      <c r="C344" s="10" t="s">
        <v>23</v>
      </c>
      <c r="D344" s="8">
        <f>Zone_Site_Means!$G$16</f>
        <v>6.944</v>
      </c>
      <c r="E344" s="21">
        <f>D344*Parameters!$B$4*Parameters!$B$5</f>
        <v>6.9440000000000008E-6</v>
      </c>
      <c r="F344" s="21">
        <f>E344*Parameters!$C$9*Parameters!$C$10*Parameters!$C$11/(Parameters!$C$8*Parameters!$C$15)</f>
        <v>1.9840000000000003E-7</v>
      </c>
      <c r="G344" s="21">
        <f>E344*Parameters!$C$12*Parameters!$F$24*Parameters!$C$13*Parameters!$C$10*Parameters!$C$11*Parameters!$C$14/(Parameters!$C$8*Parameters!$C$15)</f>
        <v>2.4899359223554156E-7</v>
      </c>
      <c r="H344" s="21">
        <f>F344/Parameters!$B$24</f>
        <v>3.9680000000000005E-4</v>
      </c>
      <c r="I344" s="21">
        <f>G344/Parameters!$B$24</f>
        <v>4.9798718447108313E-4</v>
      </c>
      <c r="J344" s="21">
        <f t="shared" si="10"/>
        <v>8.9478718447108313E-4</v>
      </c>
      <c r="K344" s="21">
        <f>F344*Parameters!$C$15/Parameters!$C$16</f>
        <v>1.9840000000000003E-7</v>
      </c>
      <c r="L344" s="21">
        <f>G344*Parameters!$C$15/Parameters!$C$16</f>
        <v>2.4899359223554156E-7</v>
      </c>
      <c r="M344" s="21">
        <f>K344*Parameters!$C$24</f>
        <v>6.7456000000000019E-8</v>
      </c>
      <c r="N344" s="21">
        <f>L344*Parameters!$C$24</f>
        <v>8.4657821360084137E-8</v>
      </c>
      <c r="O344" s="21">
        <f t="shared" si="11"/>
        <v>1.5211382136008416E-7</v>
      </c>
    </row>
    <row r="345" spans="1:15" ht="15" customHeight="1" x14ac:dyDescent="0.25">
      <c r="A345" s="10" t="s">
        <v>74</v>
      </c>
      <c r="B345" s="10" t="s">
        <v>169</v>
      </c>
      <c r="C345" s="10" t="s">
        <v>24</v>
      </c>
      <c r="D345" s="8">
        <f>Zone_Site_Means!$H$16</f>
        <v>7.4319999999999995</v>
      </c>
      <c r="E345" s="21">
        <f>D345*Parameters!$B$4*Parameters!$B$5</f>
        <v>7.4319999999999993E-6</v>
      </c>
      <c r="F345" s="21">
        <f>E345*Parameters!$C$9*Parameters!$C$10*Parameters!$C$11/(Parameters!$C$8*Parameters!$C$15)</f>
        <v>2.1234285714285713E-7</v>
      </c>
      <c r="G345" s="21">
        <f>E345*Parameters!$C$12*Parameters!$F$25*Parameters!$C$13*Parameters!$C$10*Parameters!$C$11*Parameters!$C$14/(Parameters!$C$8*Parameters!$C$15)</f>
        <v>2.6530177744400166E-7</v>
      </c>
      <c r="H345" s="21">
        <f>F345/Parameters!$B$25</f>
        <v>4.2468571428571424E-4</v>
      </c>
      <c r="I345" s="21">
        <f>G345/Parameters!$B$25</f>
        <v>5.3060355488800332E-4</v>
      </c>
      <c r="J345" s="21">
        <f t="shared" si="10"/>
        <v>9.5528926917371761E-4</v>
      </c>
      <c r="K345" s="21">
        <f>F345*Parameters!$C$15/Parameters!$C$16</f>
        <v>2.1234285714285713E-7</v>
      </c>
      <c r="L345" s="21">
        <f>G345*Parameters!$C$15/Parameters!$C$16</f>
        <v>2.6530177744400166E-7</v>
      </c>
      <c r="M345" s="21">
        <f>K345*Parameters!$C$25</f>
        <v>7.2196571428571434E-8</v>
      </c>
      <c r="N345" s="21">
        <f>L345*Parameters!$C$25</f>
        <v>9.0202604330960571E-8</v>
      </c>
      <c r="O345" s="21">
        <f t="shared" si="11"/>
        <v>1.6239917575953201E-7</v>
      </c>
    </row>
    <row r="346" spans="1:15" ht="15" customHeight="1" x14ac:dyDescent="0.25">
      <c r="A346" s="10" t="s">
        <v>74</v>
      </c>
      <c r="B346" s="10" t="s">
        <v>169</v>
      </c>
      <c r="C346" s="10" t="s">
        <v>25</v>
      </c>
      <c r="D346" s="8">
        <f>Zone_Site_Means!$I$16</f>
        <v>15.013666666666666</v>
      </c>
      <c r="E346" s="21">
        <f>D346*Parameters!$B$4*Parameters!$B$5</f>
        <v>1.5013666666666667E-5</v>
      </c>
      <c r="F346" s="21">
        <f>E346*Parameters!$C$9*Parameters!$C$10*Parameters!$C$11/(Parameters!$C$8*Parameters!$C$15)</f>
        <v>4.2896190476190473E-7</v>
      </c>
      <c r="G346" s="21">
        <f>E346*Parameters!$C$12*Parameters!$F$26*Parameters!$C$13*Parameters!$C$10*Parameters!$C$11*Parameters!$C$14/(Parameters!$C$8*Parameters!$C$15)</f>
        <v>1.1633790212829022E-6</v>
      </c>
      <c r="H346" s="21">
        <f>F346/Parameters!$B$26</f>
        <v>8.5792380952380944E-4</v>
      </c>
      <c r="I346" s="21">
        <f>G346/Parameters!$B$26</f>
        <v>2.3267580425658046E-3</v>
      </c>
      <c r="J346" s="21">
        <f t="shared" si="10"/>
        <v>3.1846818520896141E-3</v>
      </c>
      <c r="K346" s="21">
        <f>F346*Parameters!$C$15/Parameters!$C$16</f>
        <v>4.2896190476190473E-7</v>
      </c>
      <c r="L346" s="21">
        <f>G346*Parameters!$C$15/Parameters!$C$16</f>
        <v>1.1633790212829022E-6</v>
      </c>
      <c r="M346" s="21">
        <f>K346*Parameters!$C$26</f>
        <v>1.4584704761904763E-7</v>
      </c>
      <c r="N346" s="21">
        <f>L346*Parameters!$C$26</f>
        <v>3.9554886723618676E-7</v>
      </c>
      <c r="O346" s="21">
        <f t="shared" si="11"/>
        <v>5.4139591485523436E-7</v>
      </c>
    </row>
    <row r="347" spans="1:15" ht="15" customHeight="1" x14ac:dyDescent="0.25">
      <c r="A347" s="10" t="s">
        <v>74</v>
      </c>
      <c r="B347" s="10" t="s">
        <v>169</v>
      </c>
      <c r="C347" s="10" t="s">
        <v>26</v>
      </c>
      <c r="D347" s="8">
        <f>Zone_Site_Means!$J$16</f>
        <v>6.1423333333333332</v>
      </c>
      <c r="E347" s="21">
        <f>D347*Parameters!$B$4*Parameters!$B$5</f>
        <v>6.142333333333333E-6</v>
      </c>
      <c r="F347" s="21">
        <f>E347*Parameters!$C$9*Parameters!$C$10*Parameters!$C$11/(Parameters!$C$8*Parameters!$C$15)</f>
        <v>1.754952380952381E-7</v>
      </c>
      <c r="G347" s="21">
        <f>E347*Parameters!$C$12*Parameters!$F$27*Parameters!$C$13*Parameters!$C$10*Parameters!$C$11*Parameters!$C$14/(Parameters!$C$8*Parameters!$C$15)</f>
        <v>1.0997344750953479E-8</v>
      </c>
      <c r="H347" s="21">
        <f>F347/Parameters!$B$27</f>
        <v>5.8498412698412708E-4</v>
      </c>
      <c r="I347" s="21">
        <f>G347/Parameters!$B$27</f>
        <v>3.66578158365116E-5</v>
      </c>
      <c r="J347" s="21">
        <f t="shared" si="10"/>
        <v>6.2164194282063865E-4</v>
      </c>
      <c r="K347" s="21">
        <f>F347*Parameters!$C$15/Parameters!$C$16</f>
        <v>1.754952380952381E-7</v>
      </c>
      <c r="L347" s="21">
        <f>G347*Parameters!$C$15/Parameters!$C$16</f>
        <v>1.0997344750953479E-8</v>
      </c>
      <c r="M347" s="21">
        <f>K347*Parameters!$C$27</f>
        <v>1.10562E-6</v>
      </c>
      <c r="N347" s="21">
        <f>L347*Parameters!$C$27</f>
        <v>6.928327193100691E-8</v>
      </c>
      <c r="O347" s="21">
        <f t="shared" si="11"/>
        <v>1.1749032719310068E-6</v>
      </c>
    </row>
    <row r="348" spans="1:15" ht="15" customHeight="1" x14ac:dyDescent="0.25">
      <c r="A348" s="10" t="s">
        <v>74</v>
      </c>
      <c r="B348" s="10" t="s">
        <v>169</v>
      </c>
      <c r="C348" s="10" t="s">
        <v>27</v>
      </c>
      <c r="D348" s="8">
        <f>Zone_Site_Means!$K$16</f>
        <v>12.096666666666666</v>
      </c>
      <c r="E348" s="21">
        <f>D348*Parameters!$B$4*Parameters!$B$5</f>
        <v>1.2096666666666665E-5</v>
      </c>
      <c r="F348" s="21">
        <f>E348*Parameters!$C$9*Parameters!$C$10*Parameters!$C$11/(Parameters!$C$8*Parameters!$C$15)</f>
        <v>3.456190476190476E-7</v>
      </c>
      <c r="G348" s="21">
        <f>E348*Parameters!$C$12*Parameters!$F$28*Parameters!$C$13*Parameters!$C$10*Parameters!$C$11*Parameters!$C$14/(Parameters!$C$8*Parameters!$C$15)</f>
        <v>2.1009715530116076E-8</v>
      </c>
      <c r="H348" s="21">
        <f>F348/Parameters!$B$28</f>
        <v>1.1520634920634922E-3</v>
      </c>
      <c r="I348" s="21">
        <f>G348/Parameters!$B$28</f>
        <v>7.0032385100386919E-5</v>
      </c>
      <c r="J348" s="21">
        <f t="shared" si="10"/>
        <v>1.2220958771638792E-3</v>
      </c>
      <c r="K348" s="21">
        <f>F348*Parameters!$C$15/Parameters!$C$16</f>
        <v>3.456190476190476E-7</v>
      </c>
      <c r="L348" s="21">
        <f>G348*Parameters!$C$15/Parameters!$C$16</f>
        <v>2.1009715530116072E-8</v>
      </c>
      <c r="M348" s="21">
        <f>K348*Parameters!$C$28</f>
        <v>6.2211428571428571E-7</v>
      </c>
      <c r="N348" s="21">
        <f>L348*Parameters!$C$28</f>
        <v>3.7817487954208933E-8</v>
      </c>
      <c r="O348" s="21">
        <f t="shared" si="11"/>
        <v>6.5993177366849469E-7</v>
      </c>
    </row>
    <row r="349" spans="1:15" ht="15" customHeight="1" x14ac:dyDescent="0.25">
      <c r="A349" s="10" t="s">
        <v>74</v>
      </c>
      <c r="B349" s="10" t="s">
        <v>169</v>
      </c>
      <c r="C349" s="10" t="s">
        <v>28</v>
      </c>
      <c r="D349" s="8">
        <f>Zone_Site_Means!$L$16</f>
        <v>3.1776666666666666</v>
      </c>
      <c r="E349" s="21">
        <f>D349*Parameters!$B$4*Parameters!$B$5</f>
        <v>3.1776666666666667E-6</v>
      </c>
      <c r="F349" s="21">
        <f>E349*Parameters!$C$9*Parameters!$C$10*Parameters!$C$11/(Parameters!$C$8*Parameters!$C$15)</f>
        <v>9.079047619047619E-8</v>
      </c>
      <c r="G349" s="21">
        <f>E349*Parameters!$C$12*Parameters!$F$29*Parameters!$C$13*Parameters!$C$10*Parameters!$C$11*Parameters!$C$14/(Parameters!$C$8*Parameters!$C$15)</f>
        <v>5.0380537542417697E-9</v>
      </c>
      <c r="H349" s="21">
        <f>F349/Parameters!$B$29</f>
        <v>3.0263492063492065E-4</v>
      </c>
      <c r="I349" s="21">
        <f>G349/Parameters!$B$29</f>
        <v>1.6793512514139235E-5</v>
      </c>
      <c r="J349" s="21">
        <f t="shared" si="10"/>
        <v>3.1942843314905988E-4</v>
      </c>
      <c r="K349" s="21">
        <f>F349*Parameters!$C$15/Parameters!$C$16</f>
        <v>9.079047619047619E-8</v>
      </c>
      <c r="L349" s="21">
        <f>G349*Parameters!$C$15/Parameters!$C$16</f>
        <v>5.0380537542417697E-9</v>
      </c>
      <c r="M349" s="21">
        <f>K349*Parameters!$C$29</f>
        <v>1.1802761904761905E-7</v>
      </c>
      <c r="N349" s="21">
        <f>L349*Parameters!$C$29</f>
        <v>6.5494698805143012E-9</v>
      </c>
      <c r="O349" s="21">
        <f t="shared" si="11"/>
        <v>1.2457708892813335E-7</v>
      </c>
    </row>
    <row r="350" spans="1:15" ht="15" customHeight="1" x14ac:dyDescent="0.25">
      <c r="A350" s="10" t="s">
        <v>74</v>
      </c>
      <c r="B350" s="10" t="s">
        <v>169</v>
      </c>
      <c r="C350" s="10" t="s">
        <v>29</v>
      </c>
      <c r="D350" s="8">
        <f>Zone_Site_Means!$M$16</f>
        <v>5.1403333333333334</v>
      </c>
      <c r="E350" s="21">
        <f>D350*Parameters!$B$4*Parameters!$B$5</f>
        <v>5.140333333333334E-6</v>
      </c>
      <c r="F350" s="21">
        <f>E350*Parameters!$C$9*Parameters!$C$10*Parameters!$C$11/(Parameters!$C$8*Parameters!$C$15)</f>
        <v>1.4686666666666667E-7</v>
      </c>
      <c r="G350" s="21">
        <f>E350*Parameters!$C$12*Parameters!$F$30*Parameters!$C$13*Parameters!$C$10*Parameters!$C$11*Parameters!$C$14/(Parameters!$C$8*Parameters!$C$15)</f>
        <v>1.5429282867276554E-8</v>
      </c>
      <c r="H350" s="21">
        <f>F350/Parameters!$B$30</f>
        <v>4.8955555555555558E-4</v>
      </c>
      <c r="I350" s="21">
        <f>G350/Parameters!$B$30</f>
        <v>5.1430942890921855E-5</v>
      </c>
      <c r="J350" s="21">
        <f t="shared" si="10"/>
        <v>5.4098649844647748E-4</v>
      </c>
      <c r="K350" s="21">
        <f>F350*Parameters!$C$15/Parameters!$C$16</f>
        <v>1.4686666666666667E-7</v>
      </c>
      <c r="L350" s="21">
        <f>G350*Parameters!$C$15/Parameters!$C$16</f>
        <v>1.5429282867276554E-8</v>
      </c>
      <c r="M350" s="21">
        <f>K350*Parameters!$C$30</f>
        <v>0</v>
      </c>
      <c r="N350" s="21">
        <f>L350*Parameters!$C$30</f>
        <v>0</v>
      </c>
      <c r="O350" s="21">
        <f t="shared" si="11"/>
        <v>0</v>
      </c>
    </row>
    <row r="351" spans="1:15" ht="15" customHeight="1" x14ac:dyDescent="0.25">
      <c r="A351" s="10" t="s">
        <v>74</v>
      </c>
      <c r="B351" s="10" t="s">
        <v>169</v>
      </c>
      <c r="C351" s="10" t="s">
        <v>30</v>
      </c>
      <c r="D351" s="8">
        <f>Zone_Site_Means!$N$16</f>
        <v>2.9703333333333339</v>
      </c>
      <c r="E351" s="21">
        <f>D351*Parameters!$B$4*Parameters!$B$5</f>
        <v>2.970333333333334E-6</v>
      </c>
      <c r="F351" s="21">
        <f>E351*Parameters!$C$9*Parameters!$C$10*Parameters!$C$11/(Parameters!$C$8*Parameters!$C$15)</f>
        <v>8.4866666666666672E-8</v>
      </c>
      <c r="G351" s="21">
        <f>E351*Parameters!$C$12*Parameters!$F$31*Parameters!$C$13*Parameters!$C$10*Parameters!$C$11*Parameters!$C$14/(Parameters!$C$8*Parameters!$C$15)</f>
        <v>1.2385445927259504E-7</v>
      </c>
      <c r="H351" s="21">
        <f>F351/Parameters!$B$31</f>
        <v>2.828888888888889E-3</v>
      </c>
      <c r="I351" s="21">
        <f>G351/Parameters!$B$31</f>
        <v>4.1284819757531682E-3</v>
      </c>
      <c r="J351" s="21">
        <f t="shared" si="10"/>
        <v>6.9573708646420568E-3</v>
      </c>
      <c r="K351" s="21">
        <f>F351*Parameters!$C$15/Parameters!$C$16</f>
        <v>8.4866666666666685E-8</v>
      </c>
      <c r="L351" s="21">
        <f>G351*Parameters!$C$15/Parameters!$C$16</f>
        <v>1.2385445927259504E-7</v>
      </c>
      <c r="M351" s="21">
        <f>K351*Parameters!$C$31</f>
        <v>1.4427333333333336E-6</v>
      </c>
      <c r="N351" s="21">
        <f>L351*Parameters!$C$31</f>
        <v>2.1055258076341157E-6</v>
      </c>
      <c r="O351" s="21">
        <f t="shared" si="11"/>
        <v>3.5482591409674493E-6</v>
      </c>
    </row>
    <row r="352" spans="1:15" ht="15" customHeight="1" x14ac:dyDescent="0.25">
      <c r="A352" s="10" t="s">
        <v>74</v>
      </c>
      <c r="B352" s="10" t="s">
        <v>169</v>
      </c>
      <c r="C352" s="10" t="s">
        <v>31</v>
      </c>
      <c r="D352" s="8">
        <f>Zone_Site_Means!$O$16</f>
        <v>4.7450000000000001</v>
      </c>
      <c r="E352" s="21">
        <f>D352*Parameters!$B$4*Parameters!$B$5</f>
        <v>4.7450000000000003E-6</v>
      </c>
      <c r="F352" s="21">
        <f>E352*Parameters!$C$9*Parameters!$C$10*Parameters!$C$11/(Parameters!$C$8*Parameters!$C$15)</f>
        <v>1.3557142857142858E-7</v>
      </c>
      <c r="G352" s="21">
        <f>E352*Parameters!$C$12*Parameters!$F$32*Parameters!$C$13*Parameters!$C$10*Parameters!$C$11*Parameters!$C$14/(Parameters!$C$8*Parameters!$C$15)</f>
        <v>3.025120477545056E-8</v>
      </c>
      <c r="H352" s="21">
        <f>F352/Parameters!$B$32</f>
        <v>2.7114285714285712E-3</v>
      </c>
      <c r="I352" s="21">
        <f>G352/Parameters!$B$32</f>
        <v>6.0502409550901119E-4</v>
      </c>
      <c r="J352" s="21">
        <f t="shared" si="10"/>
        <v>3.3164526669375825E-3</v>
      </c>
      <c r="K352" s="21">
        <f>F352*Parameters!$C$15/Parameters!$C$16</f>
        <v>1.3557142857142858E-7</v>
      </c>
      <c r="L352" s="21">
        <f>G352*Parameters!$C$15/Parameters!$C$16</f>
        <v>3.025120477545056E-8</v>
      </c>
      <c r="M352" s="21">
        <f>K352*Parameters!$C$32</f>
        <v>2.1691428571428572E-6</v>
      </c>
      <c r="N352" s="21">
        <f>L352*Parameters!$C$32</f>
        <v>4.8401927640720896E-7</v>
      </c>
      <c r="O352" s="21">
        <f t="shared" si="11"/>
        <v>2.6531621335500662E-6</v>
      </c>
    </row>
    <row r="353" spans="1:15" ht="15" customHeight="1" x14ac:dyDescent="0.25">
      <c r="A353" s="10" t="s">
        <v>74</v>
      </c>
      <c r="B353" s="10" t="s">
        <v>169</v>
      </c>
      <c r="C353" s="10" t="s">
        <v>32</v>
      </c>
      <c r="D353" s="8">
        <f>Zone_Site_Means!$P$16</f>
        <v>3.3426666666666662</v>
      </c>
      <c r="E353" s="21">
        <f>D353*Parameters!$B$4*Parameters!$B$5</f>
        <v>3.3426666666666664E-6</v>
      </c>
      <c r="F353" s="21">
        <f>E353*Parameters!$C$9*Parameters!$C$10*Parameters!$C$11/(Parameters!$C$8*Parameters!$C$15)</f>
        <v>9.5504761904761896E-8</v>
      </c>
      <c r="G353" s="21">
        <f>E353*Parameters!$C$12*Parameters!$F$33*Parameters!$C$13*Parameters!$C$10*Parameters!$C$11*Parameters!$C$14/(Parameters!$C$8*Parameters!$C$15)</f>
        <v>6.8093166312982174E-8</v>
      </c>
      <c r="H353" s="21">
        <f>F353/Parameters!$B$33</f>
        <v>1.9100952380952379E-4</v>
      </c>
      <c r="I353" s="21">
        <f>G353/Parameters!$B$33</f>
        <v>1.3618633262596434E-4</v>
      </c>
      <c r="J353" s="21">
        <f t="shared" si="10"/>
        <v>3.2719585643548813E-4</v>
      </c>
      <c r="K353" s="21">
        <f>F353*Parameters!$C$15/Parameters!$C$16</f>
        <v>9.5504761904761896E-8</v>
      </c>
      <c r="L353" s="21">
        <f>G353*Parameters!$C$15/Parameters!$C$16</f>
        <v>6.8093166312982174E-8</v>
      </c>
      <c r="M353" s="21">
        <f>K353*Parameters!$C$33</f>
        <v>4.2977142857142855E-7</v>
      </c>
      <c r="N353" s="21">
        <f>L353*Parameters!$C$33</f>
        <v>3.0641924840841979E-7</v>
      </c>
      <c r="O353" s="21">
        <f t="shared" si="11"/>
        <v>7.3619067697984834E-7</v>
      </c>
    </row>
    <row r="354" spans="1:15" ht="15" customHeight="1" x14ac:dyDescent="0.25">
      <c r="A354" s="10" t="s">
        <v>74</v>
      </c>
      <c r="B354" s="10" t="s">
        <v>169</v>
      </c>
      <c r="C354" s="10" t="s">
        <v>33</v>
      </c>
      <c r="D354" s="8">
        <f>Zone_Site_Means!$Q$16</f>
        <v>4.6823333333333332</v>
      </c>
      <c r="E354" s="21">
        <f>D354*Parameters!$B$4*Parameters!$B$5</f>
        <v>4.6823333333333335E-6</v>
      </c>
      <c r="F354" s="21">
        <f>E354*Parameters!$C$9*Parameters!$C$10*Parameters!$C$11/(Parameters!$C$8*Parameters!$C$15)</f>
        <v>1.3378095238095239E-7</v>
      </c>
      <c r="G354" s="21">
        <f>E354*Parameters!$C$12*Parameters!$F$34*Parameters!$C$13*Parameters!$C$10*Parameters!$C$11*Parameters!$C$14/(Parameters!$C$8*Parameters!$C$15)</f>
        <v>1.4147274699150134E-8</v>
      </c>
      <c r="H354" s="21">
        <f>F354/Parameters!$B$34</f>
        <v>1.0290842490842491E-2</v>
      </c>
      <c r="I354" s="21">
        <f>G354/Parameters!$B$34</f>
        <v>1.0882518999346257E-3</v>
      </c>
      <c r="J354" s="21">
        <f t="shared" si="10"/>
        <v>1.1379094390777117E-2</v>
      </c>
      <c r="K354" s="21">
        <f>F354*Parameters!$C$15/Parameters!$C$16</f>
        <v>1.3378095238095239E-7</v>
      </c>
      <c r="L354" s="21">
        <f>G354*Parameters!$C$15/Parameters!$C$16</f>
        <v>1.4147274699150134E-8</v>
      </c>
      <c r="M354" s="21">
        <f>K354*Parameters!$C$34</f>
        <v>1.2174066666666666E-6</v>
      </c>
      <c r="N354" s="21">
        <f>L354*Parameters!$C$34</f>
        <v>1.2874019976226621E-7</v>
      </c>
      <c r="O354" s="21">
        <f t="shared" si="11"/>
        <v>1.3461468664289329E-6</v>
      </c>
    </row>
    <row r="355" spans="1:15" ht="15" customHeight="1" x14ac:dyDescent="0.25">
      <c r="A355" s="10" t="s">
        <v>74</v>
      </c>
      <c r="B355" s="10" t="s">
        <v>170</v>
      </c>
      <c r="C355" s="10" t="s">
        <v>20</v>
      </c>
      <c r="D355" s="8">
        <f>Zone_Site_Means!$D$16</f>
        <v>5.4953333333333338</v>
      </c>
      <c r="E355" s="21">
        <f>D355*Parameters!$B$4*Parameters!$B$5</f>
        <v>5.495333333333334E-6</v>
      </c>
      <c r="F355" s="21">
        <f>E355*Parameters!$D$9*Parameters!$D$10*Parameters!$D$11/(Parameters!$D$8*Parameters!$D$15)</f>
        <v>3.663555555555556E-7</v>
      </c>
      <c r="G355" s="21">
        <f>E355*Parameters!$D$12*Parameters!$F$21*Parameters!$D$13*Parameters!$D$10*Parameters!$D$11*Parameters!$D$14/(Parameters!$D$8*Parameters!$D$15)</f>
        <v>1.2014417436478643E-6</v>
      </c>
      <c r="H355" s="21">
        <f>F355/Parameters!$B$21</f>
        <v>7.3271111111111113E-4</v>
      </c>
      <c r="I355" s="21">
        <f>G355/Parameters!$B$21</f>
        <v>2.4028834872957287E-3</v>
      </c>
      <c r="J355" s="21">
        <f t="shared" si="10"/>
        <v>3.1355945984068399E-3</v>
      </c>
      <c r="K355" s="21">
        <f>F355*Parameters!$D$15/Parameters!$D$16</f>
        <v>3.1401904761904768E-8</v>
      </c>
      <c r="L355" s="21">
        <f>G355*Parameters!$D$15/Parameters!$D$16</f>
        <v>1.0298072088410265E-7</v>
      </c>
      <c r="M355" s="21">
        <f>K355*Parameters!$C$21</f>
        <v>1.0676647619047622E-8</v>
      </c>
      <c r="N355" s="21">
        <f>L355*Parameters!$C$21</f>
        <v>3.50134451005949E-8</v>
      </c>
      <c r="O355" s="21">
        <f t="shared" si="11"/>
        <v>4.5690092719642524E-8</v>
      </c>
    </row>
    <row r="356" spans="1:15" ht="15" customHeight="1" x14ac:dyDescent="0.25">
      <c r="A356" s="10" t="s">
        <v>74</v>
      </c>
      <c r="B356" s="10" t="s">
        <v>170</v>
      </c>
      <c r="C356" s="10" t="s">
        <v>21</v>
      </c>
      <c r="D356" s="8">
        <f>Zone_Site_Means!$E$16</f>
        <v>5.8893333333333331</v>
      </c>
      <c r="E356" s="21">
        <f>D356*Parameters!$B$4*Parameters!$B$5</f>
        <v>5.8893333333333331E-6</v>
      </c>
      <c r="F356" s="21">
        <f>E356*Parameters!$D$9*Parameters!$D$10*Parameters!$D$11/(Parameters!$D$8*Parameters!$D$15)</f>
        <v>3.9262222222222216E-7</v>
      </c>
      <c r="G356" s="21">
        <f>E356*Parameters!$D$12*Parameters!$F$22*Parameters!$D$13*Parameters!$D$10*Parameters!$D$11*Parameters!$D$14/(Parameters!$D$8*Parameters!$D$15)</f>
        <v>1.5451648224778127E-6</v>
      </c>
      <c r="H356" s="21">
        <f>F356/Parameters!$B$22</f>
        <v>7.8524444444444429E-4</v>
      </c>
      <c r="I356" s="21">
        <f>G356/Parameters!$B$22</f>
        <v>3.0903296449556251E-3</v>
      </c>
      <c r="J356" s="21">
        <f t="shared" si="10"/>
        <v>3.8755740894000695E-3</v>
      </c>
      <c r="K356" s="21">
        <f>F356*Parameters!$D$15/Parameters!$D$16</f>
        <v>3.3653333333333326E-8</v>
      </c>
      <c r="L356" s="21">
        <f>G356*Parameters!$D$15/Parameters!$D$16</f>
        <v>1.324426990695268E-7</v>
      </c>
      <c r="M356" s="21">
        <f>K356*Parameters!$C$22</f>
        <v>1.1442133333333333E-8</v>
      </c>
      <c r="N356" s="21">
        <f>L356*Parameters!$C$22</f>
        <v>4.5030517683639117E-8</v>
      </c>
      <c r="O356" s="21">
        <f t="shared" si="11"/>
        <v>5.6472651016972446E-8</v>
      </c>
    </row>
    <row r="357" spans="1:15" ht="15" customHeight="1" x14ac:dyDescent="0.25">
      <c r="A357" s="10" t="s">
        <v>74</v>
      </c>
      <c r="B357" s="10" t="s">
        <v>170</v>
      </c>
      <c r="C357" s="10" t="s">
        <v>22</v>
      </c>
      <c r="D357" s="8">
        <f>Zone_Site_Means!$F$16</f>
        <v>5.2126666666666663</v>
      </c>
      <c r="E357" s="21">
        <f>D357*Parameters!$B$4*Parameters!$B$5</f>
        <v>5.2126666666666667E-6</v>
      </c>
      <c r="F357" s="21">
        <f>E357*Parameters!$D$9*Parameters!$D$10*Parameters!$D$11/(Parameters!$D$8*Parameters!$D$15)</f>
        <v>3.4751111111111111E-7</v>
      </c>
      <c r="G357" s="21">
        <f>E357*Parameters!$D$12*Parameters!$F$23*Parameters!$D$13*Parameters!$D$10*Parameters!$D$11*Parameters!$D$14/(Parameters!$D$8*Parameters!$D$15)</f>
        <v>4.3902437222659174E-7</v>
      </c>
      <c r="H357" s="21">
        <f>F357/Parameters!$B$23</f>
        <v>6.9502222222222218E-4</v>
      </c>
      <c r="I357" s="21">
        <f>G357/Parameters!$B$23</f>
        <v>8.7804874445318343E-4</v>
      </c>
      <c r="J357" s="21">
        <f t="shared" si="10"/>
        <v>1.5730709666754057E-3</v>
      </c>
      <c r="K357" s="21">
        <f>F357*Parameters!$D$15/Parameters!$D$16</f>
        <v>2.9786666666666668E-8</v>
      </c>
      <c r="L357" s="21">
        <f>G357*Parameters!$D$15/Parameters!$D$16</f>
        <v>3.7630660476565008E-8</v>
      </c>
      <c r="M357" s="21">
        <f>K357*Parameters!$C$23</f>
        <v>1.0127466666666668E-8</v>
      </c>
      <c r="N357" s="21">
        <f>L357*Parameters!$C$23</f>
        <v>1.2794424562032104E-8</v>
      </c>
      <c r="O357" s="21">
        <f t="shared" si="11"/>
        <v>2.292189122869877E-8</v>
      </c>
    </row>
    <row r="358" spans="1:15" ht="15" customHeight="1" x14ac:dyDescent="0.25">
      <c r="A358" s="10" t="s">
        <v>74</v>
      </c>
      <c r="B358" s="10" t="s">
        <v>170</v>
      </c>
      <c r="C358" s="10" t="s">
        <v>23</v>
      </c>
      <c r="D358" s="8">
        <f>Zone_Site_Means!$G$16</f>
        <v>6.944</v>
      </c>
      <c r="E358" s="21">
        <f>D358*Parameters!$B$4*Parameters!$B$5</f>
        <v>6.9440000000000008E-6</v>
      </c>
      <c r="F358" s="21">
        <f>E358*Parameters!$D$9*Parameters!$D$10*Parameters!$D$11/(Parameters!$D$8*Parameters!$D$15)</f>
        <v>4.629333333333334E-7</v>
      </c>
      <c r="G358" s="21">
        <f>E358*Parameters!$D$12*Parameters!$F$24*Parameters!$D$13*Parameters!$D$10*Parameters!$D$11*Parameters!$D$14/(Parameters!$D$8*Parameters!$D$15)</f>
        <v>7.3457879701673163E-7</v>
      </c>
      <c r="H358" s="21">
        <f>F358/Parameters!$B$24</f>
        <v>9.2586666666666676E-4</v>
      </c>
      <c r="I358" s="21">
        <f>G358/Parameters!$B$24</f>
        <v>1.4691575940334633E-3</v>
      </c>
      <c r="J358" s="21">
        <f t="shared" si="10"/>
        <v>2.3950242607001298E-3</v>
      </c>
      <c r="K358" s="21">
        <f>F358*Parameters!$D$15/Parameters!$D$16</f>
        <v>3.9680000000000009E-8</v>
      </c>
      <c r="L358" s="21">
        <f>G358*Parameters!$D$15/Parameters!$D$16</f>
        <v>6.2963896887148428E-8</v>
      </c>
      <c r="M358" s="21">
        <f>K358*Parameters!$C$24</f>
        <v>1.3491200000000004E-8</v>
      </c>
      <c r="N358" s="21">
        <f>L358*Parameters!$C$24</f>
        <v>2.1407724941630467E-8</v>
      </c>
      <c r="O358" s="21">
        <f t="shared" si="11"/>
        <v>3.489892494163047E-8</v>
      </c>
    </row>
    <row r="359" spans="1:15" ht="15" customHeight="1" x14ac:dyDescent="0.25">
      <c r="A359" s="10" t="s">
        <v>74</v>
      </c>
      <c r="B359" s="10" t="s">
        <v>170</v>
      </c>
      <c r="C359" s="10" t="s">
        <v>24</v>
      </c>
      <c r="D359" s="8">
        <f>Zone_Site_Means!$H$16</f>
        <v>7.4319999999999995</v>
      </c>
      <c r="E359" s="21">
        <f>D359*Parameters!$B$4*Parameters!$B$5</f>
        <v>7.4319999999999993E-6</v>
      </c>
      <c r="F359" s="21">
        <f>E359*Parameters!$D$9*Parameters!$D$10*Parameters!$D$11/(Parameters!$D$8*Parameters!$D$15)</f>
        <v>4.9546666666666666E-7</v>
      </c>
      <c r="G359" s="21">
        <f>E359*Parameters!$D$12*Parameters!$F$25*Parameters!$D$13*Parameters!$D$10*Parameters!$D$11*Parameters!$D$14/(Parameters!$D$8*Parameters!$D$15)</f>
        <v>7.8269106755510075E-7</v>
      </c>
      <c r="H359" s="21">
        <f>F359/Parameters!$B$25</f>
        <v>9.9093333333333321E-4</v>
      </c>
      <c r="I359" s="21">
        <f>G359/Parameters!$B$25</f>
        <v>1.5653821351102014E-3</v>
      </c>
      <c r="J359" s="21">
        <f t="shared" si="10"/>
        <v>2.5563154684435348E-3</v>
      </c>
      <c r="K359" s="21">
        <f>F359*Parameters!$D$15/Parameters!$D$16</f>
        <v>4.2468571428571434E-8</v>
      </c>
      <c r="L359" s="21">
        <f>G359*Parameters!$D$15/Parameters!$D$16</f>
        <v>6.7087805790437216E-8</v>
      </c>
      <c r="M359" s="21">
        <f>K359*Parameters!$C$25</f>
        <v>1.4439314285714288E-8</v>
      </c>
      <c r="N359" s="21">
        <f>L359*Parameters!$C$25</f>
        <v>2.2809853968748653E-8</v>
      </c>
      <c r="O359" s="21">
        <f t="shared" si="11"/>
        <v>3.7249168254462944E-8</v>
      </c>
    </row>
    <row r="360" spans="1:15" ht="15" customHeight="1" x14ac:dyDescent="0.25">
      <c r="A360" s="10" t="s">
        <v>74</v>
      </c>
      <c r="B360" s="10" t="s">
        <v>170</v>
      </c>
      <c r="C360" s="10" t="s">
        <v>25</v>
      </c>
      <c r="D360" s="8">
        <f>Zone_Site_Means!$I$16</f>
        <v>15.013666666666666</v>
      </c>
      <c r="E360" s="21">
        <f>D360*Parameters!$B$4*Parameters!$B$5</f>
        <v>1.5013666666666667E-5</v>
      </c>
      <c r="F360" s="21">
        <f>E360*Parameters!$D$9*Parameters!$D$10*Parameters!$D$11/(Parameters!$D$8*Parameters!$D$15)</f>
        <v>1.0009111111111112E-6</v>
      </c>
      <c r="G360" s="21">
        <f>E360*Parameters!$D$12*Parameters!$F$26*Parameters!$D$13*Parameters!$D$10*Parameters!$D$11*Parameters!$D$14/(Parameters!$D$8*Parameters!$D$15)</f>
        <v>3.4321909823288695E-6</v>
      </c>
      <c r="H360" s="21">
        <f>F360/Parameters!$B$26</f>
        <v>2.0018222222222223E-3</v>
      </c>
      <c r="I360" s="21">
        <f>G360/Parameters!$B$26</f>
        <v>6.8643819646577392E-3</v>
      </c>
      <c r="J360" s="21">
        <f t="shared" si="10"/>
        <v>8.866204186879962E-3</v>
      </c>
      <c r="K360" s="21">
        <f>F360*Parameters!$D$15/Parameters!$D$16</f>
        <v>8.5792380952380956E-8</v>
      </c>
      <c r="L360" s="21">
        <f>G360*Parameters!$D$15/Parameters!$D$16</f>
        <v>2.9418779848533169E-7</v>
      </c>
      <c r="M360" s="21">
        <f>K360*Parameters!$C$26</f>
        <v>2.9169409523809528E-8</v>
      </c>
      <c r="N360" s="21">
        <f>L360*Parameters!$C$26</f>
        <v>1.0002385148501278E-7</v>
      </c>
      <c r="O360" s="21">
        <f t="shared" si="11"/>
        <v>1.291932610088223E-7</v>
      </c>
    </row>
    <row r="361" spans="1:15" ht="15" customHeight="1" x14ac:dyDescent="0.25">
      <c r="A361" s="10" t="s">
        <v>74</v>
      </c>
      <c r="B361" s="10" t="s">
        <v>170</v>
      </c>
      <c r="C361" s="10" t="s">
        <v>26</v>
      </c>
      <c r="D361" s="8">
        <f>Zone_Site_Means!$J$16</f>
        <v>6.1423333333333332</v>
      </c>
      <c r="E361" s="21">
        <f>D361*Parameters!$B$4*Parameters!$B$5</f>
        <v>6.142333333333333E-6</v>
      </c>
      <c r="F361" s="21">
        <f>E361*Parameters!$D$9*Parameters!$D$10*Parameters!$D$11/(Parameters!$D$8*Parameters!$D$15)</f>
        <v>4.0948888888888885E-7</v>
      </c>
      <c r="G361" s="21">
        <f>E361*Parameters!$D$12*Parameters!$F$27*Parameters!$D$13*Parameters!$D$10*Parameters!$D$11*Parameters!$D$14/(Parameters!$D$8*Parameters!$D$15)</f>
        <v>3.2444273786337842E-8</v>
      </c>
      <c r="H361" s="21">
        <f>F361/Parameters!$B$27</f>
        <v>1.364962962962963E-3</v>
      </c>
      <c r="I361" s="21">
        <f>G361/Parameters!$B$27</f>
        <v>1.0814757928779282E-4</v>
      </c>
      <c r="J361" s="21">
        <f t="shared" si="10"/>
        <v>1.4731105422507557E-3</v>
      </c>
      <c r="K361" s="21">
        <f>F361*Parameters!$D$15/Parameters!$D$16</f>
        <v>3.5099047619047611E-8</v>
      </c>
      <c r="L361" s="21">
        <f>G361*Parameters!$D$15/Parameters!$D$16</f>
        <v>2.7809377531146723E-9</v>
      </c>
      <c r="M361" s="21">
        <f>K361*Parameters!$C$27</f>
        <v>2.2112399999999994E-7</v>
      </c>
      <c r="N361" s="21">
        <f>L361*Parameters!$C$27</f>
        <v>1.7519907844622435E-8</v>
      </c>
      <c r="O361" s="21">
        <f t="shared" si="11"/>
        <v>2.3864390784462235E-7</v>
      </c>
    </row>
    <row r="362" spans="1:15" ht="15" customHeight="1" x14ac:dyDescent="0.25">
      <c r="A362" s="10" t="s">
        <v>74</v>
      </c>
      <c r="B362" s="10" t="s">
        <v>170</v>
      </c>
      <c r="C362" s="10" t="s">
        <v>27</v>
      </c>
      <c r="D362" s="8">
        <f>Zone_Site_Means!$K$16</f>
        <v>12.096666666666666</v>
      </c>
      <c r="E362" s="21">
        <f>D362*Parameters!$B$4*Parameters!$B$5</f>
        <v>1.2096666666666665E-5</v>
      </c>
      <c r="F362" s="21">
        <f>E362*Parameters!$D$9*Parameters!$D$10*Parameters!$D$11/(Parameters!$D$8*Parameters!$D$15)</f>
        <v>8.0644444444444442E-7</v>
      </c>
      <c r="G362" s="21">
        <f>E362*Parameters!$D$12*Parameters!$F$28*Parameters!$D$13*Parameters!$D$10*Parameters!$D$11*Parameters!$D$14/(Parameters!$D$8*Parameters!$D$15)</f>
        <v>6.1982685663560822E-8</v>
      </c>
      <c r="H362" s="21">
        <f>F362/Parameters!$B$28</f>
        <v>2.6881481481481483E-3</v>
      </c>
      <c r="I362" s="21">
        <f>G362/Parameters!$B$28</f>
        <v>2.0660895221186944E-4</v>
      </c>
      <c r="J362" s="21">
        <f t="shared" si="10"/>
        <v>2.8947571003600176E-3</v>
      </c>
      <c r="K362" s="21">
        <f>F362*Parameters!$D$15/Parameters!$D$16</f>
        <v>6.9123809523809528E-8</v>
      </c>
      <c r="L362" s="21">
        <f>G362*Parameters!$D$15/Parameters!$D$16</f>
        <v>5.3128016283052129E-9</v>
      </c>
      <c r="M362" s="21">
        <f>K362*Parameters!$C$28</f>
        <v>1.2442285714285715E-7</v>
      </c>
      <c r="N362" s="21">
        <f>L362*Parameters!$C$28</f>
        <v>9.5630429309493843E-9</v>
      </c>
      <c r="O362" s="21">
        <f t="shared" si="11"/>
        <v>1.3398590007380653E-7</v>
      </c>
    </row>
    <row r="363" spans="1:15" ht="15" customHeight="1" x14ac:dyDescent="0.25">
      <c r="A363" s="10" t="s">
        <v>74</v>
      </c>
      <c r="B363" s="10" t="s">
        <v>170</v>
      </c>
      <c r="C363" s="10" t="s">
        <v>28</v>
      </c>
      <c r="D363" s="8">
        <f>Zone_Site_Means!$L$16</f>
        <v>3.1776666666666666</v>
      </c>
      <c r="E363" s="21">
        <f>D363*Parameters!$B$4*Parameters!$B$5</f>
        <v>3.1776666666666667E-6</v>
      </c>
      <c r="F363" s="21">
        <f>E363*Parameters!$D$9*Parameters!$D$10*Parameters!$D$11/(Parameters!$D$8*Parameters!$D$15)</f>
        <v>2.1184444444444446E-7</v>
      </c>
      <c r="G363" s="21">
        <f>E363*Parameters!$D$12*Parameters!$F$29*Parameters!$D$13*Parameters!$D$10*Parameters!$D$11*Parameters!$D$14/(Parameters!$D$8*Parameters!$D$15)</f>
        <v>1.4863223719410588E-8</v>
      </c>
      <c r="H363" s="21">
        <f>F363/Parameters!$B$29</f>
        <v>7.0614814814814824E-4</v>
      </c>
      <c r="I363" s="21">
        <f>G363/Parameters!$B$29</f>
        <v>4.9544079064701962E-5</v>
      </c>
      <c r="J363" s="21">
        <f t="shared" si="10"/>
        <v>7.5569222721285018E-4</v>
      </c>
      <c r="K363" s="21">
        <f>F363*Parameters!$D$15/Parameters!$D$16</f>
        <v>1.8158095238095237E-8</v>
      </c>
      <c r="L363" s="21">
        <f>G363*Parameters!$D$15/Parameters!$D$16</f>
        <v>1.2739906045209075E-9</v>
      </c>
      <c r="M363" s="21">
        <f>K363*Parameters!$C$29</f>
        <v>2.360552380952381E-8</v>
      </c>
      <c r="N363" s="21">
        <f>L363*Parameters!$C$29</f>
        <v>1.6561877858771798E-9</v>
      </c>
      <c r="O363" s="21">
        <f t="shared" si="11"/>
        <v>2.526171159540099E-8</v>
      </c>
    </row>
    <row r="364" spans="1:15" ht="15" customHeight="1" x14ac:dyDescent="0.25">
      <c r="A364" s="10" t="s">
        <v>74</v>
      </c>
      <c r="B364" s="10" t="s">
        <v>170</v>
      </c>
      <c r="C364" s="10" t="s">
        <v>29</v>
      </c>
      <c r="D364" s="8">
        <f>Zone_Site_Means!$M$16</f>
        <v>5.1403333333333334</v>
      </c>
      <c r="E364" s="21">
        <f>D364*Parameters!$B$4*Parameters!$B$5</f>
        <v>5.140333333333334E-6</v>
      </c>
      <c r="F364" s="21">
        <f>E364*Parameters!$D$9*Parameters!$D$10*Parameters!$D$11/(Parameters!$D$8*Parameters!$D$15)</f>
        <v>3.4268888888888892E-7</v>
      </c>
      <c r="G364" s="21">
        <f>E364*Parameters!$D$12*Parameters!$F$30*Parameters!$D$13*Parameters!$D$10*Parameters!$D$11*Parameters!$D$14/(Parameters!$D$8*Parameters!$D$15)</f>
        <v>4.5519340259781406E-8</v>
      </c>
      <c r="H364" s="21">
        <f>F364/Parameters!$B$30</f>
        <v>1.1422962962962964E-3</v>
      </c>
      <c r="I364" s="21">
        <f>G364/Parameters!$B$30</f>
        <v>1.5173113419927138E-4</v>
      </c>
      <c r="J364" s="21">
        <f t="shared" si="10"/>
        <v>1.2940274304955677E-3</v>
      </c>
      <c r="K364" s="21">
        <f>F364*Parameters!$D$15/Parameters!$D$16</f>
        <v>2.9373333333333337E-8</v>
      </c>
      <c r="L364" s="21">
        <f>G364*Parameters!$D$15/Parameters!$D$16</f>
        <v>3.9016577365526919E-9</v>
      </c>
      <c r="M364" s="21">
        <f>K364*Parameters!$C$30</f>
        <v>0</v>
      </c>
      <c r="N364" s="21">
        <f>L364*Parameters!$C$30</f>
        <v>0</v>
      </c>
      <c r="O364" s="21">
        <f t="shared" si="11"/>
        <v>0</v>
      </c>
    </row>
    <row r="365" spans="1:15" ht="15" customHeight="1" x14ac:dyDescent="0.25">
      <c r="A365" s="10" t="s">
        <v>74</v>
      </c>
      <c r="B365" s="10" t="s">
        <v>170</v>
      </c>
      <c r="C365" s="10" t="s">
        <v>30</v>
      </c>
      <c r="D365" s="8">
        <f>Zone_Site_Means!$N$16</f>
        <v>2.9703333333333339</v>
      </c>
      <c r="E365" s="21">
        <f>D365*Parameters!$B$4*Parameters!$B$5</f>
        <v>2.970333333333334E-6</v>
      </c>
      <c r="F365" s="21">
        <f>E365*Parameters!$D$9*Parameters!$D$10*Parameters!$D$11/(Parameters!$D$8*Parameters!$D$15)</f>
        <v>1.9802222222222225E-7</v>
      </c>
      <c r="G365" s="21">
        <f>E365*Parameters!$D$12*Parameters!$F$31*Parameters!$D$13*Parameters!$D$10*Parameters!$D$11*Parameters!$D$14/(Parameters!$D$8*Parameters!$D$15)</f>
        <v>3.6539438176206207E-7</v>
      </c>
      <c r="H365" s="21">
        <f>F365/Parameters!$B$31</f>
        <v>6.6007407407407412E-3</v>
      </c>
      <c r="I365" s="21">
        <f>G365/Parameters!$B$31</f>
        <v>1.2179812725402068E-2</v>
      </c>
      <c r="J365" s="21">
        <f t="shared" si="10"/>
        <v>1.878055346614281E-2</v>
      </c>
      <c r="K365" s="21">
        <f>F365*Parameters!$D$15/Parameters!$D$16</f>
        <v>1.6973333333333338E-8</v>
      </c>
      <c r="L365" s="21">
        <f>G365*Parameters!$D$15/Parameters!$D$16</f>
        <v>3.1319518436748178E-8</v>
      </c>
      <c r="M365" s="21">
        <f>K365*Parameters!$C$31</f>
        <v>2.8854666666666676E-7</v>
      </c>
      <c r="N365" s="21">
        <f>L365*Parameters!$C$31</f>
        <v>5.3243181342471902E-7</v>
      </c>
      <c r="O365" s="21">
        <f t="shared" si="11"/>
        <v>8.2097848009138578E-7</v>
      </c>
    </row>
    <row r="366" spans="1:15" ht="15" customHeight="1" x14ac:dyDescent="0.25">
      <c r="A366" s="10" t="s">
        <v>74</v>
      </c>
      <c r="B366" s="10" t="s">
        <v>170</v>
      </c>
      <c r="C366" s="10" t="s">
        <v>31</v>
      </c>
      <c r="D366" s="8">
        <f>Zone_Site_Means!$O$16</f>
        <v>4.7450000000000001</v>
      </c>
      <c r="E366" s="21">
        <f>D366*Parameters!$B$4*Parameters!$B$5</f>
        <v>4.7450000000000003E-6</v>
      </c>
      <c r="F366" s="21">
        <f>E366*Parameters!$D$9*Parameters!$D$10*Parameters!$D$11/(Parameters!$D$8*Parameters!$D$15)</f>
        <v>3.1633333333333329E-7</v>
      </c>
      <c r="G366" s="21">
        <f>E366*Parameters!$D$12*Parameters!$F$32*Parameters!$D$13*Parameters!$D$10*Parameters!$D$11*Parameters!$D$14/(Parameters!$D$8*Parameters!$D$15)</f>
        <v>8.9246849337536157E-8</v>
      </c>
      <c r="H366" s="21">
        <f>F366/Parameters!$B$32</f>
        <v>6.3266666666666653E-3</v>
      </c>
      <c r="I366" s="21">
        <f>G366/Parameters!$B$32</f>
        <v>1.784936986750723E-3</v>
      </c>
      <c r="J366" s="21">
        <f t="shared" si="10"/>
        <v>8.1116036534173881E-3</v>
      </c>
      <c r="K366" s="21">
        <f>F366*Parameters!$D$15/Parameters!$D$16</f>
        <v>2.7114285714285711E-8</v>
      </c>
      <c r="L366" s="21">
        <f>G366*Parameters!$D$15/Parameters!$D$16</f>
        <v>7.6497299432173851E-9</v>
      </c>
      <c r="M366" s="21">
        <f>K366*Parameters!$C$32</f>
        <v>4.3382857142857137E-7</v>
      </c>
      <c r="N366" s="21">
        <f>L366*Parameters!$C$32</f>
        <v>1.2239567909147816E-7</v>
      </c>
      <c r="O366" s="21">
        <f t="shared" si="11"/>
        <v>5.5622425052004959E-7</v>
      </c>
    </row>
    <row r="367" spans="1:15" ht="15" customHeight="1" x14ac:dyDescent="0.25">
      <c r="A367" s="10" t="s">
        <v>74</v>
      </c>
      <c r="B367" s="10" t="s">
        <v>170</v>
      </c>
      <c r="C367" s="10" t="s">
        <v>32</v>
      </c>
      <c r="D367" s="8">
        <f>Zone_Site_Means!$P$16</f>
        <v>3.3426666666666662</v>
      </c>
      <c r="E367" s="21">
        <f>D367*Parameters!$B$4*Parameters!$B$5</f>
        <v>3.3426666666666664E-6</v>
      </c>
      <c r="F367" s="21">
        <f>E367*Parameters!$D$9*Parameters!$D$10*Parameters!$D$11/(Parameters!$D$8*Parameters!$D$15)</f>
        <v>2.2284444444444441E-7</v>
      </c>
      <c r="G367" s="21">
        <f>E367*Parameters!$D$12*Parameters!$F$33*Parameters!$D$13*Parameters!$D$10*Parameters!$D$11*Parameters!$D$14/(Parameters!$D$8*Parameters!$D$15)</f>
        <v>2.0088788529117353E-7</v>
      </c>
      <c r="H367" s="21">
        <f>F367/Parameters!$B$33</f>
        <v>4.4568888888888884E-4</v>
      </c>
      <c r="I367" s="21">
        <f>G367/Parameters!$B$33</f>
        <v>4.0177577058234706E-4</v>
      </c>
      <c r="J367" s="21">
        <f t="shared" si="10"/>
        <v>8.474646594712359E-4</v>
      </c>
      <c r="K367" s="21">
        <f>F367*Parameters!$D$15/Parameters!$D$16</f>
        <v>1.9100952380952378E-8</v>
      </c>
      <c r="L367" s="21">
        <f>G367*Parameters!$D$15/Parameters!$D$16</f>
        <v>1.7218961596386304E-8</v>
      </c>
      <c r="M367" s="21">
        <f>K367*Parameters!$C$33</f>
        <v>8.5954285714285697E-8</v>
      </c>
      <c r="N367" s="21">
        <f>L367*Parameters!$C$33</f>
        <v>7.7485327183738364E-8</v>
      </c>
      <c r="O367" s="21">
        <f t="shared" si="11"/>
        <v>1.6343961289802407E-7</v>
      </c>
    </row>
    <row r="368" spans="1:15" ht="15" customHeight="1" x14ac:dyDescent="0.25">
      <c r="A368" s="10" t="s">
        <v>74</v>
      </c>
      <c r="B368" s="10" t="s">
        <v>170</v>
      </c>
      <c r="C368" s="10" t="s">
        <v>33</v>
      </c>
      <c r="D368" s="8">
        <f>Zone_Site_Means!$Q$16</f>
        <v>4.6823333333333332</v>
      </c>
      <c r="E368" s="21">
        <f>D368*Parameters!$B$4*Parameters!$B$5</f>
        <v>4.6823333333333335E-6</v>
      </c>
      <c r="F368" s="21">
        <f>E368*Parameters!$D$9*Parameters!$D$10*Parameters!$D$11/(Parameters!$D$8*Parameters!$D$15)</f>
        <v>3.121555555555556E-7</v>
      </c>
      <c r="G368" s="21">
        <f>E368*Parameters!$D$12*Parameters!$F$34*Parameters!$D$13*Parameters!$D$10*Parameters!$D$11*Parameters!$D$14/(Parameters!$D$8*Parameters!$D$15)</f>
        <v>4.1737170568373963E-8</v>
      </c>
      <c r="H368" s="21">
        <f>F368/Parameters!$B$34</f>
        <v>2.4011965811965817E-2</v>
      </c>
      <c r="I368" s="21">
        <f>G368/Parameters!$B$34</f>
        <v>3.2105515821826127E-3</v>
      </c>
      <c r="J368" s="21">
        <f t="shared" si="10"/>
        <v>2.7222517394148431E-2</v>
      </c>
      <c r="K368" s="21">
        <f>F368*Parameters!$D$15/Parameters!$D$16</f>
        <v>2.6756190476190481E-8</v>
      </c>
      <c r="L368" s="21">
        <f>G368*Parameters!$D$15/Parameters!$D$16</f>
        <v>3.5774717630034825E-9</v>
      </c>
      <c r="M368" s="21">
        <f>K368*Parameters!$C$34</f>
        <v>2.4348133333333338E-7</v>
      </c>
      <c r="N368" s="21">
        <f>L368*Parameters!$C$34</f>
        <v>3.2554993043331688E-8</v>
      </c>
      <c r="O368" s="21">
        <f t="shared" si="11"/>
        <v>2.7603632637666506E-7</v>
      </c>
    </row>
    <row r="369" spans="1:15" ht="15" customHeight="1" x14ac:dyDescent="0.25">
      <c r="A369" s="10" t="s">
        <v>78</v>
      </c>
      <c r="B369" s="10" t="s">
        <v>169</v>
      </c>
      <c r="C369" s="10" t="s">
        <v>20</v>
      </c>
      <c r="D369" s="8">
        <f>Zone_Site_Means!$D$17</f>
        <v>7.1149999999999993</v>
      </c>
      <c r="E369" s="21">
        <f>D369*Parameters!$B$4*Parameters!$B$5</f>
        <v>7.1149999999999996E-6</v>
      </c>
      <c r="F369" s="21">
        <f>E369*Parameters!$C$9*Parameters!$C$10*Parameters!$C$11/(Parameters!$C$8*Parameters!$C$15)</f>
        <v>2.032857142857143E-7</v>
      </c>
      <c r="G369" s="21">
        <f>E369*Parameters!$C$12*Parameters!$F$21*Parameters!$C$13*Parameters!$C$10*Parameters!$C$11*Parameters!$C$14/(Parameters!$C$8*Parameters!$C$15)</f>
        <v>5.2727036546874982E-7</v>
      </c>
      <c r="H369" s="21">
        <f>F369/Parameters!$B$21</f>
        <v>4.0657142857142861E-4</v>
      </c>
      <c r="I369" s="21">
        <f>G369/Parameters!$B$21</f>
        <v>1.0545407309374996E-3</v>
      </c>
      <c r="J369" s="21">
        <f t="shared" si="10"/>
        <v>1.4611121595089283E-3</v>
      </c>
      <c r="K369" s="21">
        <f>F369*Parameters!$C$15/Parameters!$C$16</f>
        <v>2.0328571428571428E-7</v>
      </c>
      <c r="L369" s="21">
        <f>G369*Parameters!$C$15/Parameters!$C$16</f>
        <v>5.2727036546874982E-7</v>
      </c>
      <c r="M369" s="21">
        <f>K369*Parameters!$C$21</f>
        <v>6.9117142857142863E-8</v>
      </c>
      <c r="N369" s="21">
        <f>L369*Parameters!$C$21</f>
        <v>1.7927192425937494E-7</v>
      </c>
      <c r="O369" s="21">
        <f t="shared" si="11"/>
        <v>2.4838906711651782E-7</v>
      </c>
    </row>
    <row r="370" spans="1:15" ht="15" customHeight="1" x14ac:dyDescent="0.25">
      <c r="A370" s="10" t="s">
        <v>78</v>
      </c>
      <c r="B370" s="10" t="s">
        <v>169</v>
      </c>
      <c r="C370" s="10" t="s">
        <v>21</v>
      </c>
      <c r="D370" s="8">
        <f>Zone_Site_Means!$E$17</f>
        <v>9.2973333333333343</v>
      </c>
      <c r="E370" s="21">
        <f>D370*Parameters!$B$4*Parameters!$B$5</f>
        <v>9.297333333333335E-6</v>
      </c>
      <c r="F370" s="21">
        <f>E370*Parameters!$C$9*Parameters!$C$10*Parameters!$C$11/(Parameters!$C$8*Parameters!$C$15)</f>
        <v>2.6563809523809526E-7</v>
      </c>
      <c r="G370" s="21">
        <f>E370*Parameters!$C$12*Parameters!$F$22*Parameters!$C$13*Parameters!$C$10*Parameters!$C$11*Parameters!$C$14/(Parameters!$C$8*Parameters!$C$15)</f>
        <v>8.268312082782177E-7</v>
      </c>
      <c r="H370" s="21">
        <f>F370/Parameters!$B$22</f>
        <v>5.312761904761905E-4</v>
      </c>
      <c r="I370" s="21">
        <f>G370/Parameters!$B$22</f>
        <v>1.6536624165564354E-3</v>
      </c>
      <c r="J370" s="21">
        <f t="shared" si="10"/>
        <v>2.184938607032626E-3</v>
      </c>
      <c r="K370" s="21">
        <f>F370*Parameters!$C$15/Parameters!$C$16</f>
        <v>2.6563809523809526E-7</v>
      </c>
      <c r="L370" s="21">
        <f>G370*Parameters!$C$15/Parameters!$C$16</f>
        <v>8.268312082782177E-7</v>
      </c>
      <c r="M370" s="21">
        <f>K370*Parameters!$C$22</f>
        <v>9.0316952380952392E-8</v>
      </c>
      <c r="N370" s="21">
        <f>L370*Parameters!$C$22</f>
        <v>2.8112261081459403E-7</v>
      </c>
      <c r="O370" s="21">
        <f t="shared" si="11"/>
        <v>3.7143956319554645E-7</v>
      </c>
    </row>
    <row r="371" spans="1:15" ht="15" customHeight="1" x14ac:dyDescent="0.25">
      <c r="A371" s="10" t="s">
        <v>78</v>
      </c>
      <c r="B371" s="10" t="s">
        <v>169</v>
      </c>
      <c r="C371" s="10" t="s">
        <v>22</v>
      </c>
      <c r="D371" s="8">
        <f>Zone_Site_Means!$F$17</f>
        <v>5.55</v>
      </c>
      <c r="E371" s="21">
        <f>D371*Parameters!$B$4*Parameters!$B$5</f>
        <v>5.5500000000000002E-6</v>
      </c>
      <c r="F371" s="21">
        <f>E371*Parameters!$C$9*Parameters!$C$10*Parameters!$C$11/(Parameters!$C$8*Parameters!$C$15)</f>
        <v>1.5857142857142861E-7</v>
      </c>
      <c r="G371" s="21">
        <f>E371*Parameters!$C$12*Parameters!$F$23*Parameters!$C$13*Parameters!$C$10*Parameters!$C$11*Parameters!$C$14/(Parameters!$C$8*Parameters!$C$15)</f>
        <v>1.5844241077482658E-7</v>
      </c>
      <c r="H371" s="21">
        <f>F371/Parameters!$B$23</f>
        <v>3.171428571428572E-4</v>
      </c>
      <c r="I371" s="21">
        <f>G371/Parameters!$B$23</f>
        <v>3.1688482154965315E-4</v>
      </c>
      <c r="J371" s="21">
        <f t="shared" si="10"/>
        <v>6.3402767869251029E-4</v>
      </c>
      <c r="K371" s="21">
        <f>F371*Parameters!$C$15/Parameters!$C$16</f>
        <v>1.5857142857142861E-7</v>
      </c>
      <c r="L371" s="21">
        <f>G371*Parameters!$C$15/Parameters!$C$16</f>
        <v>1.5844241077482658E-7</v>
      </c>
      <c r="M371" s="21">
        <f>K371*Parameters!$C$23</f>
        <v>5.3914285714285729E-8</v>
      </c>
      <c r="N371" s="21">
        <f>L371*Parameters!$C$23</f>
        <v>5.3870419663441041E-8</v>
      </c>
      <c r="O371" s="21">
        <f t="shared" si="11"/>
        <v>1.0778470537772677E-7</v>
      </c>
    </row>
    <row r="372" spans="1:15" ht="15" customHeight="1" x14ac:dyDescent="0.25">
      <c r="A372" s="10" t="s">
        <v>78</v>
      </c>
      <c r="B372" s="10" t="s">
        <v>169</v>
      </c>
      <c r="C372" s="10" t="s">
        <v>23</v>
      </c>
      <c r="D372" s="8">
        <f>Zone_Site_Means!$G$17</f>
        <v>8.2313333333333336</v>
      </c>
      <c r="E372" s="21">
        <f>D372*Parameters!$B$4*Parameters!$B$5</f>
        <v>8.2313333333333337E-6</v>
      </c>
      <c r="F372" s="21">
        <f>E372*Parameters!$C$9*Parameters!$C$10*Parameters!$C$11/(Parameters!$C$8*Parameters!$C$15)</f>
        <v>2.3518095238095238E-7</v>
      </c>
      <c r="G372" s="21">
        <f>E372*Parameters!$C$12*Parameters!$F$24*Parameters!$C$13*Parameters!$C$10*Parameters!$C$11*Parameters!$C$14/(Parameters!$C$8*Parameters!$C$15)</f>
        <v>2.9515398265478414E-7</v>
      </c>
      <c r="H372" s="21">
        <f>F372/Parameters!$B$24</f>
        <v>4.7036190476190475E-4</v>
      </c>
      <c r="I372" s="21">
        <f>G372/Parameters!$B$24</f>
        <v>5.9030796530956827E-4</v>
      </c>
      <c r="J372" s="21">
        <f t="shared" si="10"/>
        <v>1.060669870071473E-3</v>
      </c>
      <c r="K372" s="21">
        <f>F372*Parameters!$C$15/Parameters!$C$16</f>
        <v>2.3518095238095238E-7</v>
      </c>
      <c r="L372" s="21">
        <f>G372*Parameters!$C$15/Parameters!$C$16</f>
        <v>2.9515398265478414E-7</v>
      </c>
      <c r="M372" s="21">
        <f>K372*Parameters!$C$24</f>
        <v>7.9961523809523815E-8</v>
      </c>
      <c r="N372" s="21">
        <f>L372*Parameters!$C$24</f>
        <v>1.0035235410262662E-7</v>
      </c>
      <c r="O372" s="21">
        <f t="shared" si="11"/>
        <v>1.8031387791215044E-7</v>
      </c>
    </row>
    <row r="373" spans="1:15" ht="15" customHeight="1" x14ac:dyDescent="0.25">
      <c r="A373" s="10" t="s">
        <v>78</v>
      </c>
      <c r="B373" s="10" t="s">
        <v>169</v>
      </c>
      <c r="C373" s="10" t="s">
        <v>24</v>
      </c>
      <c r="D373" s="8">
        <f>Zone_Site_Means!$H$17</f>
        <v>7.3569999999999993</v>
      </c>
      <c r="E373" s="21">
        <f>D373*Parameters!$B$4*Parameters!$B$5</f>
        <v>7.357E-6</v>
      </c>
      <c r="F373" s="21">
        <f>E373*Parameters!$C$9*Parameters!$C$10*Parameters!$C$11/(Parameters!$C$8*Parameters!$C$15)</f>
        <v>2.1019999999999999E-7</v>
      </c>
      <c r="G373" s="21">
        <f>E373*Parameters!$C$12*Parameters!$F$25*Parameters!$C$13*Parameters!$C$10*Parameters!$C$11*Parameters!$C$14/(Parameters!$C$8*Parameters!$C$15)</f>
        <v>2.6262448555644778E-7</v>
      </c>
      <c r="H373" s="21">
        <f>F373/Parameters!$B$25</f>
        <v>4.2039999999999997E-4</v>
      </c>
      <c r="I373" s="21">
        <f>G373/Parameters!$B$25</f>
        <v>5.2524897111289558E-4</v>
      </c>
      <c r="J373" s="21">
        <f t="shared" si="10"/>
        <v>9.456489711128955E-4</v>
      </c>
      <c r="K373" s="21">
        <f>F373*Parameters!$C$15/Parameters!$C$16</f>
        <v>2.1019999999999999E-7</v>
      </c>
      <c r="L373" s="21">
        <f>G373*Parameters!$C$15/Parameters!$C$16</f>
        <v>2.6262448555644778E-7</v>
      </c>
      <c r="M373" s="21">
        <f>K373*Parameters!$C$25</f>
        <v>7.1468000000000002E-8</v>
      </c>
      <c r="N373" s="21">
        <f>L373*Parameters!$C$25</f>
        <v>8.9292325089192256E-8</v>
      </c>
      <c r="O373" s="21">
        <f t="shared" si="11"/>
        <v>1.6076032508919226E-7</v>
      </c>
    </row>
    <row r="374" spans="1:15" ht="15" customHeight="1" x14ac:dyDescent="0.25">
      <c r="A374" s="10" t="s">
        <v>78</v>
      </c>
      <c r="B374" s="10" t="s">
        <v>169</v>
      </c>
      <c r="C374" s="10" t="s">
        <v>25</v>
      </c>
      <c r="D374" s="8">
        <f>Zone_Site_Means!$I$17</f>
        <v>16.916</v>
      </c>
      <c r="E374" s="21">
        <f>D374*Parameters!$B$4*Parameters!$B$5</f>
        <v>1.6916000000000002E-5</v>
      </c>
      <c r="F374" s="21">
        <f>E374*Parameters!$C$9*Parameters!$C$10*Parameters!$C$11/(Parameters!$C$8*Parameters!$C$15)</f>
        <v>4.8331428571428577E-7</v>
      </c>
      <c r="G374" s="21">
        <f>E374*Parameters!$C$12*Parameters!$F$26*Parameters!$C$13*Parameters!$C$10*Parameters!$C$11*Parameters!$C$14/(Parameters!$C$8*Parameters!$C$15)</f>
        <v>1.3107870289750391E-6</v>
      </c>
      <c r="H374" s="21">
        <f>F374/Parameters!$B$26</f>
        <v>9.6662857142857154E-4</v>
      </c>
      <c r="I374" s="21">
        <f>G374/Parameters!$B$26</f>
        <v>2.6215740579500781E-3</v>
      </c>
      <c r="J374" s="21">
        <f t="shared" si="10"/>
        <v>3.5882026293786494E-3</v>
      </c>
      <c r="K374" s="21">
        <f>F374*Parameters!$C$15/Parameters!$C$16</f>
        <v>4.8331428571428577E-7</v>
      </c>
      <c r="L374" s="21">
        <f>G374*Parameters!$C$15/Parameters!$C$16</f>
        <v>1.3107870289750391E-6</v>
      </c>
      <c r="M374" s="21">
        <f>K374*Parameters!$C$26</f>
        <v>1.6432685714285719E-7</v>
      </c>
      <c r="N374" s="21">
        <f>L374*Parameters!$C$26</f>
        <v>4.4566758985151331E-7</v>
      </c>
      <c r="O374" s="21">
        <f t="shared" si="11"/>
        <v>6.0999444699437047E-7</v>
      </c>
    </row>
    <row r="375" spans="1:15" ht="15" customHeight="1" x14ac:dyDescent="0.25">
      <c r="A375" s="10" t="s">
        <v>78</v>
      </c>
      <c r="B375" s="10" t="s">
        <v>169</v>
      </c>
      <c r="C375" s="10" t="s">
        <v>26</v>
      </c>
      <c r="D375" s="8">
        <f>Zone_Site_Means!$J$17</f>
        <v>7.0643333333333338</v>
      </c>
      <c r="E375" s="21">
        <f>D375*Parameters!$B$4*Parameters!$B$5</f>
        <v>7.0643333333333337E-6</v>
      </c>
      <c r="F375" s="21">
        <f>E375*Parameters!$C$9*Parameters!$C$10*Parameters!$C$11/(Parameters!$C$8*Parameters!$C$15)</f>
        <v>2.0183809523809525E-7</v>
      </c>
      <c r="G375" s="21">
        <f>E375*Parameters!$C$12*Parameters!$F$27*Parameters!$C$13*Parameters!$C$10*Parameters!$C$11*Parameters!$C$14/(Parameters!$C$8*Parameters!$C$15)</f>
        <v>1.2648110235358827E-8</v>
      </c>
      <c r="H375" s="21">
        <f>F375/Parameters!$B$27</f>
        <v>6.7279365079365094E-4</v>
      </c>
      <c r="I375" s="21">
        <f>G375/Parameters!$B$27</f>
        <v>4.2160367451196094E-5</v>
      </c>
      <c r="J375" s="21">
        <f t="shared" si="10"/>
        <v>7.14954018244847E-4</v>
      </c>
      <c r="K375" s="21">
        <f>F375*Parameters!$C$15/Parameters!$C$16</f>
        <v>2.0183809523809525E-7</v>
      </c>
      <c r="L375" s="21">
        <f>G375*Parameters!$C$15/Parameters!$C$16</f>
        <v>1.2648110235358827E-8</v>
      </c>
      <c r="M375" s="21">
        <f>K375*Parameters!$C$27</f>
        <v>1.2715800000000001E-6</v>
      </c>
      <c r="N375" s="21">
        <f>L375*Parameters!$C$27</f>
        <v>7.9683094482760601E-8</v>
      </c>
      <c r="O375" s="21">
        <f t="shared" si="11"/>
        <v>1.3512630944827608E-6</v>
      </c>
    </row>
    <row r="376" spans="1:15" ht="15" customHeight="1" x14ac:dyDescent="0.25">
      <c r="A376" s="10" t="s">
        <v>78</v>
      </c>
      <c r="B376" s="10" t="s">
        <v>169</v>
      </c>
      <c r="C376" s="10" t="s">
        <v>27</v>
      </c>
      <c r="D376" s="8">
        <f>Zone_Site_Means!$K$17</f>
        <v>10.976666666666667</v>
      </c>
      <c r="E376" s="21">
        <f>D376*Parameters!$B$4*Parameters!$B$5</f>
        <v>1.0976666666666668E-5</v>
      </c>
      <c r="F376" s="21">
        <f>E376*Parameters!$C$9*Parameters!$C$10*Parameters!$C$11/(Parameters!$C$8*Parameters!$C$15)</f>
        <v>3.1361904761904769E-7</v>
      </c>
      <c r="G376" s="21">
        <f>E376*Parameters!$C$12*Parameters!$F$28*Parameters!$C$13*Parameters!$C$10*Parameters!$C$11*Parameters!$C$14/(Parameters!$C$8*Parameters!$C$15)</f>
        <v>1.906447871057377E-8</v>
      </c>
      <c r="H376" s="21">
        <f>F376/Parameters!$B$28</f>
        <v>1.0453968253968256E-3</v>
      </c>
      <c r="I376" s="21">
        <f>G376/Parameters!$B$28</f>
        <v>6.3548262368579237E-5</v>
      </c>
      <c r="J376" s="21">
        <f t="shared" si="10"/>
        <v>1.1089450877654048E-3</v>
      </c>
      <c r="K376" s="21">
        <f>F376*Parameters!$C$15/Parameters!$C$16</f>
        <v>3.1361904761904769E-7</v>
      </c>
      <c r="L376" s="21">
        <f>G376*Parameters!$C$15/Parameters!$C$16</f>
        <v>1.906447871057377E-8</v>
      </c>
      <c r="M376" s="21">
        <f>K376*Parameters!$C$28</f>
        <v>5.6451428571428583E-7</v>
      </c>
      <c r="N376" s="21">
        <f>L376*Parameters!$C$28</f>
        <v>3.4316061679032787E-8</v>
      </c>
      <c r="O376" s="21">
        <f t="shared" si="11"/>
        <v>5.9883034739331865E-7</v>
      </c>
    </row>
    <row r="377" spans="1:15" ht="15" customHeight="1" x14ac:dyDescent="0.25">
      <c r="A377" s="10" t="s">
        <v>78</v>
      </c>
      <c r="B377" s="10" t="s">
        <v>169</v>
      </c>
      <c r="C377" s="10" t="s">
        <v>28</v>
      </c>
      <c r="D377" s="8">
        <f>Zone_Site_Means!$L$17</f>
        <v>3.3540000000000005</v>
      </c>
      <c r="E377" s="21">
        <f>D377*Parameters!$B$4*Parameters!$B$5</f>
        <v>3.3540000000000008E-6</v>
      </c>
      <c r="F377" s="21">
        <f>E377*Parameters!$C$9*Parameters!$C$10*Parameters!$C$11/(Parameters!$C$8*Parameters!$C$15)</f>
        <v>9.5828571428571457E-8</v>
      </c>
      <c r="G377" s="21">
        <f>E377*Parameters!$C$12*Parameters!$F$29*Parameters!$C$13*Parameters!$C$10*Parameters!$C$11*Parameters!$C$14/(Parameters!$C$8*Parameters!$C$15)</f>
        <v>5.3176226660212623E-9</v>
      </c>
      <c r="H377" s="21">
        <f>F377/Parameters!$B$29</f>
        <v>3.1942857142857153E-4</v>
      </c>
      <c r="I377" s="21">
        <f>G377/Parameters!$B$29</f>
        <v>1.7725408886737542E-5</v>
      </c>
      <c r="J377" s="21">
        <f t="shared" si="10"/>
        <v>3.3715398031530905E-4</v>
      </c>
      <c r="K377" s="21">
        <f>F377*Parameters!$C$15/Parameters!$C$16</f>
        <v>9.5828571428571457E-8</v>
      </c>
      <c r="L377" s="21">
        <f>G377*Parameters!$C$15/Parameters!$C$16</f>
        <v>5.3176226660212623E-9</v>
      </c>
      <c r="M377" s="21">
        <f>K377*Parameters!$C$29</f>
        <v>1.245771428571429E-7</v>
      </c>
      <c r="N377" s="21">
        <f>L377*Parameters!$C$29</f>
        <v>6.9129094658276408E-9</v>
      </c>
      <c r="O377" s="21">
        <f t="shared" si="11"/>
        <v>1.3149005232297054E-7</v>
      </c>
    </row>
    <row r="378" spans="1:15" ht="15" customHeight="1" x14ac:dyDescent="0.25">
      <c r="A378" s="10" t="s">
        <v>78</v>
      </c>
      <c r="B378" s="10" t="s">
        <v>169</v>
      </c>
      <c r="C378" s="10" t="s">
        <v>29</v>
      </c>
      <c r="D378" s="8">
        <f>Zone_Site_Means!$M$17</f>
        <v>7.2586666666666666</v>
      </c>
      <c r="E378" s="21">
        <f>D378*Parameters!$B$4*Parameters!$B$5</f>
        <v>7.2586666666666671E-6</v>
      </c>
      <c r="F378" s="21">
        <f>E378*Parameters!$C$9*Parameters!$C$10*Parameters!$C$11/(Parameters!$C$8*Parameters!$C$15)</f>
        <v>2.0739047619047618E-7</v>
      </c>
      <c r="G378" s="21">
        <f>E378*Parameters!$C$12*Parameters!$F$30*Parameters!$C$13*Parameters!$C$10*Parameters!$C$11*Parameters!$C$14/(Parameters!$C$8*Parameters!$C$15)</f>
        <v>2.1787696240050205E-8</v>
      </c>
      <c r="H378" s="21">
        <f>F378/Parameters!$B$30</f>
        <v>6.9130158730158731E-4</v>
      </c>
      <c r="I378" s="21">
        <f>G378/Parameters!$B$30</f>
        <v>7.2625654133500692E-5</v>
      </c>
      <c r="J378" s="21">
        <f t="shared" si="10"/>
        <v>7.6392724143508803E-4</v>
      </c>
      <c r="K378" s="21">
        <f>F378*Parameters!$C$15/Parameters!$C$16</f>
        <v>2.073904761904762E-7</v>
      </c>
      <c r="L378" s="21">
        <f>G378*Parameters!$C$15/Parameters!$C$16</f>
        <v>2.1787696240050205E-8</v>
      </c>
      <c r="M378" s="21">
        <f>K378*Parameters!$C$30</f>
        <v>0</v>
      </c>
      <c r="N378" s="21">
        <f>L378*Parameters!$C$30</f>
        <v>0</v>
      </c>
      <c r="O378" s="21">
        <f t="shared" si="11"/>
        <v>0</v>
      </c>
    </row>
    <row r="379" spans="1:15" ht="15" customHeight="1" x14ac:dyDescent="0.25">
      <c r="A379" s="10" t="s">
        <v>78</v>
      </c>
      <c r="B379" s="10" t="s">
        <v>169</v>
      </c>
      <c r="C379" s="10" t="s">
        <v>30</v>
      </c>
      <c r="D379" s="8">
        <f>Zone_Site_Means!$N$17</f>
        <v>3.742666666666667</v>
      </c>
      <c r="E379" s="21">
        <f>D379*Parameters!$B$4*Parameters!$B$5</f>
        <v>3.7426666666666672E-6</v>
      </c>
      <c r="F379" s="21">
        <f>E379*Parameters!$C$9*Parameters!$C$10*Parameters!$C$11/(Parameters!$C$8*Parameters!$C$15)</f>
        <v>1.0693333333333335E-7</v>
      </c>
      <c r="G379" s="21">
        <f>E379*Parameters!$C$12*Parameters!$F$31*Parameters!$C$13*Parameters!$C$10*Parameters!$C$11*Parameters!$C$14/(Parameters!$C$8*Parameters!$C$15)</f>
        <v>1.5605856455085815E-7</v>
      </c>
      <c r="H379" s="21">
        <f>F379/Parameters!$B$31</f>
        <v>3.5644444444444447E-3</v>
      </c>
      <c r="I379" s="21">
        <f>G379/Parameters!$B$31</f>
        <v>5.2019521516952719E-3</v>
      </c>
      <c r="J379" s="21">
        <f t="shared" si="10"/>
        <v>8.7663965961397167E-3</v>
      </c>
      <c r="K379" s="21">
        <f>F379*Parameters!$C$15/Parameters!$C$16</f>
        <v>1.0693333333333335E-7</v>
      </c>
      <c r="L379" s="21">
        <f>G379*Parameters!$C$15/Parameters!$C$16</f>
        <v>1.5605856455085815E-7</v>
      </c>
      <c r="M379" s="21">
        <f>K379*Parameters!$C$31</f>
        <v>1.817866666666667E-6</v>
      </c>
      <c r="N379" s="21">
        <f>L379*Parameters!$C$31</f>
        <v>2.6529955973645887E-6</v>
      </c>
      <c r="O379" s="21">
        <f t="shared" si="11"/>
        <v>4.4708622640312557E-6</v>
      </c>
    </row>
    <row r="380" spans="1:15" ht="15" customHeight="1" x14ac:dyDescent="0.25">
      <c r="A380" s="10" t="s">
        <v>78</v>
      </c>
      <c r="B380" s="10" t="s">
        <v>169</v>
      </c>
      <c r="C380" s="10" t="s">
        <v>31</v>
      </c>
      <c r="D380" s="8">
        <f>Zone_Site_Means!$O$17</f>
        <v>5.8973333333333331</v>
      </c>
      <c r="E380" s="21">
        <f>D380*Parameters!$B$4*Parameters!$B$5</f>
        <v>5.8973333333333337E-6</v>
      </c>
      <c r="F380" s="21">
        <f>E380*Parameters!$C$9*Parameters!$C$10*Parameters!$C$11/(Parameters!$C$8*Parameters!$C$15)</f>
        <v>1.6849523809523813E-7</v>
      </c>
      <c r="G380" s="21">
        <f>E380*Parameters!$C$12*Parameters!$F$32*Parameters!$C$13*Parameters!$C$10*Parameters!$C$11*Parameters!$C$14/(Parameters!$C$8*Parameters!$C$15)</f>
        <v>3.7597774140307081E-8</v>
      </c>
      <c r="H380" s="21">
        <f>F380/Parameters!$B$32</f>
        <v>3.3699047619047623E-3</v>
      </c>
      <c r="I380" s="21">
        <f>G380/Parameters!$B$32</f>
        <v>7.5195548280614154E-4</v>
      </c>
      <c r="J380" s="21">
        <f t="shared" si="10"/>
        <v>4.1218602447109041E-3</v>
      </c>
      <c r="K380" s="21">
        <f>F380*Parameters!$C$15/Parameters!$C$16</f>
        <v>1.684952380952381E-7</v>
      </c>
      <c r="L380" s="21">
        <f>G380*Parameters!$C$15/Parameters!$C$16</f>
        <v>3.7597774140307081E-8</v>
      </c>
      <c r="M380" s="21">
        <f>K380*Parameters!$C$32</f>
        <v>2.6959238095238096E-6</v>
      </c>
      <c r="N380" s="21">
        <f>L380*Parameters!$C$32</f>
        <v>6.015643862449133E-7</v>
      </c>
      <c r="O380" s="21">
        <f t="shared" si="11"/>
        <v>3.2974881957687229E-6</v>
      </c>
    </row>
    <row r="381" spans="1:15" ht="15" customHeight="1" x14ac:dyDescent="0.25">
      <c r="A381" s="10" t="s">
        <v>78</v>
      </c>
      <c r="B381" s="10" t="s">
        <v>169</v>
      </c>
      <c r="C381" s="10" t="s">
        <v>32</v>
      </c>
      <c r="D381" s="8">
        <f>Zone_Site_Means!$P$17</f>
        <v>4.4453333333333331</v>
      </c>
      <c r="E381" s="21">
        <f>D381*Parameters!$B$4*Parameters!$B$5</f>
        <v>4.445333333333333E-6</v>
      </c>
      <c r="F381" s="21">
        <f>E381*Parameters!$C$9*Parameters!$C$10*Parameters!$C$11/(Parameters!$C$8*Parameters!$C$15)</f>
        <v>1.270095238095238E-7</v>
      </c>
      <c r="G381" s="21">
        <f>E381*Parameters!$C$12*Parameters!$F$33*Parameters!$C$13*Parameters!$C$10*Parameters!$C$11*Parameters!$C$14/(Parameters!$C$8*Parameters!$C$15)</f>
        <v>9.0555491219578204E-8</v>
      </c>
      <c r="H381" s="21">
        <f>F381/Parameters!$B$33</f>
        <v>2.5401904761904762E-4</v>
      </c>
      <c r="I381" s="21">
        <f>G381/Parameters!$B$33</f>
        <v>1.811109824391564E-4</v>
      </c>
      <c r="J381" s="21">
        <f t="shared" si="10"/>
        <v>4.3513003005820402E-4</v>
      </c>
      <c r="K381" s="21">
        <f>F381*Parameters!$C$15/Parameters!$C$16</f>
        <v>1.270095238095238E-7</v>
      </c>
      <c r="L381" s="21">
        <f>G381*Parameters!$C$15/Parameters!$C$16</f>
        <v>9.0555491219578204E-8</v>
      </c>
      <c r="M381" s="21">
        <f>K381*Parameters!$C$33</f>
        <v>5.7154285714285707E-7</v>
      </c>
      <c r="N381" s="21">
        <f>L381*Parameters!$C$33</f>
        <v>4.0749971048810191E-7</v>
      </c>
      <c r="O381" s="21">
        <f t="shared" si="11"/>
        <v>9.7904256763095887E-7</v>
      </c>
    </row>
    <row r="382" spans="1:15" ht="15" customHeight="1" x14ac:dyDescent="0.25">
      <c r="A382" s="10" t="s">
        <v>78</v>
      </c>
      <c r="B382" s="10" t="s">
        <v>169</v>
      </c>
      <c r="C382" s="10" t="s">
        <v>33</v>
      </c>
      <c r="D382" s="8">
        <f>Zone_Site_Means!$Q$17</f>
        <v>5.6109999999999998</v>
      </c>
      <c r="E382" s="21">
        <f>D382*Parameters!$B$4*Parameters!$B$5</f>
        <v>5.6110000000000001E-6</v>
      </c>
      <c r="F382" s="21">
        <f>E382*Parameters!$C$9*Parameters!$C$10*Parameters!$C$11/(Parameters!$C$8*Parameters!$C$15)</f>
        <v>1.6031428571428572E-7</v>
      </c>
      <c r="G382" s="21">
        <f>E382*Parameters!$C$12*Parameters!$F$34*Parameters!$C$13*Parameters!$C$10*Parameters!$C$11*Parameters!$C$14/(Parameters!$C$8*Parameters!$C$15)</f>
        <v>1.6953162597764235E-8</v>
      </c>
      <c r="H382" s="21">
        <f>F382/Parameters!$B$34</f>
        <v>1.2331868131868134E-2</v>
      </c>
      <c r="I382" s="21">
        <f>G382/Parameters!$B$34</f>
        <v>1.3040894305972489E-3</v>
      </c>
      <c r="J382" s="21">
        <f t="shared" si="10"/>
        <v>1.3635957562465382E-2</v>
      </c>
      <c r="K382" s="21">
        <f>F382*Parameters!$C$15/Parameters!$C$16</f>
        <v>1.6031428571428572E-7</v>
      </c>
      <c r="L382" s="21">
        <f>G382*Parameters!$C$15/Parameters!$C$16</f>
        <v>1.6953162597764235E-8</v>
      </c>
      <c r="M382" s="21">
        <f>K382*Parameters!$C$34</f>
        <v>1.4588600000000001E-6</v>
      </c>
      <c r="N382" s="21">
        <f>L382*Parameters!$C$34</f>
        <v>1.5427377963965455E-7</v>
      </c>
      <c r="O382" s="21">
        <f t="shared" si="11"/>
        <v>1.6131337796396546E-6</v>
      </c>
    </row>
    <row r="383" spans="1:15" ht="15" customHeight="1" x14ac:dyDescent="0.25">
      <c r="A383" s="10" t="s">
        <v>78</v>
      </c>
      <c r="B383" s="10" t="s">
        <v>170</v>
      </c>
      <c r="C383" s="10" t="s">
        <v>20</v>
      </c>
      <c r="D383" s="8">
        <f>Zone_Site_Means!$D$17</f>
        <v>7.1149999999999993</v>
      </c>
      <c r="E383" s="21">
        <f>D383*Parameters!$B$4*Parameters!$B$5</f>
        <v>7.1149999999999996E-6</v>
      </c>
      <c r="F383" s="21">
        <f>E383*Parameters!$D$9*Parameters!$D$10*Parameters!$D$11/(Parameters!$D$8*Parameters!$D$15)</f>
        <v>4.7433333333333336E-7</v>
      </c>
      <c r="G383" s="21">
        <f>E383*Parameters!$D$12*Parameters!$F$21*Parameters!$D$13*Parameters!$D$10*Parameters!$D$11*Parameters!$D$14/(Parameters!$D$8*Parameters!$D$15)</f>
        <v>1.5555485877813698E-6</v>
      </c>
      <c r="H383" s="21">
        <f>F383/Parameters!$B$21</f>
        <v>9.4866666666666667E-4</v>
      </c>
      <c r="I383" s="21">
        <f>G383/Parameters!$B$21</f>
        <v>3.1110971755627394E-3</v>
      </c>
      <c r="J383" s="21">
        <f t="shared" si="10"/>
        <v>4.0597638422294061E-3</v>
      </c>
      <c r="K383" s="21">
        <f>F383*Parameters!$D$15/Parameters!$D$16</f>
        <v>4.0657142857142865E-8</v>
      </c>
      <c r="L383" s="21">
        <f>G383*Parameters!$D$15/Parameters!$D$16</f>
        <v>1.3333273609554599E-7</v>
      </c>
      <c r="M383" s="21">
        <f>K383*Parameters!$C$21</f>
        <v>1.3823428571428575E-8</v>
      </c>
      <c r="N383" s="21">
        <f>L383*Parameters!$C$21</f>
        <v>4.5333130272485643E-8</v>
      </c>
      <c r="O383" s="21">
        <f t="shared" si="11"/>
        <v>5.9156558843914215E-8</v>
      </c>
    </row>
    <row r="384" spans="1:15" ht="15" customHeight="1" x14ac:dyDescent="0.25">
      <c r="A384" s="10" t="s">
        <v>78</v>
      </c>
      <c r="B384" s="10" t="s">
        <v>170</v>
      </c>
      <c r="C384" s="10" t="s">
        <v>21</v>
      </c>
      <c r="D384" s="8">
        <f>Zone_Site_Means!$E$17</f>
        <v>9.2973333333333343</v>
      </c>
      <c r="E384" s="21">
        <f>D384*Parameters!$B$4*Parameters!$B$5</f>
        <v>9.297333333333335E-6</v>
      </c>
      <c r="F384" s="21">
        <f>E384*Parameters!$D$9*Parameters!$D$10*Parameters!$D$11/(Parameters!$D$8*Parameters!$D$15)</f>
        <v>6.1982222222222228E-7</v>
      </c>
      <c r="G384" s="21">
        <f>E384*Parameters!$D$12*Parameters!$F$22*Parameters!$D$13*Parameters!$D$10*Parameters!$D$11*Parameters!$D$14/(Parameters!$D$8*Parameters!$D$15)</f>
        <v>2.439310461203937E-6</v>
      </c>
      <c r="H384" s="21">
        <f>F384/Parameters!$B$22</f>
        <v>1.2396444444444446E-3</v>
      </c>
      <c r="I384" s="21">
        <f>G384/Parameters!$B$22</f>
        <v>4.8786209224078742E-3</v>
      </c>
      <c r="J384" s="21">
        <f t="shared" si="10"/>
        <v>6.1182653668523188E-3</v>
      </c>
      <c r="K384" s="21">
        <f>F384*Parameters!$D$15/Parameters!$D$16</f>
        <v>5.3127619047619053E-8</v>
      </c>
      <c r="L384" s="21">
        <f>G384*Parameters!$D$15/Parameters!$D$16</f>
        <v>2.0908375381748031E-7</v>
      </c>
      <c r="M384" s="21">
        <f>K384*Parameters!$C$22</f>
        <v>1.8063390476190478E-8</v>
      </c>
      <c r="N384" s="21">
        <f>L384*Parameters!$C$22</f>
        <v>7.108847629794331E-8</v>
      </c>
      <c r="O384" s="21">
        <f t="shared" si="11"/>
        <v>8.9151866774133791E-8</v>
      </c>
    </row>
    <row r="385" spans="1:15" ht="15" customHeight="1" x14ac:dyDescent="0.25">
      <c r="A385" s="10" t="s">
        <v>78</v>
      </c>
      <c r="B385" s="10" t="s">
        <v>170</v>
      </c>
      <c r="C385" s="10" t="s">
        <v>22</v>
      </c>
      <c r="D385" s="8">
        <f>Zone_Site_Means!$F$17</f>
        <v>5.55</v>
      </c>
      <c r="E385" s="21">
        <f>D385*Parameters!$B$4*Parameters!$B$5</f>
        <v>5.5500000000000002E-6</v>
      </c>
      <c r="F385" s="21">
        <f>E385*Parameters!$D$9*Parameters!$D$10*Parameters!$D$11/(Parameters!$D$8*Parameters!$D$15)</f>
        <v>3.7000000000000006E-7</v>
      </c>
      <c r="G385" s="21">
        <f>E385*Parameters!$D$12*Parameters!$F$23*Parameters!$D$13*Parameters!$D$10*Parameters!$D$11*Parameters!$D$14/(Parameters!$D$8*Parameters!$D$15)</f>
        <v>4.6743546473799415E-7</v>
      </c>
      <c r="H385" s="21">
        <f>F385/Parameters!$B$23</f>
        <v>7.400000000000001E-4</v>
      </c>
      <c r="I385" s="21">
        <f>G385/Parameters!$B$23</f>
        <v>9.3487092947598823E-4</v>
      </c>
      <c r="J385" s="21">
        <f t="shared" si="10"/>
        <v>1.6748709294759883E-3</v>
      </c>
      <c r="K385" s="21">
        <f>F385*Parameters!$D$15/Parameters!$D$16</f>
        <v>3.1714285714285722E-8</v>
      </c>
      <c r="L385" s="21">
        <f>G385*Parameters!$D$15/Parameters!$D$16</f>
        <v>4.0065896977542357E-8</v>
      </c>
      <c r="M385" s="21">
        <f>K385*Parameters!$C$23</f>
        <v>1.0782857142857146E-8</v>
      </c>
      <c r="N385" s="21">
        <f>L385*Parameters!$C$23</f>
        <v>1.3622404972364403E-8</v>
      </c>
      <c r="O385" s="21">
        <f t="shared" si="11"/>
        <v>2.4405262115221551E-8</v>
      </c>
    </row>
    <row r="386" spans="1:15" ht="15" customHeight="1" x14ac:dyDescent="0.25">
      <c r="A386" s="10" t="s">
        <v>78</v>
      </c>
      <c r="B386" s="10" t="s">
        <v>170</v>
      </c>
      <c r="C386" s="10" t="s">
        <v>23</v>
      </c>
      <c r="D386" s="8">
        <f>Zone_Site_Means!$G$17</f>
        <v>8.2313333333333336</v>
      </c>
      <c r="E386" s="21">
        <f>D386*Parameters!$B$4*Parameters!$B$5</f>
        <v>8.2313333333333337E-6</v>
      </c>
      <c r="F386" s="21">
        <f>E386*Parameters!$D$9*Parameters!$D$10*Parameters!$D$11/(Parameters!$D$8*Parameters!$D$15)</f>
        <v>5.4875555555555554E-7</v>
      </c>
      <c r="G386" s="21">
        <f>E386*Parameters!$D$12*Parameters!$F$24*Parameters!$D$13*Parameters!$D$10*Parameters!$D$11*Parameters!$D$14/(Parameters!$D$8*Parameters!$D$15)</f>
        <v>8.7076079174016752E-7</v>
      </c>
      <c r="H386" s="21">
        <f>F386/Parameters!$B$24</f>
        <v>1.097511111111111E-3</v>
      </c>
      <c r="I386" s="21">
        <f>G386/Parameters!$B$24</f>
        <v>1.741521583480335E-3</v>
      </c>
      <c r="J386" s="21">
        <f t="shared" si="10"/>
        <v>2.839032694591446E-3</v>
      </c>
      <c r="K386" s="21">
        <f>F386*Parameters!$D$15/Parameters!$D$16</f>
        <v>4.7036190476190474E-8</v>
      </c>
      <c r="L386" s="21">
        <f>G386*Parameters!$D$15/Parameters!$D$16</f>
        <v>7.4636639292014366E-8</v>
      </c>
      <c r="M386" s="21">
        <f>K386*Parameters!$C$24</f>
        <v>1.5992304761904762E-8</v>
      </c>
      <c r="N386" s="21">
        <f>L386*Parameters!$C$24</f>
        <v>2.5376457359284885E-8</v>
      </c>
      <c r="O386" s="21">
        <f t="shared" si="11"/>
        <v>4.1368762121189651E-8</v>
      </c>
    </row>
    <row r="387" spans="1:15" ht="15" customHeight="1" x14ac:dyDescent="0.25">
      <c r="A387" s="10" t="s">
        <v>78</v>
      </c>
      <c r="B387" s="10" t="s">
        <v>170</v>
      </c>
      <c r="C387" s="10" t="s">
        <v>24</v>
      </c>
      <c r="D387" s="8">
        <f>Zone_Site_Means!$H$17</f>
        <v>7.3569999999999993</v>
      </c>
      <c r="E387" s="21">
        <f>D387*Parameters!$B$4*Parameters!$B$5</f>
        <v>7.357E-6</v>
      </c>
      <c r="F387" s="21">
        <f>E387*Parameters!$D$9*Parameters!$D$10*Parameters!$D$11/(Parameters!$D$8*Parameters!$D$15)</f>
        <v>4.904666666666667E-7</v>
      </c>
      <c r="G387" s="21">
        <f>E387*Parameters!$D$12*Parameters!$F$25*Parameters!$D$13*Parameters!$D$10*Parameters!$D$11*Parameters!$D$14/(Parameters!$D$8*Parameters!$D$15)</f>
        <v>7.7479254359565065E-7</v>
      </c>
      <c r="H387" s="21">
        <f>F387/Parameters!$B$25</f>
        <v>9.809333333333334E-4</v>
      </c>
      <c r="I387" s="21">
        <f>G387/Parameters!$B$25</f>
        <v>1.5495850871913013E-3</v>
      </c>
      <c r="J387" s="21">
        <f t="shared" si="10"/>
        <v>2.5305184205246349E-3</v>
      </c>
      <c r="K387" s="21">
        <f>F387*Parameters!$D$15/Parameters!$D$16</f>
        <v>4.2040000000000005E-8</v>
      </c>
      <c r="L387" s="21">
        <f>G387*Parameters!$D$15/Parameters!$D$16</f>
        <v>6.6410789451055765E-8</v>
      </c>
      <c r="M387" s="21">
        <f>K387*Parameters!$C$25</f>
        <v>1.4293600000000002E-8</v>
      </c>
      <c r="N387" s="21">
        <f>L387*Parameters!$C$25</f>
        <v>2.2579668413358961E-8</v>
      </c>
      <c r="O387" s="21">
        <f t="shared" si="11"/>
        <v>3.6873268413358962E-8</v>
      </c>
    </row>
    <row r="388" spans="1:15" ht="15" customHeight="1" x14ac:dyDescent="0.25">
      <c r="A388" s="10" t="s">
        <v>78</v>
      </c>
      <c r="B388" s="10" t="s">
        <v>170</v>
      </c>
      <c r="C388" s="10" t="s">
        <v>25</v>
      </c>
      <c r="D388" s="8">
        <f>Zone_Site_Means!$I$17</f>
        <v>16.916</v>
      </c>
      <c r="E388" s="21">
        <f>D388*Parameters!$B$4*Parameters!$B$5</f>
        <v>1.6916000000000002E-5</v>
      </c>
      <c r="F388" s="21">
        <f>E388*Parameters!$D$9*Parameters!$D$10*Parameters!$D$11/(Parameters!$D$8*Parameters!$D$15)</f>
        <v>1.1277333333333334E-6</v>
      </c>
      <c r="G388" s="21">
        <f>E388*Parameters!$D$12*Parameters!$F$26*Parameters!$D$13*Parameters!$D$10*Parameters!$D$11*Parameters!$D$14/(Parameters!$D$8*Parameters!$D$15)</f>
        <v>3.867072844102607E-6</v>
      </c>
      <c r="H388" s="21">
        <f>F388/Parameters!$B$26</f>
        <v>2.255466666666667E-3</v>
      </c>
      <c r="I388" s="21">
        <f>G388/Parameters!$B$26</f>
        <v>7.7341456882052137E-3</v>
      </c>
      <c r="J388" s="21">
        <f t="shared" si="10"/>
        <v>9.9896123548718803E-3</v>
      </c>
      <c r="K388" s="21">
        <f>F388*Parameters!$D$15/Parameters!$D$16</f>
        <v>9.6662857142857143E-8</v>
      </c>
      <c r="L388" s="21">
        <f>G388*Parameters!$D$15/Parameters!$D$16</f>
        <v>3.3146338663736633E-7</v>
      </c>
      <c r="M388" s="21">
        <f>K388*Parameters!$C$26</f>
        <v>3.2865371428571433E-8</v>
      </c>
      <c r="N388" s="21">
        <f>L388*Parameters!$C$26</f>
        <v>1.1269755145670455E-7</v>
      </c>
      <c r="O388" s="21">
        <f t="shared" si="11"/>
        <v>1.4556292288527598E-7</v>
      </c>
    </row>
    <row r="389" spans="1:15" ht="15" customHeight="1" x14ac:dyDescent="0.25">
      <c r="A389" s="10" t="s">
        <v>78</v>
      </c>
      <c r="B389" s="10" t="s">
        <v>170</v>
      </c>
      <c r="C389" s="10" t="s">
        <v>26</v>
      </c>
      <c r="D389" s="8">
        <f>Zone_Site_Means!$J$17</f>
        <v>7.0643333333333338</v>
      </c>
      <c r="E389" s="21">
        <f>D389*Parameters!$B$4*Parameters!$B$5</f>
        <v>7.0643333333333337E-6</v>
      </c>
      <c r="F389" s="21">
        <f>E389*Parameters!$D$9*Parameters!$D$10*Parameters!$D$11/(Parameters!$D$8*Parameters!$D$15)</f>
        <v>4.7095555555555557E-7</v>
      </c>
      <c r="G389" s="21">
        <f>E389*Parameters!$D$12*Parameters!$F$27*Parameters!$D$13*Parameters!$D$10*Parameters!$D$11*Parameters!$D$14/(Parameters!$D$8*Parameters!$D$15)</f>
        <v>3.7314348203932173E-8</v>
      </c>
      <c r="H389" s="21">
        <f>F389/Parameters!$B$27</f>
        <v>1.569851851851852E-3</v>
      </c>
      <c r="I389" s="21">
        <f>G389/Parameters!$B$27</f>
        <v>1.2438116067977392E-4</v>
      </c>
      <c r="J389" s="21">
        <f t="shared" ref="J389:J424" si="12">H389+I389</f>
        <v>1.694233012531626E-3</v>
      </c>
      <c r="K389" s="21">
        <f>F389*Parameters!$D$15/Parameters!$D$16</f>
        <v>4.036761904761905E-8</v>
      </c>
      <c r="L389" s="21">
        <f>G389*Parameters!$D$15/Parameters!$D$16</f>
        <v>3.1983727031941861E-9</v>
      </c>
      <c r="M389" s="21">
        <f>K389*Parameters!$C$27</f>
        <v>2.5431600000000001E-7</v>
      </c>
      <c r="N389" s="21">
        <f>L389*Parameters!$C$27</f>
        <v>2.0149748030123371E-8</v>
      </c>
      <c r="O389" s="21">
        <f t="shared" ref="O389:O424" si="13">M389+N389</f>
        <v>2.7446574803012338E-7</v>
      </c>
    </row>
    <row r="390" spans="1:15" ht="15" customHeight="1" x14ac:dyDescent="0.25">
      <c r="A390" s="10" t="s">
        <v>78</v>
      </c>
      <c r="B390" s="10" t="s">
        <v>170</v>
      </c>
      <c r="C390" s="10" t="s">
        <v>27</v>
      </c>
      <c r="D390" s="8">
        <f>Zone_Site_Means!$K$17</f>
        <v>10.976666666666667</v>
      </c>
      <c r="E390" s="21">
        <f>D390*Parameters!$B$4*Parameters!$B$5</f>
        <v>1.0976666666666668E-5</v>
      </c>
      <c r="F390" s="21">
        <f>E390*Parameters!$D$9*Parameters!$D$10*Parameters!$D$11/(Parameters!$D$8*Parameters!$D$15)</f>
        <v>7.3177777777777783E-7</v>
      </c>
      <c r="G390" s="21">
        <f>E390*Parameters!$D$12*Parameters!$F$28*Parameters!$D$13*Parameters!$D$10*Parameters!$D$11*Parameters!$D$14/(Parameters!$D$8*Parameters!$D$15)</f>
        <v>5.6243864395179344E-8</v>
      </c>
      <c r="H390" s="21">
        <f>F390/Parameters!$B$28</f>
        <v>2.4392592592592595E-3</v>
      </c>
      <c r="I390" s="21">
        <f>G390/Parameters!$B$28</f>
        <v>1.8747954798393115E-4</v>
      </c>
      <c r="J390" s="21">
        <f t="shared" si="12"/>
        <v>2.6267388072431907E-3</v>
      </c>
      <c r="K390" s="21">
        <f>F390*Parameters!$D$15/Parameters!$D$16</f>
        <v>6.2723809523809524E-8</v>
      </c>
      <c r="L390" s="21">
        <f>G390*Parameters!$D$15/Parameters!$D$16</f>
        <v>4.8209026624439432E-9</v>
      </c>
      <c r="M390" s="21">
        <f>K390*Parameters!$C$28</f>
        <v>1.1290285714285715E-7</v>
      </c>
      <c r="N390" s="21">
        <f>L390*Parameters!$C$28</f>
        <v>8.6776247923990981E-9</v>
      </c>
      <c r="O390" s="21">
        <f t="shared" si="13"/>
        <v>1.2158048193525625E-7</v>
      </c>
    </row>
    <row r="391" spans="1:15" ht="15" customHeight="1" x14ac:dyDescent="0.25">
      <c r="A391" s="10" t="s">
        <v>78</v>
      </c>
      <c r="B391" s="10" t="s">
        <v>170</v>
      </c>
      <c r="C391" s="10" t="s">
        <v>28</v>
      </c>
      <c r="D391" s="8">
        <f>Zone_Site_Means!$L$17</f>
        <v>3.3540000000000005</v>
      </c>
      <c r="E391" s="21">
        <f>D391*Parameters!$B$4*Parameters!$B$5</f>
        <v>3.3540000000000008E-6</v>
      </c>
      <c r="F391" s="21">
        <f>E391*Parameters!$D$9*Parameters!$D$10*Parameters!$D$11/(Parameters!$D$8*Parameters!$D$15)</f>
        <v>2.2360000000000007E-7</v>
      </c>
      <c r="G391" s="21">
        <f>E391*Parameters!$D$12*Parameters!$F$29*Parameters!$D$13*Parameters!$D$10*Parameters!$D$11*Parameters!$D$14/(Parameters!$D$8*Parameters!$D$15)</f>
        <v>1.5688005566422886E-8</v>
      </c>
      <c r="H391" s="21">
        <f>F391/Parameters!$B$29</f>
        <v>7.4533333333333363E-4</v>
      </c>
      <c r="I391" s="21">
        <f>G391/Parameters!$B$29</f>
        <v>5.229335188807629E-5</v>
      </c>
      <c r="J391" s="21">
        <f t="shared" si="12"/>
        <v>7.9762668522140995E-4</v>
      </c>
      <c r="K391" s="21">
        <f>F391*Parameters!$D$15/Parameters!$D$16</f>
        <v>1.9165714285714291E-8</v>
      </c>
      <c r="L391" s="21">
        <f>G391*Parameters!$D$15/Parameters!$D$16</f>
        <v>1.3446861914076759E-9</v>
      </c>
      <c r="M391" s="21">
        <f>K391*Parameters!$C$29</f>
        <v>2.4915428571428579E-8</v>
      </c>
      <c r="N391" s="21">
        <f>L391*Parameters!$C$29</f>
        <v>1.7480920488299788E-9</v>
      </c>
      <c r="O391" s="21">
        <f t="shared" si="13"/>
        <v>2.6663520620258559E-8</v>
      </c>
    </row>
    <row r="392" spans="1:15" ht="15" customHeight="1" x14ac:dyDescent="0.25">
      <c r="A392" s="10" t="s">
        <v>78</v>
      </c>
      <c r="B392" s="10" t="s">
        <v>170</v>
      </c>
      <c r="C392" s="10" t="s">
        <v>29</v>
      </c>
      <c r="D392" s="8">
        <f>Zone_Site_Means!$M$17</f>
        <v>7.2586666666666666</v>
      </c>
      <c r="E392" s="21">
        <f>D392*Parameters!$B$4*Parameters!$B$5</f>
        <v>7.2586666666666671E-6</v>
      </c>
      <c r="F392" s="21">
        <f>E392*Parameters!$D$9*Parameters!$D$10*Parameters!$D$11/(Parameters!$D$8*Parameters!$D$15)</f>
        <v>4.8391111111111114E-7</v>
      </c>
      <c r="G392" s="21">
        <f>E392*Parameters!$D$12*Parameters!$F$30*Parameters!$D$13*Parameters!$D$10*Parameters!$D$11*Parameters!$D$14/(Parameters!$D$8*Parameters!$D$15)</f>
        <v>6.4277877796316709E-8</v>
      </c>
      <c r="H392" s="21">
        <f>F392/Parameters!$B$30</f>
        <v>1.6130370370370372E-3</v>
      </c>
      <c r="I392" s="21">
        <f>G392/Parameters!$B$30</f>
        <v>2.1425959265438906E-4</v>
      </c>
      <c r="J392" s="21">
        <f t="shared" si="12"/>
        <v>1.8272966296914261E-3</v>
      </c>
      <c r="K392" s="21">
        <f>F392*Parameters!$D$15/Parameters!$D$16</f>
        <v>4.147809523809524E-8</v>
      </c>
      <c r="L392" s="21">
        <f>G392*Parameters!$D$15/Parameters!$D$16</f>
        <v>5.5095323825414317E-9</v>
      </c>
      <c r="M392" s="21">
        <f>K392*Parameters!$C$30</f>
        <v>0</v>
      </c>
      <c r="N392" s="21">
        <f>L392*Parameters!$C$30</f>
        <v>0</v>
      </c>
      <c r="O392" s="21">
        <f t="shared" si="13"/>
        <v>0</v>
      </c>
    </row>
    <row r="393" spans="1:15" ht="15" customHeight="1" x14ac:dyDescent="0.25">
      <c r="A393" s="10" t="s">
        <v>78</v>
      </c>
      <c r="B393" s="10" t="s">
        <v>170</v>
      </c>
      <c r="C393" s="10" t="s">
        <v>30</v>
      </c>
      <c r="D393" s="8">
        <f>Zone_Site_Means!$N$17</f>
        <v>3.742666666666667</v>
      </c>
      <c r="E393" s="21">
        <f>D393*Parameters!$B$4*Parameters!$B$5</f>
        <v>3.7426666666666672E-6</v>
      </c>
      <c r="F393" s="21">
        <f>E393*Parameters!$D$9*Parameters!$D$10*Parameters!$D$11/(Parameters!$D$8*Parameters!$D$15)</f>
        <v>2.4951111111111116E-7</v>
      </c>
      <c r="G393" s="21">
        <f>E393*Parameters!$D$12*Parameters!$F$31*Parameters!$D$13*Parameters!$D$10*Parameters!$D$11*Parameters!$D$14/(Parameters!$D$8*Parameters!$D$15)</f>
        <v>4.6040266170176546E-7</v>
      </c>
      <c r="H393" s="21">
        <f>F393/Parameters!$B$31</f>
        <v>8.3170370370370377E-3</v>
      </c>
      <c r="I393" s="21">
        <f>G393/Parameters!$B$31</f>
        <v>1.5346755390058848E-2</v>
      </c>
      <c r="J393" s="21">
        <f t="shared" si="12"/>
        <v>2.3663792427095886E-2</v>
      </c>
      <c r="K393" s="21">
        <f>F393*Parameters!$D$15/Parameters!$D$16</f>
        <v>2.1386666666666672E-8</v>
      </c>
      <c r="L393" s="21">
        <f>G393*Parameters!$D$15/Parameters!$D$16</f>
        <v>3.9463085288722752E-8</v>
      </c>
      <c r="M393" s="21">
        <f>K393*Parameters!$C$31</f>
        <v>3.6357333333333344E-7</v>
      </c>
      <c r="N393" s="21">
        <f>L393*Parameters!$C$31</f>
        <v>6.7087244990828678E-7</v>
      </c>
      <c r="O393" s="21">
        <f t="shared" si="13"/>
        <v>1.0344457832416203E-6</v>
      </c>
    </row>
    <row r="394" spans="1:15" ht="15" customHeight="1" x14ac:dyDescent="0.25">
      <c r="A394" s="10" t="s">
        <v>78</v>
      </c>
      <c r="B394" s="10" t="s">
        <v>170</v>
      </c>
      <c r="C394" s="10" t="s">
        <v>31</v>
      </c>
      <c r="D394" s="8">
        <f>Zone_Site_Means!$O$17</f>
        <v>5.8973333333333331</v>
      </c>
      <c r="E394" s="21">
        <f>D394*Parameters!$B$4*Parameters!$B$5</f>
        <v>5.8973333333333337E-6</v>
      </c>
      <c r="F394" s="21">
        <f>E394*Parameters!$D$9*Parameters!$D$10*Parameters!$D$11/(Parameters!$D$8*Parameters!$D$15)</f>
        <v>3.931555555555556E-7</v>
      </c>
      <c r="G394" s="21">
        <f>E394*Parameters!$D$12*Parameters!$F$32*Parameters!$D$13*Parameters!$D$10*Parameters!$D$11*Parameters!$D$14/(Parameters!$D$8*Parameters!$D$15)</f>
        <v>1.1092063635263011E-7</v>
      </c>
      <c r="H394" s="21">
        <f>F394/Parameters!$B$32</f>
        <v>7.8631111111111124E-3</v>
      </c>
      <c r="I394" s="21">
        <f>G394/Parameters!$B$32</f>
        <v>2.2184127270526021E-3</v>
      </c>
      <c r="J394" s="21">
        <f t="shared" si="12"/>
        <v>1.0081523838163714E-2</v>
      </c>
      <c r="K394" s="21">
        <f>F394*Parameters!$D$15/Parameters!$D$16</f>
        <v>3.3699047619047625E-8</v>
      </c>
      <c r="L394" s="21">
        <f>G394*Parameters!$D$15/Parameters!$D$16</f>
        <v>9.5074831159397229E-9</v>
      </c>
      <c r="M394" s="21">
        <f>K394*Parameters!$C$32</f>
        <v>5.39184761904762E-7</v>
      </c>
      <c r="N394" s="21">
        <f>L394*Parameters!$C$32</f>
        <v>1.5211972985503557E-7</v>
      </c>
      <c r="O394" s="21">
        <f t="shared" si="13"/>
        <v>6.9130449175979759E-7</v>
      </c>
    </row>
    <row r="395" spans="1:15" ht="15" customHeight="1" x14ac:dyDescent="0.25">
      <c r="A395" s="10" t="s">
        <v>78</v>
      </c>
      <c r="B395" s="10" t="s">
        <v>170</v>
      </c>
      <c r="C395" s="10" t="s">
        <v>32</v>
      </c>
      <c r="D395" s="8">
        <f>Zone_Site_Means!$P$17</f>
        <v>4.4453333333333331</v>
      </c>
      <c r="E395" s="21">
        <f>D395*Parameters!$B$4*Parameters!$B$5</f>
        <v>4.445333333333333E-6</v>
      </c>
      <c r="F395" s="21">
        <f>E395*Parameters!$D$9*Parameters!$D$10*Parameters!$D$11/(Parameters!$D$8*Parameters!$D$15)</f>
        <v>2.9635555555555553E-7</v>
      </c>
      <c r="G395" s="21">
        <f>E395*Parameters!$D$12*Parameters!$F$33*Parameters!$D$13*Parameters!$D$10*Parameters!$D$11*Parameters!$D$14/(Parameters!$D$8*Parameters!$D$15)</f>
        <v>2.6715604689300854E-7</v>
      </c>
      <c r="H395" s="21">
        <f>F395/Parameters!$B$33</f>
        <v>5.9271111111111109E-4</v>
      </c>
      <c r="I395" s="21">
        <f>G395/Parameters!$B$33</f>
        <v>5.3431209378601704E-4</v>
      </c>
      <c r="J395" s="21">
        <f t="shared" si="12"/>
        <v>1.1270232048971281E-3</v>
      </c>
      <c r="K395" s="21">
        <f>F395*Parameters!$D$15/Parameters!$D$16</f>
        <v>2.540190476190476E-8</v>
      </c>
      <c r="L395" s="21">
        <f>G395*Parameters!$D$15/Parameters!$D$16</f>
        <v>2.2899089733686447E-8</v>
      </c>
      <c r="M395" s="21">
        <f>K395*Parameters!$C$33</f>
        <v>1.1430857142857142E-7</v>
      </c>
      <c r="N395" s="21">
        <f>L395*Parameters!$C$33</f>
        <v>1.0304590380158901E-7</v>
      </c>
      <c r="O395" s="21">
        <f t="shared" si="13"/>
        <v>2.1735447523016043E-7</v>
      </c>
    </row>
    <row r="396" spans="1:15" ht="15" customHeight="1" x14ac:dyDescent="0.25">
      <c r="A396" s="10" t="s">
        <v>78</v>
      </c>
      <c r="B396" s="10" t="s">
        <v>170</v>
      </c>
      <c r="C396" s="10" t="s">
        <v>33</v>
      </c>
      <c r="D396" s="8">
        <f>Zone_Site_Means!$Q$17</f>
        <v>5.6109999999999998</v>
      </c>
      <c r="E396" s="21">
        <f>D396*Parameters!$B$4*Parameters!$B$5</f>
        <v>5.6110000000000001E-6</v>
      </c>
      <c r="F396" s="21">
        <f>E396*Parameters!$D$9*Parameters!$D$10*Parameters!$D$11/(Parameters!$D$8*Parameters!$D$15)</f>
        <v>3.7406666666666669E-7</v>
      </c>
      <c r="G396" s="21">
        <f>E396*Parameters!$D$12*Parameters!$F$34*Parameters!$D$13*Parameters!$D$10*Parameters!$D$11*Parameters!$D$14/(Parameters!$D$8*Parameters!$D$15)</f>
        <v>5.0015077395702912E-8</v>
      </c>
      <c r="H396" s="21">
        <f>F396/Parameters!$B$34</f>
        <v>2.8774358974358979E-2</v>
      </c>
      <c r="I396" s="21">
        <f>G396/Parameters!$B$34</f>
        <v>3.8473136458233013E-3</v>
      </c>
      <c r="J396" s="21">
        <f t="shared" si="12"/>
        <v>3.2621672620182278E-2</v>
      </c>
      <c r="K396" s="21">
        <f>F396*Parameters!$D$15/Parameters!$D$16</f>
        <v>3.2062857142857147E-8</v>
      </c>
      <c r="L396" s="21">
        <f>G396*Parameters!$D$15/Parameters!$D$16</f>
        <v>4.2870066339173931E-9</v>
      </c>
      <c r="M396" s="21">
        <f>K396*Parameters!$C$34</f>
        <v>2.9177200000000003E-7</v>
      </c>
      <c r="N396" s="21">
        <f>L396*Parameters!$C$34</f>
        <v>3.9011760368648275E-8</v>
      </c>
      <c r="O396" s="21">
        <f t="shared" si="13"/>
        <v>3.3078376036864831E-7</v>
      </c>
    </row>
    <row r="397" spans="1:15" ht="15" customHeight="1" x14ac:dyDescent="0.25">
      <c r="A397" s="10" t="s">
        <v>82</v>
      </c>
      <c r="B397" s="10" t="s">
        <v>169</v>
      </c>
      <c r="C397" s="10" t="s">
        <v>20</v>
      </c>
      <c r="D397" s="8">
        <f>Zone_Site_Means!$D$18</f>
        <v>9.0266666666666655</v>
      </c>
      <c r="E397" s="21">
        <f>D397*Parameters!$B$4*Parameters!$B$5</f>
        <v>9.0266666666666661E-6</v>
      </c>
      <c r="F397" s="21">
        <f>E397*Parameters!$C$9*Parameters!$C$10*Parameters!$C$11/(Parameters!$C$8*Parameters!$C$15)</f>
        <v>2.5790476190476185E-7</v>
      </c>
      <c r="G397" s="21">
        <f>E397*Parameters!$C$12*Parameters!$F$21*Parameters!$C$13*Parameters!$C$10*Parameters!$C$11*Parameters!$C$14/(Parameters!$C$8*Parameters!$C$15)</f>
        <v>6.689379947010422E-7</v>
      </c>
      <c r="H397" s="21">
        <f>F397/Parameters!$B$21</f>
        <v>5.1580952380952374E-4</v>
      </c>
      <c r="I397" s="21">
        <f>G397/Parameters!$B$21</f>
        <v>1.3378759894020844E-3</v>
      </c>
      <c r="J397" s="21">
        <f t="shared" si="12"/>
        <v>1.8536855132116081E-3</v>
      </c>
      <c r="K397" s="21">
        <f>F397*Parameters!$C$15/Parameters!$C$16</f>
        <v>2.5790476190476185E-7</v>
      </c>
      <c r="L397" s="21">
        <f>G397*Parameters!$C$15/Parameters!$C$16</f>
        <v>6.689379947010422E-7</v>
      </c>
      <c r="M397" s="21">
        <f>K397*Parameters!$C$21</f>
        <v>8.7687619047619033E-8</v>
      </c>
      <c r="N397" s="21">
        <f>L397*Parameters!$C$21</f>
        <v>2.2743891819835436E-7</v>
      </c>
      <c r="O397" s="21">
        <f t="shared" si="13"/>
        <v>3.1512653724597337E-7</v>
      </c>
    </row>
    <row r="398" spans="1:15" ht="15" customHeight="1" x14ac:dyDescent="0.25">
      <c r="A398" s="10" t="s">
        <v>82</v>
      </c>
      <c r="B398" s="10" t="s">
        <v>169</v>
      </c>
      <c r="C398" s="10" t="s">
        <v>21</v>
      </c>
      <c r="D398" s="8">
        <f>Zone_Site_Means!$E$18</f>
        <v>12.452399999999999</v>
      </c>
      <c r="E398" s="21">
        <f>D398*Parameters!$B$4*Parameters!$B$5</f>
        <v>1.24524E-5</v>
      </c>
      <c r="F398" s="21">
        <f>E398*Parameters!$C$9*Parameters!$C$10*Parameters!$C$11/(Parameters!$C$8*Parameters!$C$15)</f>
        <v>3.5578285714285715E-7</v>
      </c>
      <c r="G398" s="21">
        <f>E398*Parameters!$C$12*Parameters!$F$22*Parameters!$C$13*Parameters!$C$10*Parameters!$C$11*Parameters!$C$14/(Parameters!$C$8*Parameters!$C$15)</f>
        <v>1.1074178550799877E-6</v>
      </c>
      <c r="H398" s="21">
        <f>F398/Parameters!$B$22</f>
        <v>7.1156571428571428E-4</v>
      </c>
      <c r="I398" s="21">
        <f>G398/Parameters!$B$22</f>
        <v>2.2148357101599752E-3</v>
      </c>
      <c r="J398" s="21">
        <f t="shared" si="12"/>
        <v>2.9264014244456894E-3</v>
      </c>
      <c r="K398" s="21">
        <f>F398*Parameters!$C$15/Parameters!$C$16</f>
        <v>3.5578285714285715E-7</v>
      </c>
      <c r="L398" s="21">
        <f>G398*Parameters!$C$15/Parameters!$C$16</f>
        <v>1.1074178550799877E-6</v>
      </c>
      <c r="M398" s="21">
        <f>K398*Parameters!$C$22</f>
        <v>1.2096617142857144E-7</v>
      </c>
      <c r="N398" s="21">
        <f>L398*Parameters!$C$22</f>
        <v>3.7652207072719587E-7</v>
      </c>
      <c r="O398" s="21">
        <f t="shared" si="13"/>
        <v>4.9748824215576726E-7</v>
      </c>
    </row>
    <row r="399" spans="1:15" ht="15" customHeight="1" x14ac:dyDescent="0.25">
      <c r="A399" s="10" t="s">
        <v>82</v>
      </c>
      <c r="B399" s="10" t="s">
        <v>169</v>
      </c>
      <c r="C399" s="10" t="s">
        <v>22</v>
      </c>
      <c r="D399" s="8">
        <f>Zone_Site_Means!$F$18</f>
        <v>9.2379999999999995</v>
      </c>
      <c r="E399" s="21">
        <f>D399*Parameters!$B$4*Parameters!$B$5</f>
        <v>9.2380000000000003E-6</v>
      </c>
      <c r="F399" s="21">
        <f>E399*Parameters!$C$9*Parameters!$C$10*Parameters!$C$11/(Parameters!$C$8*Parameters!$C$15)</f>
        <v>2.6394285714285714E-7</v>
      </c>
      <c r="G399" s="21">
        <f>E399*Parameters!$C$12*Parameters!$F$23*Parameters!$C$13*Parameters!$C$10*Parameters!$C$11*Parameters!$C$14/(Parameters!$C$8*Parameters!$C$15)</f>
        <v>2.6372810643925181E-7</v>
      </c>
      <c r="H399" s="21">
        <f>F399/Parameters!$B$23</f>
        <v>5.2788571428571431E-4</v>
      </c>
      <c r="I399" s="21">
        <f>G399/Parameters!$B$23</f>
        <v>5.274562128785036E-4</v>
      </c>
      <c r="J399" s="21">
        <f t="shared" si="12"/>
        <v>1.0553419271642178E-3</v>
      </c>
      <c r="K399" s="21">
        <f>F399*Parameters!$C$15/Parameters!$C$16</f>
        <v>2.6394285714285714E-7</v>
      </c>
      <c r="L399" s="21">
        <f>G399*Parameters!$C$15/Parameters!$C$16</f>
        <v>2.6372810643925181E-7</v>
      </c>
      <c r="M399" s="21">
        <f>K399*Parameters!$C$23</f>
        <v>8.9740571428571435E-8</v>
      </c>
      <c r="N399" s="21">
        <f>L399*Parameters!$C$23</f>
        <v>8.9667556189345623E-8</v>
      </c>
      <c r="O399" s="21">
        <f t="shared" si="13"/>
        <v>1.7940812761791707E-7</v>
      </c>
    </row>
    <row r="400" spans="1:15" ht="15" customHeight="1" x14ac:dyDescent="0.25">
      <c r="A400" s="10" t="s">
        <v>82</v>
      </c>
      <c r="B400" s="10" t="s">
        <v>169</v>
      </c>
      <c r="C400" s="10" t="s">
        <v>23</v>
      </c>
      <c r="D400" s="8">
        <f>Zone_Site_Means!$G$18</f>
        <v>10.465333333333334</v>
      </c>
      <c r="E400" s="21">
        <f>D400*Parameters!$B$4*Parameters!$B$5</f>
        <v>1.0465333333333333E-5</v>
      </c>
      <c r="F400" s="21">
        <f>E400*Parameters!$C$9*Parameters!$C$10*Parameters!$C$11/(Parameters!$C$8*Parameters!$C$15)</f>
        <v>2.9900952380952378E-7</v>
      </c>
      <c r="G400" s="21">
        <f>E400*Parameters!$C$12*Parameters!$F$24*Parameters!$C$13*Parameters!$C$10*Parameters!$C$11*Parameters!$C$14/(Parameters!$C$8*Parameters!$C$15)</f>
        <v>3.7525935204622981E-7</v>
      </c>
      <c r="H400" s="21">
        <f>F400/Parameters!$B$24</f>
        <v>5.9801904761904758E-4</v>
      </c>
      <c r="I400" s="21">
        <f>G400/Parameters!$B$24</f>
        <v>7.5051870409245961E-4</v>
      </c>
      <c r="J400" s="21">
        <f t="shared" si="12"/>
        <v>1.3485377517115072E-3</v>
      </c>
      <c r="K400" s="21">
        <f>F400*Parameters!$C$15/Parameters!$C$16</f>
        <v>2.9900952380952378E-7</v>
      </c>
      <c r="L400" s="21">
        <f>G400*Parameters!$C$15/Parameters!$C$16</f>
        <v>3.7525935204622986E-7</v>
      </c>
      <c r="M400" s="21">
        <f>K400*Parameters!$C$24</f>
        <v>1.0166323809523809E-7</v>
      </c>
      <c r="N400" s="21">
        <f>L400*Parameters!$C$24</f>
        <v>1.2758817969571817E-7</v>
      </c>
      <c r="O400" s="21">
        <f t="shared" si="13"/>
        <v>2.2925141779095627E-7</v>
      </c>
    </row>
    <row r="401" spans="1:15" ht="15" customHeight="1" x14ac:dyDescent="0.25">
      <c r="A401" s="10" t="s">
        <v>82</v>
      </c>
      <c r="B401" s="10" t="s">
        <v>169</v>
      </c>
      <c r="C401" s="10" t="s">
        <v>24</v>
      </c>
      <c r="D401" s="8">
        <f>Zone_Site_Means!$H$18</f>
        <v>9.1506666666666678</v>
      </c>
      <c r="E401" s="21">
        <f>D401*Parameters!$B$4*Parameters!$B$5</f>
        <v>9.1506666666666686E-6</v>
      </c>
      <c r="F401" s="21">
        <f>E401*Parameters!$C$9*Parameters!$C$10*Parameters!$C$11/(Parameters!$C$8*Parameters!$C$15)</f>
        <v>2.6144761904761907E-7</v>
      </c>
      <c r="G401" s="21">
        <f>E401*Parameters!$C$12*Parameters!$F$25*Parameters!$C$13*Parameters!$C$10*Parameters!$C$11*Parameters!$C$14/(Parameters!$C$8*Parameters!$C$15)</f>
        <v>3.2665340843167986E-7</v>
      </c>
      <c r="H401" s="21">
        <f>F401/Parameters!$B$25</f>
        <v>5.2289523809523819E-4</v>
      </c>
      <c r="I401" s="21">
        <f>G401/Parameters!$B$25</f>
        <v>6.5330681686335971E-4</v>
      </c>
      <c r="J401" s="21">
        <f t="shared" si="12"/>
        <v>1.1762020549585979E-3</v>
      </c>
      <c r="K401" s="21">
        <f>F401*Parameters!$C$15/Parameters!$C$16</f>
        <v>2.6144761904761907E-7</v>
      </c>
      <c r="L401" s="21">
        <f>G401*Parameters!$C$15/Parameters!$C$16</f>
        <v>3.2665340843167986E-7</v>
      </c>
      <c r="M401" s="21">
        <f>K401*Parameters!$C$25</f>
        <v>8.8892190476190489E-8</v>
      </c>
      <c r="N401" s="21">
        <f>L401*Parameters!$C$25</f>
        <v>1.1106215886677117E-7</v>
      </c>
      <c r="O401" s="21">
        <f t="shared" si="13"/>
        <v>1.9995434934296167E-7</v>
      </c>
    </row>
    <row r="402" spans="1:15" ht="15" customHeight="1" x14ac:dyDescent="0.25">
      <c r="A402" s="10" t="s">
        <v>82</v>
      </c>
      <c r="B402" s="10" t="s">
        <v>169</v>
      </c>
      <c r="C402" s="10" t="s">
        <v>25</v>
      </c>
      <c r="D402" s="8">
        <f>Zone_Site_Means!$I$18</f>
        <v>21.214666666666666</v>
      </c>
      <c r="E402" s="21">
        <f>D402*Parameters!$B$4*Parameters!$B$5</f>
        <v>2.1214666666666665E-5</v>
      </c>
      <c r="F402" s="21">
        <f>E402*Parameters!$C$9*Parameters!$C$10*Parameters!$C$11/(Parameters!$C$8*Parameters!$C$15)</f>
        <v>6.0613333333333331E-7</v>
      </c>
      <c r="G402" s="21">
        <f>E402*Parameters!$C$12*Parameters!$F$26*Parameters!$C$13*Parameters!$C$10*Parameters!$C$11*Parameters!$C$14/(Parameters!$C$8*Parameters!$C$15)</f>
        <v>1.6438821169718487E-6</v>
      </c>
      <c r="H402" s="21">
        <f>F402/Parameters!$B$26</f>
        <v>1.2122666666666666E-3</v>
      </c>
      <c r="I402" s="21">
        <f>G402/Parameters!$B$26</f>
        <v>3.2877642339436972E-3</v>
      </c>
      <c r="J402" s="21">
        <f t="shared" si="12"/>
        <v>4.5000309006103635E-3</v>
      </c>
      <c r="K402" s="21">
        <f>F402*Parameters!$C$15/Parameters!$C$16</f>
        <v>6.0613333333333331E-7</v>
      </c>
      <c r="L402" s="21">
        <f>G402*Parameters!$C$15/Parameters!$C$16</f>
        <v>1.6438821169718487E-6</v>
      </c>
      <c r="M402" s="21">
        <f>K402*Parameters!$C$26</f>
        <v>2.0608533333333335E-7</v>
      </c>
      <c r="N402" s="21">
        <f>L402*Parameters!$C$26</f>
        <v>5.5891991977042856E-7</v>
      </c>
      <c r="O402" s="21">
        <f t="shared" si="13"/>
        <v>7.6500525310376194E-7</v>
      </c>
    </row>
    <row r="403" spans="1:15" ht="15" customHeight="1" x14ac:dyDescent="0.25">
      <c r="A403" s="10" t="s">
        <v>82</v>
      </c>
      <c r="B403" s="10" t="s">
        <v>169</v>
      </c>
      <c r="C403" s="10" t="s">
        <v>26</v>
      </c>
      <c r="D403" s="8">
        <f>Zone_Site_Means!$J$18</f>
        <v>8.2456666666666667</v>
      </c>
      <c r="E403" s="21">
        <f>D403*Parameters!$B$4*Parameters!$B$5</f>
        <v>8.2456666666666663E-6</v>
      </c>
      <c r="F403" s="21">
        <f>E403*Parameters!$C$9*Parameters!$C$10*Parameters!$C$11/(Parameters!$C$8*Parameters!$C$15)</f>
        <v>2.355904761904762E-7</v>
      </c>
      <c r="G403" s="21">
        <f>E403*Parameters!$C$12*Parameters!$F$27*Parameters!$C$13*Parameters!$C$10*Parameters!$C$11*Parameters!$C$14/(Parameters!$C$8*Parameters!$C$15)</f>
        <v>1.4763190812630175E-8</v>
      </c>
      <c r="H403" s="21">
        <f>F403/Parameters!$B$27</f>
        <v>7.8530158730158743E-4</v>
      </c>
      <c r="I403" s="21">
        <f>G403/Parameters!$B$27</f>
        <v>4.9210636042100591E-5</v>
      </c>
      <c r="J403" s="21">
        <f t="shared" si="12"/>
        <v>8.3451222334368798E-4</v>
      </c>
      <c r="K403" s="21">
        <f>F403*Parameters!$C$15/Parameters!$C$16</f>
        <v>2.355904761904762E-7</v>
      </c>
      <c r="L403" s="21">
        <f>G403*Parameters!$C$15/Parameters!$C$16</f>
        <v>1.4763190812630177E-8</v>
      </c>
      <c r="M403" s="21">
        <f>K403*Parameters!$C$27</f>
        <v>1.48422E-6</v>
      </c>
      <c r="N403" s="21">
        <f>L403*Parameters!$C$27</f>
        <v>9.3008102119570116E-8</v>
      </c>
      <c r="O403" s="21">
        <f t="shared" si="13"/>
        <v>1.5772281021195701E-6</v>
      </c>
    </row>
    <row r="404" spans="1:15" ht="15" customHeight="1" x14ac:dyDescent="0.25">
      <c r="A404" s="10" t="s">
        <v>82</v>
      </c>
      <c r="B404" s="10" t="s">
        <v>169</v>
      </c>
      <c r="C404" s="10" t="s">
        <v>27</v>
      </c>
      <c r="D404" s="8">
        <f>Zone_Site_Means!$K$18</f>
        <v>13.670333333333334</v>
      </c>
      <c r="E404" s="21">
        <f>D404*Parameters!$B$4*Parameters!$B$5</f>
        <v>1.3670333333333335E-5</v>
      </c>
      <c r="F404" s="21">
        <f>E404*Parameters!$C$9*Parameters!$C$10*Parameters!$C$11/(Parameters!$C$8*Parameters!$C$15)</f>
        <v>3.9058095238095244E-7</v>
      </c>
      <c r="G404" s="21">
        <f>E404*Parameters!$C$12*Parameters!$F$28*Parameters!$C$13*Parameters!$C$10*Parameters!$C$11*Parameters!$C$14/(Parameters!$C$8*Parameters!$C$15)</f>
        <v>2.3742889049478927E-8</v>
      </c>
      <c r="H404" s="21">
        <f>F404/Parameters!$B$28</f>
        <v>1.3019365079365082E-3</v>
      </c>
      <c r="I404" s="21">
        <f>G404/Parameters!$B$28</f>
        <v>7.9142963498263103E-5</v>
      </c>
      <c r="J404" s="21">
        <f t="shared" si="12"/>
        <v>1.3810794714347713E-3</v>
      </c>
      <c r="K404" s="21">
        <f>F404*Parameters!$C$15/Parameters!$C$16</f>
        <v>3.9058095238095244E-7</v>
      </c>
      <c r="L404" s="21">
        <f>G404*Parameters!$C$15/Parameters!$C$16</f>
        <v>2.3742889049478927E-8</v>
      </c>
      <c r="M404" s="21">
        <f>K404*Parameters!$C$28</f>
        <v>7.0304571428571438E-7</v>
      </c>
      <c r="N404" s="21">
        <f>L404*Parameters!$C$28</f>
        <v>4.2737200289062068E-8</v>
      </c>
      <c r="O404" s="21">
        <f t="shared" si="13"/>
        <v>7.4578291457477642E-7</v>
      </c>
    </row>
    <row r="405" spans="1:15" ht="15" customHeight="1" x14ac:dyDescent="0.25">
      <c r="A405" s="10" t="s">
        <v>82</v>
      </c>
      <c r="B405" s="10" t="s">
        <v>169</v>
      </c>
      <c r="C405" s="10" t="s">
        <v>28</v>
      </c>
      <c r="D405" s="8">
        <f>Zone_Site_Means!$L$18</f>
        <v>5.2700000000000005</v>
      </c>
      <c r="E405" s="21">
        <f>D405*Parameters!$B$4*Parameters!$B$5</f>
        <v>5.2700000000000004E-6</v>
      </c>
      <c r="F405" s="21">
        <f>E405*Parameters!$C$9*Parameters!$C$10*Parameters!$C$11/(Parameters!$C$8*Parameters!$C$15)</f>
        <v>1.5057142857142857E-7</v>
      </c>
      <c r="G405" s="21">
        <f>E405*Parameters!$C$12*Parameters!$F$29*Parameters!$C$13*Parameters!$C$10*Parameters!$C$11*Parameters!$C$14/(Parameters!$C$8*Parameters!$C$15)</f>
        <v>8.3553582140524894E-9</v>
      </c>
      <c r="H405" s="21">
        <f>F405/Parameters!$B$29</f>
        <v>5.0190476190476189E-4</v>
      </c>
      <c r="I405" s="21">
        <f>G405/Parameters!$B$29</f>
        <v>2.7851194046841632E-5</v>
      </c>
      <c r="J405" s="21">
        <f t="shared" si="12"/>
        <v>5.2975595595160349E-4</v>
      </c>
      <c r="K405" s="21">
        <f>F405*Parameters!$C$15/Parameters!$C$16</f>
        <v>1.5057142857142857E-7</v>
      </c>
      <c r="L405" s="21">
        <f>G405*Parameters!$C$15/Parameters!$C$16</f>
        <v>8.3553582140524894E-9</v>
      </c>
      <c r="M405" s="21">
        <f>K405*Parameters!$C$29</f>
        <v>1.9574285714285715E-7</v>
      </c>
      <c r="N405" s="21">
        <f>L405*Parameters!$C$29</f>
        <v>1.0861965678268237E-8</v>
      </c>
      <c r="O405" s="21">
        <f t="shared" si="13"/>
        <v>2.0660482282112539E-7</v>
      </c>
    </row>
    <row r="406" spans="1:15" ht="15" customHeight="1" x14ac:dyDescent="0.25">
      <c r="A406" s="10" t="s">
        <v>82</v>
      </c>
      <c r="B406" s="10" t="s">
        <v>169</v>
      </c>
      <c r="C406" s="10" t="s">
        <v>29</v>
      </c>
      <c r="D406" s="8">
        <f>Zone_Site_Means!$M$18</f>
        <v>13.517000000000001</v>
      </c>
      <c r="E406" s="21">
        <f>D406*Parameters!$B$4*Parameters!$B$5</f>
        <v>1.3517000000000001E-5</v>
      </c>
      <c r="F406" s="21">
        <f>E406*Parameters!$C$9*Parameters!$C$10*Parameters!$C$11/(Parameters!$C$8*Parameters!$C$15)</f>
        <v>3.862E-7</v>
      </c>
      <c r="G406" s="21">
        <f>E406*Parameters!$C$12*Parameters!$F$30*Parameters!$C$13*Parameters!$C$10*Parameters!$C$11*Parameters!$C$14/(Parameters!$C$8*Parameters!$C$15)</f>
        <v>4.0572780594704067E-8</v>
      </c>
      <c r="H406" s="21">
        <f>F406/Parameters!$B$30</f>
        <v>1.2873333333333335E-3</v>
      </c>
      <c r="I406" s="21">
        <f>G406/Parameters!$B$30</f>
        <v>1.3524260198234691E-4</v>
      </c>
      <c r="J406" s="21">
        <f t="shared" si="12"/>
        <v>1.4225759353156803E-3</v>
      </c>
      <c r="K406" s="21">
        <f>F406*Parameters!$C$15/Parameters!$C$16</f>
        <v>3.862E-7</v>
      </c>
      <c r="L406" s="21">
        <f>G406*Parameters!$C$15/Parameters!$C$16</f>
        <v>4.0572780594704067E-8</v>
      </c>
      <c r="M406" s="21">
        <f>K406*Parameters!$C$30</f>
        <v>0</v>
      </c>
      <c r="N406" s="21">
        <f>L406*Parameters!$C$30</f>
        <v>0</v>
      </c>
      <c r="O406" s="21">
        <f t="shared" si="13"/>
        <v>0</v>
      </c>
    </row>
    <row r="407" spans="1:15" ht="15" customHeight="1" x14ac:dyDescent="0.25">
      <c r="A407" s="10" t="s">
        <v>82</v>
      </c>
      <c r="B407" s="10" t="s">
        <v>169</v>
      </c>
      <c r="C407" s="10" t="s">
        <v>30</v>
      </c>
      <c r="D407" s="8">
        <f>Zone_Site_Means!$N$18</f>
        <v>6.5236666666666663</v>
      </c>
      <c r="E407" s="21">
        <f>D407*Parameters!$B$4*Parameters!$B$5</f>
        <v>6.5236666666666665E-6</v>
      </c>
      <c r="F407" s="21">
        <f>E407*Parameters!$C$9*Parameters!$C$10*Parameters!$C$11/(Parameters!$C$8*Parameters!$C$15)</f>
        <v>1.8639047619047619E-7</v>
      </c>
      <c r="G407" s="21">
        <f>E407*Parameters!$C$12*Parameters!$F$31*Parameters!$C$13*Parameters!$C$10*Parameters!$C$11*Parameters!$C$14/(Parameters!$C$8*Parameters!$C$15)</f>
        <v>2.720183618475992E-7</v>
      </c>
      <c r="H407" s="21">
        <f>F407/Parameters!$B$31</f>
        <v>6.2130158730158728E-3</v>
      </c>
      <c r="I407" s="21">
        <f>G407/Parameters!$B$31</f>
        <v>9.0672787282533064E-3</v>
      </c>
      <c r="J407" s="21">
        <f t="shared" si="12"/>
        <v>1.528029460126918E-2</v>
      </c>
      <c r="K407" s="21">
        <f>F407*Parameters!$C$15/Parameters!$C$16</f>
        <v>1.8639047619047619E-7</v>
      </c>
      <c r="L407" s="21">
        <f>G407*Parameters!$C$15/Parameters!$C$16</f>
        <v>2.720183618475992E-7</v>
      </c>
      <c r="M407" s="21">
        <f>K407*Parameters!$C$31</f>
        <v>3.1686380952380953E-6</v>
      </c>
      <c r="N407" s="21">
        <f>L407*Parameters!$C$31</f>
        <v>4.624312151409186E-6</v>
      </c>
      <c r="O407" s="21">
        <f t="shared" si="13"/>
        <v>7.7929502466472813E-6</v>
      </c>
    </row>
    <row r="408" spans="1:15" ht="15" customHeight="1" x14ac:dyDescent="0.25">
      <c r="A408" s="10" t="s">
        <v>82</v>
      </c>
      <c r="B408" s="10" t="s">
        <v>169</v>
      </c>
      <c r="C408" s="10" t="s">
        <v>31</v>
      </c>
      <c r="D408" s="8">
        <f>Zone_Site_Means!$O$18</f>
        <v>8.6383333333333336</v>
      </c>
      <c r="E408" s="21">
        <f>D408*Parameters!$B$4*Parameters!$B$5</f>
        <v>8.638333333333335E-6</v>
      </c>
      <c r="F408" s="21">
        <f>E408*Parameters!$C$9*Parameters!$C$10*Parameters!$C$11/(Parameters!$C$8*Parameters!$C$15)</f>
        <v>2.4680952380952388E-7</v>
      </c>
      <c r="G408" s="21">
        <f>E408*Parameters!$C$12*Parameters!$F$32*Parameters!$C$13*Parameters!$C$10*Parameters!$C$11*Parameters!$C$14/(Parameters!$C$8*Parameters!$C$15)</f>
        <v>5.5072706129666416E-8</v>
      </c>
      <c r="H408" s="21">
        <f>F408/Parameters!$B$32</f>
        <v>4.9361904761904777E-3</v>
      </c>
      <c r="I408" s="21">
        <f>G408/Parameters!$B$32</f>
        <v>1.1014541225933283E-3</v>
      </c>
      <c r="J408" s="21">
        <f t="shared" si="12"/>
        <v>6.0376445987838055E-3</v>
      </c>
      <c r="K408" s="21">
        <f>F408*Parameters!$C$15/Parameters!$C$16</f>
        <v>2.4680952380952388E-7</v>
      </c>
      <c r="L408" s="21">
        <f>G408*Parameters!$C$15/Parameters!$C$16</f>
        <v>5.5072706129666409E-8</v>
      </c>
      <c r="M408" s="21">
        <f>K408*Parameters!$C$32</f>
        <v>3.9489523809523821E-6</v>
      </c>
      <c r="N408" s="21">
        <f>L408*Parameters!$C$32</f>
        <v>8.8116329807466255E-7</v>
      </c>
      <c r="O408" s="21">
        <f t="shared" si="13"/>
        <v>4.8301156790270444E-6</v>
      </c>
    </row>
    <row r="409" spans="1:15" ht="15" customHeight="1" x14ac:dyDescent="0.25">
      <c r="A409" s="10" t="s">
        <v>82</v>
      </c>
      <c r="B409" s="10" t="s">
        <v>169</v>
      </c>
      <c r="C409" s="10" t="s">
        <v>32</v>
      </c>
      <c r="D409" s="8">
        <f>Zone_Site_Means!$P$18</f>
        <v>5.9156666666666666</v>
      </c>
      <c r="E409" s="21">
        <f>D409*Parameters!$B$4*Parameters!$B$5</f>
        <v>5.9156666666666674E-6</v>
      </c>
      <c r="F409" s="21">
        <f>E409*Parameters!$C$9*Parameters!$C$10*Parameters!$C$11/(Parameters!$C$8*Parameters!$C$15)</f>
        <v>1.6901904761904765E-7</v>
      </c>
      <c r="G409" s="21">
        <f>E409*Parameters!$C$12*Parameters!$F$33*Parameters!$C$13*Parameters!$C$10*Parameters!$C$11*Parameters!$C$14/(Parameters!$C$8*Parameters!$C$15)</f>
        <v>1.2050752119629988E-7</v>
      </c>
      <c r="H409" s="21">
        <f>F409/Parameters!$B$33</f>
        <v>3.3803809523809527E-4</v>
      </c>
      <c r="I409" s="21">
        <f>G409/Parameters!$B$33</f>
        <v>2.4101504239259976E-4</v>
      </c>
      <c r="J409" s="21">
        <f t="shared" si="12"/>
        <v>5.7905313763069498E-4</v>
      </c>
      <c r="K409" s="21">
        <f>F409*Parameters!$C$15/Parameters!$C$16</f>
        <v>1.6901904761904765E-7</v>
      </c>
      <c r="L409" s="21">
        <f>G409*Parameters!$C$15/Parameters!$C$16</f>
        <v>1.2050752119629988E-7</v>
      </c>
      <c r="M409" s="21">
        <f>K409*Parameters!$C$33</f>
        <v>7.605857142857144E-7</v>
      </c>
      <c r="N409" s="21">
        <f>L409*Parameters!$C$33</f>
        <v>5.4228384538334946E-7</v>
      </c>
      <c r="O409" s="21">
        <f t="shared" si="13"/>
        <v>1.3028695596690638E-6</v>
      </c>
    </row>
    <row r="410" spans="1:15" ht="15" customHeight="1" x14ac:dyDescent="0.25">
      <c r="A410" s="10" t="s">
        <v>82</v>
      </c>
      <c r="B410" s="10" t="s">
        <v>169</v>
      </c>
      <c r="C410" s="10" t="s">
        <v>33</v>
      </c>
      <c r="D410" s="8">
        <f>Zone_Site_Means!$Q$18</f>
        <v>8.7763333333333335</v>
      </c>
      <c r="E410" s="21">
        <f>D410*Parameters!$B$4*Parameters!$B$5</f>
        <v>8.7763333333333344E-6</v>
      </c>
      <c r="F410" s="21">
        <f>E410*Parameters!$C$9*Parameters!$C$10*Parameters!$C$11/(Parameters!$C$8*Parameters!$C$15)</f>
        <v>2.5075238095238103E-7</v>
      </c>
      <c r="G410" s="21">
        <f>E410*Parameters!$C$12*Parameters!$F$34*Parameters!$C$13*Parameters!$C$10*Parameters!$C$11*Parameters!$C$14/(Parameters!$C$8*Parameters!$C$15)</f>
        <v>2.6516949921970801E-8</v>
      </c>
      <c r="H410" s="21">
        <f>F410/Parameters!$B$34</f>
        <v>1.9288644688644694E-2</v>
      </c>
      <c r="I410" s="21">
        <f>G410/Parameters!$B$34</f>
        <v>2.0397653786131385E-3</v>
      </c>
      <c r="J410" s="21">
        <f t="shared" si="12"/>
        <v>2.1328410067257834E-2</v>
      </c>
      <c r="K410" s="21">
        <f>F410*Parameters!$C$15/Parameters!$C$16</f>
        <v>2.5075238095238103E-7</v>
      </c>
      <c r="L410" s="21">
        <f>G410*Parameters!$C$15/Parameters!$C$16</f>
        <v>2.6516949921970801E-8</v>
      </c>
      <c r="M410" s="21">
        <f>K410*Parameters!$C$34</f>
        <v>2.2818466666666674E-6</v>
      </c>
      <c r="N410" s="21">
        <f>L410*Parameters!$C$34</f>
        <v>2.4130424428993426E-7</v>
      </c>
      <c r="O410" s="21">
        <f t="shared" si="13"/>
        <v>2.5231509109566016E-6</v>
      </c>
    </row>
    <row r="411" spans="1:15" ht="15" customHeight="1" x14ac:dyDescent="0.25">
      <c r="A411" s="10" t="s">
        <v>82</v>
      </c>
      <c r="B411" s="10" t="s">
        <v>170</v>
      </c>
      <c r="C411" s="10" t="s">
        <v>20</v>
      </c>
      <c r="D411" s="8">
        <f>Zone_Site_Means!$D$18</f>
        <v>9.0266666666666655</v>
      </c>
      <c r="E411" s="21">
        <f>D411*Parameters!$B$4*Parameters!$B$5</f>
        <v>9.0266666666666661E-6</v>
      </c>
      <c r="F411" s="21">
        <f>E411*Parameters!$D$9*Parameters!$D$10*Parameters!$D$11/(Parameters!$D$8*Parameters!$D$15)</f>
        <v>6.017777777777777E-7</v>
      </c>
      <c r="G411" s="21">
        <f>E411*Parameters!$D$12*Parameters!$F$21*Parameters!$D$13*Parameters!$D$10*Parameters!$D$11*Parameters!$D$14/(Parameters!$D$8*Parameters!$D$15)</f>
        <v>1.9734952334092056E-6</v>
      </c>
      <c r="H411" s="21">
        <f>F411/Parameters!$B$21</f>
        <v>1.2035555555555554E-3</v>
      </c>
      <c r="I411" s="21">
        <f>G411/Parameters!$B$21</f>
        <v>3.9469904668184112E-3</v>
      </c>
      <c r="J411" s="21">
        <f t="shared" si="12"/>
        <v>5.1505460223739662E-3</v>
      </c>
      <c r="K411" s="21">
        <f>F411*Parameters!$D$15/Parameters!$D$16</f>
        <v>5.1580952380952375E-8</v>
      </c>
      <c r="L411" s="21">
        <f>G411*Parameters!$D$15/Parameters!$D$16</f>
        <v>1.6915673429221763E-7</v>
      </c>
      <c r="M411" s="21">
        <f>K411*Parameters!$C$21</f>
        <v>1.7537523809523809E-8</v>
      </c>
      <c r="N411" s="21">
        <f>L411*Parameters!$C$21</f>
        <v>5.7513289659354001E-8</v>
      </c>
      <c r="O411" s="21">
        <f t="shared" si="13"/>
        <v>7.5050813468877812E-8</v>
      </c>
    </row>
    <row r="412" spans="1:15" ht="15" customHeight="1" x14ac:dyDescent="0.25">
      <c r="A412" s="10" t="s">
        <v>82</v>
      </c>
      <c r="B412" s="10" t="s">
        <v>170</v>
      </c>
      <c r="C412" s="10" t="s">
        <v>21</v>
      </c>
      <c r="D412" s="8">
        <f>Zone_Site_Means!$E$18</f>
        <v>12.452399999999999</v>
      </c>
      <c r="E412" s="21">
        <f>D412*Parameters!$B$4*Parameters!$B$5</f>
        <v>1.24524E-5</v>
      </c>
      <c r="F412" s="21">
        <f>E412*Parameters!$D$9*Parameters!$D$10*Parameters!$D$11/(Parameters!$D$8*Parameters!$D$15)</f>
        <v>8.3015999999999996E-7</v>
      </c>
      <c r="G412" s="21">
        <f>E412*Parameters!$D$12*Parameters!$F$22*Parameters!$D$13*Parameters!$D$10*Parameters!$D$11*Parameters!$D$14/(Parameters!$D$8*Parameters!$D$15)</f>
        <v>3.2670948215003485E-6</v>
      </c>
      <c r="H412" s="21">
        <f>F412/Parameters!$B$22</f>
        <v>1.6603199999999999E-3</v>
      </c>
      <c r="I412" s="21">
        <f>G412/Parameters!$B$22</f>
        <v>6.5341896430006971E-3</v>
      </c>
      <c r="J412" s="21">
        <f t="shared" si="12"/>
        <v>8.194509643000697E-3</v>
      </c>
      <c r="K412" s="21">
        <f>F412*Parameters!$D$15/Parameters!$D$16</f>
        <v>7.1156571428571433E-8</v>
      </c>
      <c r="L412" s="21">
        <f>G412*Parameters!$D$15/Parameters!$D$16</f>
        <v>2.8003669898574417E-7</v>
      </c>
      <c r="M412" s="21">
        <f>K412*Parameters!$C$22</f>
        <v>2.419323428571429E-8</v>
      </c>
      <c r="N412" s="21">
        <f>L412*Parameters!$C$22</f>
        <v>9.5212477655153028E-8</v>
      </c>
      <c r="O412" s="21">
        <f t="shared" si="13"/>
        <v>1.1940571194086732E-7</v>
      </c>
    </row>
    <row r="413" spans="1:15" ht="15" customHeight="1" x14ac:dyDescent="0.25">
      <c r="A413" s="10" t="s">
        <v>82</v>
      </c>
      <c r="B413" s="10" t="s">
        <v>170</v>
      </c>
      <c r="C413" s="10" t="s">
        <v>22</v>
      </c>
      <c r="D413" s="8">
        <f>Zone_Site_Means!$F$18</f>
        <v>9.2379999999999995</v>
      </c>
      <c r="E413" s="21">
        <f>D413*Parameters!$B$4*Parameters!$B$5</f>
        <v>9.2380000000000003E-6</v>
      </c>
      <c r="F413" s="21">
        <f>E413*Parameters!$D$9*Parameters!$D$10*Parameters!$D$11/(Parameters!$D$8*Parameters!$D$15)</f>
        <v>6.158666666666667E-7</v>
      </c>
      <c r="G413" s="21">
        <f>E413*Parameters!$D$12*Parameters!$F$23*Parameters!$D$13*Parameters!$D$10*Parameters!$D$11*Parameters!$D$14/(Parameters!$D$8*Parameters!$D$15)</f>
        <v>7.7804843662154785E-7</v>
      </c>
      <c r="H413" s="21">
        <f>F413/Parameters!$B$23</f>
        <v>1.2317333333333334E-3</v>
      </c>
      <c r="I413" s="21">
        <f>G413/Parameters!$B$23</f>
        <v>1.5560968732430958E-3</v>
      </c>
      <c r="J413" s="21">
        <f t="shared" si="12"/>
        <v>2.7878302065764294E-3</v>
      </c>
      <c r="K413" s="21">
        <f>F413*Parameters!$D$15/Parameters!$D$16</f>
        <v>5.278857142857143E-8</v>
      </c>
      <c r="L413" s="21">
        <f>G413*Parameters!$D$15/Parameters!$D$16</f>
        <v>6.6689865996132673E-8</v>
      </c>
      <c r="M413" s="21">
        <f>K413*Parameters!$C$23</f>
        <v>1.7948114285714288E-8</v>
      </c>
      <c r="N413" s="21">
        <f>L413*Parameters!$C$23</f>
        <v>2.267455443868511E-8</v>
      </c>
      <c r="O413" s="21">
        <f t="shared" si="13"/>
        <v>4.0622668724399397E-8</v>
      </c>
    </row>
    <row r="414" spans="1:15" ht="15" customHeight="1" x14ac:dyDescent="0.25">
      <c r="A414" s="10" t="s">
        <v>82</v>
      </c>
      <c r="B414" s="10" t="s">
        <v>170</v>
      </c>
      <c r="C414" s="10" t="s">
        <v>23</v>
      </c>
      <c r="D414" s="8">
        <f>Zone_Site_Means!$G$18</f>
        <v>10.465333333333334</v>
      </c>
      <c r="E414" s="21">
        <f>D414*Parameters!$B$4*Parameters!$B$5</f>
        <v>1.0465333333333333E-5</v>
      </c>
      <c r="F414" s="21">
        <f>E414*Parameters!$D$9*Parameters!$D$10*Parameters!$D$11/(Parameters!$D$8*Parameters!$D$15)</f>
        <v>6.976888888888888E-7</v>
      </c>
      <c r="G414" s="21">
        <f>E414*Parameters!$D$12*Parameters!$F$24*Parameters!$D$13*Parameters!$D$10*Parameters!$D$11*Parameters!$D$14/(Parameters!$D$8*Parameters!$D$15)</f>
        <v>1.1070869773011378E-6</v>
      </c>
      <c r="H414" s="21">
        <f>F414/Parameters!$B$24</f>
        <v>1.3953777777777777E-3</v>
      </c>
      <c r="I414" s="21">
        <f>G414/Parameters!$B$24</f>
        <v>2.2141739546022755E-3</v>
      </c>
      <c r="J414" s="21">
        <f t="shared" si="12"/>
        <v>3.6095517323800532E-3</v>
      </c>
      <c r="K414" s="21">
        <f>F414*Parameters!$D$15/Parameters!$D$16</f>
        <v>5.9801904761904751E-8</v>
      </c>
      <c r="L414" s="21">
        <f>G414*Parameters!$D$15/Parameters!$D$16</f>
        <v>9.4893169482954661E-8</v>
      </c>
      <c r="M414" s="21">
        <f>K414*Parameters!$C$24</f>
        <v>2.0332647619047618E-8</v>
      </c>
      <c r="N414" s="21">
        <f>L414*Parameters!$C$24</f>
        <v>3.2263677624204589E-8</v>
      </c>
      <c r="O414" s="21">
        <f t="shared" si="13"/>
        <v>5.259632524325221E-8</v>
      </c>
    </row>
    <row r="415" spans="1:15" ht="15" customHeight="1" x14ac:dyDescent="0.25">
      <c r="A415" s="10" t="s">
        <v>82</v>
      </c>
      <c r="B415" s="10" t="s">
        <v>170</v>
      </c>
      <c r="C415" s="10" t="s">
        <v>24</v>
      </c>
      <c r="D415" s="8">
        <f>Zone_Site_Means!$H$18</f>
        <v>9.1506666666666678</v>
      </c>
      <c r="E415" s="21">
        <f>D415*Parameters!$B$4*Parameters!$B$5</f>
        <v>9.1506666666666686E-6</v>
      </c>
      <c r="F415" s="21">
        <f>E415*Parameters!$D$9*Parameters!$D$10*Parameters!$D$11/(Parameters!$D$8*Parameters!$D$15)</f>
        <v>6.1004444444444449E-7</v>
      </c>
      <c r="G415" s="21">
        <f>E415*Parameters!$D$12*Parameters!$F$25*Parameters!$D$13*Parameters!$D$10*Parameters!$D$11*Parameters!$D$14/(Parameters!$D$8*Parameters!$D$15)</f>
        <v>9.6369013215476454E-7</v>
      </c>
      <c r="H415" s="21">
        <f>F415/Parameters!$B$25</f>
        <v>1.220088888888889E-3</v>
      </c>
      <c r="I415" s="21">
        <f>G415/Parameters!$B$25</f>
        <v>1.9273802643095289E-3</v>
      </c>
      <c r="J415" s="21">
        <f t="shared" si="12"/>
        <v>3.1474691531984179E-3</v>
      </c>
      <c r="K415" s="21">
        <f>F415*Parameters!$D$15/Parameters!$D$16</f>
        <v>5.2289523809523811E-8</v>
      </c>
      <c r="L415" s="21">
        <f>G415*Parameters!$D$15/Parameters!$D$16</f>
        <v>8.2602011327551242E-8</v>
      </c>
      <c r="M415" s="21">
        <f>K415*Parameters!$C$25</f>
        <v>1.7778438095238098E-8</v>
      </c>
      <c r="N415" s="21">
        <f>L415*Parameters!$C$25</f>
        <v>2.8084683851367425E-8</v>
      </c>
      <c r="O415" s="21">
        <f t="shared" si="13"/>
        <v>4.5863121946605522E-8</v>
      </c>
    </row>
    <row r="416" spans="1:15" ht="15" customHeight="1" x14ac:dyDescent="0.25">
      <c r="A416" s="10" t="s">
        <v>82</v>
      </c>
      <c r="B416" s="10" t="s">
        <v>170</v>
      </c>
      <c r="C416" s="10" t="s">
        <v>25</v>
      </c>
      <c r="D416" s="8">
        <f>Zone_Site_Means!$I$18</f>
        <v>21.214666666666666</v>
      </c>
      <c r="E416" s="21">
        <f>D416*Parameters!$B$4*Parameters!$B$5</f>
        <v>2.1214666666666665E-5</v>
      </c>
      <c r="F416" s="21">
        <f>E416*Parameters!$D$9*Parameters!$D$10*Parameters!$D$11/(Parameters!$D$8*Parameters!$D$15)</f>
        <v>1.4143111111111109E-6</v>
      </c>
      <c r="G416" s="21">
        <f>E416*Parameters!$D$12*Parameters!$F$26*Parameters!$D$13*Parameters!$D$10*Parameters!$D$11*Parameters!$D$14/(Parameters!$D$8*Parameters!$D$15)</f>
        <v>4.8497671650127351E-6</v>
      </c>
      <c r="H416" s="21">
        <f>F416/Parameters!$B$26</f>
        <v>2.8286222222222218E-3</v>
      </c>
      <c r="I416" s="21">
        <f>G416/Parameters!$B$26</f>
        <v>9.6995343300254697E-3</v>
      </c>
      <c r="J416" s="21">
        <f t="shared" si="12"/>
        <v>1.2528156552247691E-2</v>
      </c>
      <c r="K416" s="21">
        <f>F416*Parameters!$D$15/Parameters!$D$16</f>
        <v>1.2122666666666666E-7</v>
      </c>
      <c r="L416" s="21">
        <f>G416*Parameters!$D$15/Parameters!$D$16</f>
        <v>4.1569432842966304E-7</v>
      </c>
      <c r="M416" s="21">
        <f>K416*Parameters!$C$26</f>
        <v>4.121706666666667E-8</v>
      </c>
      <c r="N416" s="21">
        <f>L416*Parameters!$C$26</f>
        <v>1.4133607166608544E-7</v>
      </c>
      <c r="O416" s="21">
        <f t="shared" si="13"/>
        <v>1.8255313833275211E-7</v>
      </c>
    </row>
    <row r="417" spans="1:15" ht="15" customHeight="1" x14ac:dyDescent="0.25">
      <c r="A417" s="10" t="s">
        <v>82</v>
      </c>
      <c r="B417" s="10" t="s">
        <v>170</v>
      </c>
      <c r="C417" s="10" t="s">
        <v>26</v>
      </c>
      <c r="D417" s="8">
        <f>Zone_Site_Means!$J$18</f>
        <v>8.2456666666666667</v>
      </c>
      <c r="E417" s="21">
        <f>D417*Parameters!$B$4*Parameters!$B$5</f>
        <v>8.2456666666666663E-6</v>
      </c>
      <c r="F417" s="21">
        <f>E417*Parameters!$D$9*Parameters!$D$10*Parameters!$D$11/(Parameters!$D$8*Parameters!$D$15)</f>
        <v>5.4971111111111111E-7</v>
      </c>
      <c r="G417" s="21">
        <f>E417*Parameters!$D$12*Parameters!$F$27*Parameters!$D$13*Parameters!$D$10*Parameters!$D$11*Parameters!$D$14/(Parameters!$D$8*Parameters!$D$15)</f>
        <v>4.3554241094732696E-8</v>
      </c>
      <c r="H417" s="21">
        <f>F417/Parameters!$B$27</f>
        <v>1.8323703703703705E-3</v>
      </c>
      <c r="I417" s="21">
        <f>G417/Parameters!$B$27</f>
        <v>1.45180803649109E-4</v>
      </c>
      <c r="J417" s="21">
        <f t="shared" si="12"/>
        <v>1.9775511740194795E-3</v>
      </c>
      <c r="K417" s="21">
        <f>F417*Parameters!$D$15/Parameters!$D$16</f>
        <v>4.7118095238095237E-8</v>
      </c>
      <c r="L417" s="21">
        <f>G417*Parameters!$D$15/Parameters!$D$16</f>
        <v>3.7332206652628027E-9</v>
      </c>
      <c r="M417" s="21">
        <f>K417*Parameters!$C$27</f>
        <v>2.9684400000000001E-7</v>
      </c>
      <c r="N417" s="21">
        <f>L417*Parameters!$C$27</f>
        <v>2.3519290191155656E-8</v>
      </c>
      <c r="O417" s="21">
        <f t="shared" si="13"/>
        <v>3.2036329019115566E-7</v>
      </c>
    </row>
    <row r="418" spans="1:15" ht="15" customHeight="1" x14ac:dyDescent="0.25">
      <c r="A418" s="10" t="s">
        <v>82</v>
      </c>
      <c r="B418" s="10" t="s">
        <v>170</v>
      </c>
      <c r="C418" s="10" t="s">
        <v>27</v>
      </c>
      <c r="D418" s="8">
        <f>Zone_Site_Means!$K$18</f>
        <v>13.670333333333334</v>
      </c>
      <c r="E418" s="21">
        <f>D418*Parameters!$B$4*Parameters!$B$5</f>
        <v>1.3670333333333335E-5</v>
      </c>
      <c r="F418" s="21">
        <f>E418*Parameters!$D$9*Parameters!$D$10*Parameters!$D$11/(Parameters!$D$8*Parameters!$D$15)</f>
        <v>9.1135555555555567E-7</v>
      </c>
      <c r="G418" s="21">
        <f>E418*Parameters!$D$12*Parameters!$F$28*Parameters!$D$13*Parameters!$D$10*Parameters!$D$11*Parameters!$D$14/(Parameters!$D$8*Parameters!$D$15)</f>
        <v>7.00460711421409E-8</v>
      </c>
      <c r="H418" s="21">
        <f>F418/Parameters!$B$28</f>
        <v>3.0378518518518523E-3</v>
      </c>
      <c r="I418" s="21">
        <f>G418/Parameters!$B$28</f>
        <v>2.3348690380713634E-4</v>
      </c>
      <c r="J418" s="21">
        <f t="shared" si="12"/>
        <v>3.2713387556589889E-3</v>
      </c>
      <c r="K418" s="21">
        <f>F418*Parameters!$D$15/Parameters!$D$16</f>
        <v>7.8116190476190485E-8</v>
      </c>
      <c r="L418" s="21">
        <f>G418*Parameters!$D$15/Parameters!$D$16</f>
        <v>6.003948955040649E-9</v>
      </c>
      <c r="M418" s="21">
        <f>K418*Parameters!$C$28</f>
        <v>1.4060914285714287E-7</v>
      </c>
      <c r="N418" s="21">
        <f>L418*Parameters!$C$28</f>
        <v>1.0807108119073169E-8</v>
      </c>
      <c r="O418" s="21">
        <f t="shared" si="13"/>
        <v>1.5141625097621602E-7</v>
      </c>
    </row>
    <row r="419" spans="1:15" ht="15" customHeight="1" x14ac:dyDescent="0.25">
      <c r="A419" s="10" t="s">
        <v>82</v>
      </c>
      <c r="B419" s="10" t="s">
        <v>170</v>
      </c>
      <c r="C419" s="10" t="s">
        <v>28</v>
      </c>
      <c r="D419" s="8">
        <f>Zone_Site_Means!$L$18</f>
        <v>5.2700000000000005</v>
      </c>
      <c r="E419" s="21">
        <f>D419*Parameters!$B$4*Parameters!$B$5</f>
        <v>5.2700000000000004E-6</v>
      </c>
      <c r="F419" s="21">
        <f>E419*Parameters!$D$9*Parameters!$D$10*Parameters!$D$11/(Parameters!$D$8*Parameters!$D$15)</f>
        <v>3.5133333333333338E-7</v>
      </c>
      <c r="G419" s="21">
        <f>E419*Parameters!$D$12*Parameters!$F$29*Parameters!$D$13*Parameters!$D$10*Parameters!$D$11*Parameters!$D$14/(Parameters!$D$8*Parameters!$D$15)</f>
        <v>2.4649907374790876E-8</v>
      </c>
      <c r="H419" s="21">
        <f>F419/Parameters!$B$29</f>
        <v>1.1711111111111115E-3</v>
      </c>
      <c r="I419" s="21">
        <f>G419/Parameters!$B$29</f>
        <v>8.2166357915969593E-5</v>
      </c>
      <c r="J419" s="21">
        <f t="shared" si="12"/>
        <v>1.2532774690270812E-3</v>
      </c>
      <c r="K419" s="21">
        <f>F419*Parameters!$D$15/Parameters!$D$16</f>
        <v>3.0114285714285721E-8</v>
      </c>
      <c r="L419" s="21">
        <f>G419*Parameters!$D$15/Parameters!$D$16</f>
        <v>2.1128492035535038E-9</v>
      </c>
      <c r="M419" s="21">
        <f>K419*Parameters!$C$29</f>
        <v>3.9148571428571441E-8</v>
      </c>
      <c r="N419" s="21">
        <f>L419*Parameters!$C$29</f>
        <v>2.746703964619555E-9</v>
      </c>
      <c r="O419" s="21">
        <f t="shared" si="13"/>
        <v>4.1895275393190997E-8</v>
      </c>
    </row>
    <row r="420" spans="1:15" ht="15" customHeight="1" x14ac:dyDescent="0.25">
      <c r="A420" s="10" t="s">
        <v>82</v>
      </c>
      <c r="B420" s="10" t="s">
        <v>170</v>
      </c>
      <c r="C420" s="10" t="s">
        <v>29</v>
      </c>
      <c r="D420" s="8">
        <f>Zone_Site_Means!$M$18</f>
        <v>13.517000000000001</v>
      </c>
      <c r="E420" s="21">
        <f>D420*Parameters!$B$4*Parameters!$B$5</f>
        <v>1.3517000000000001E-5</v>
      </c>
      <c r="F420" s="21">
        <f>E420*Parameters!$D$9*Parameters!$D$10*Parameters!$D$11/(Parameters!$D$8*Parameters!$D$15)</f>
        <v>9.0113333333333334E-7</v>
      </c>
      <c r="G420" s="21">
        <f>E420*Parameters!$D$12*Parameters!$F$30*Parameters!$D$13*Parameters!$D$10*Parameters!$D$11*Parameters!$D$14/(Parameters!$D$8*Parameters!$D$15)</f>
        <v>1.1969747531770935E-7</v>
      </c>
      <c r="H420" s="21">
        <f>F420/Parameters!$B$30</f>
        <v>3.003777777777778E-3</v>
      </c>
      <c r="I420" s="21">
        <f>G420/Parameters!$B$30</f>
        <v>3.9899158439236454E-4</v>
      </c>
      <c r="J420" s="21">
        <f t="shared" si="12"/>
        <v>3.4027693621701423E-3</v>
      </c>
      <c r="K420" s="21">
        <f>F420*Parameters!$D$15/Parameters!$D$16</f>
        <v>7.7239999999999995E-8</v>
      </c>
      <c r="L420" s="21">
        <f>G420*Parameters!$D$15/Parameters!$D$16</f>
        <v>1.0259783598660801E-8</v>
      </c>
      <c r="M420" s="21">
        <f>K420*Parameters!$C$30</f>
        <v>0</v>
      </c>
      <c r="N420" s="21">
        <f>L420*Parameters!$C$30</f>
        <v>0</v>
      </c>
      <c r="O420" s="21">
        <f t="shared" si="13"/>
        <v>0</v>
      </c>
    </row>
    <row r="421" spans="1:15" ht="15" customHeight="1" x14ac:dyDescent="0.25">
      <c r="A421" s="10" t="s">
        <v>82</v>
      </c>
      <c r="B421" s="10" t="s">
        <v>170</v>
      </c>
      <c r="C421" s="10" t="s">
        <v>30</v>
      </c>
      <c r="D421" s="8">
        <f>Zone_Site_Means!$N$18</f>
        <v>6.5236666666666663</v>
      </c>
      <c r="E421" s="21">
        <f>D421*Parameters!$B$4*Parameters!$B$5</f>
        <v>6.5236666666666665E-6</v>
      </c>
      <c r="F421" s="21">
        <f>E421*Parameters!$D$9*Parameters!$D$10*Parameters!$D$11/(Parameters!$D$8*Parameters!$D$15)</f>
        <v>4.3491111111111111E-7</v>
      </c>
      <c r="G421" s="21">
        <f>E421*Parameters!$D$12*Parameters!$F$31*Parameters!$D$13*Parameters!$D$10*Parameters!$D$11*Parameters!$D$14/(Parameters!$D$8*Parameters!$D$15)</f>
        <v>8.0250627824770669E-7</v>
      </c>
      <c r="H421" s="21">
        <f>F421/Parameters!$B$31</f>
        <v>1.4497037037037037E-2</v>
      </c>
      <c r="I421" s="21">
        <f>G421/Parameters!$B$31</f>
        <v>2.6750209274923557E-2</v>
      </c>
      <c r="J421" s="21">
        <f t="shared" si="12"/>
        <v>4.1247246311960598E-2</v>
      </c>
      <c r="K421" s="21">
        <f>F421*Parameters!$D$15/Parameters!$D$16</f>
        <v>3.7278095238095236E-8</v>
      </c>
      <c r="L421" s="21">
        <f>G421*Parameters!$D$15/Parameters!$D$16</f>
        <v>6.8786252421232005E-8</v>
      </c>
      <c r="M421" s="21">
        <f>K421*Parameters!$C$31</f>
        <v>6.3372761904761902E-7</v>
      </c>
      <c r="N421" s="21">
        <f>L421*Parameters!$C$31</f>
        <v>1.1693662911609441E-6</v>
      </c>
      <c r="O421" s="21">
        <f t="shared" si="13"/>
        <v>1.8030939102085631E-6</v>
      </c>
    </row>
    <row r="422" spans="1:15" ht="15" customHeight="1" x14ac:dyDescent="0.25">
      <c r="A422" s="10" t="s">
        <v>82</v>
      </c>
      <c r="B422" s="10" t="s">
        <v>170</v>
      </c>
      <c r="C422" s="10" t="s">
        <v>31</v>
      </c>
      <c r="D422" s="8">
        <f>Zone_Site_Means!$O$18</f>
        <v>8.6383333333333336</v>
      </c>
      <c r="E422" s="21">
        <f>D422*Parameters!$B$4*Parameters!$B$5</f>
        <v>8.638333333333335E-6</v>
      </c>
      <c r="F422" s="21">
        <f>E422*Parameters!$D$9*Parameters!$D$10*Parameters!$D$11/(Parameters!$D$8*Parameters!$D$15)</f>
        <v>5.7588888888888897E-7</v>
      </c>
      <c r="G422" s="21">
        <f>E422*Parameters!$D$12*Parameters!$F$32*Parameters!$D$13*Parameters!$D$10*Parameters!$D$11*Parameters!$D$14/(Parameters!$D$8*Parameters!$D$15)</f>
        <v>1.6247503340936067E-7</v>
      </c>
      <c r="H422" s="21">
        <f>F422/Parameters!$B$32</f>
        <v>1.151777777777778E-2</v>
      </c>
      <c r="I422" s="21">
        <f>G422/Parameters!$B$32</f>
        <v>3.2495006681872132E-3</v>
      </c>
      <c r="J422" s="21">
        <f t="shared" si="12"/>
        <v>1.4767278445964992E-2</v>
      </c>
      <c r="K422" s="21">
        <f>F422*Parameters!$D$15/Parameters!$D$16</f>
        <v>4.9361904761904764E-8</v>
      </c>
      <c r="L422" s="21">
        <f>G422*Parameters!$D$15/Parameters!$D$16</f>
        <v>1.3926431435088057E-8</v>
      </c>
      <c r="M422" s="21">
        <f>K422*Parameters!$C$32</f>
        <v>7.8979047619047623E-7</v>
      </c>
      <c r="N422" s="21">
        <f>L422*Parameters!$C$32</f>
        <v>2.2282290296140892E-7</v>
      </c>
      <c r="O422" s="21">
        <f t="shared" si="13"/>
        <v>1.0126133791518851E-6</v>
      </c>
    </row>
    <row r="423" spans="1:15" ht="15" customHeight="1" x14ac:dyDescent="0.25">
      <c r="A423" s="10" t="s">
        <v>82</v>
      </c>
      <c r="B423" s="10" t="s">
        <v>170</v>
      </c>
      <c r="C423" s="10" t="s">
        <v>32</v>
      </c>
      <c r="D423" s="8">
        <f>Zone_Site_Means!$P$18</f>
        <v>5.9156666666666666</v>
      </c>
      <c r="E423" s="21">
        <f>D423*Parameters!$B$4*Parameters!$B$5</f>
        <v>5.9156666666666674E-6</v>
      </c>
      <c r="F423" s="21">
        <f>E423*Parameters!$D$9*Parameters!$D$10*Parameters!$D$11/(Parameters!$D$8*Parameters!$D$15)</f>
        <v>3.9437777777777784E-7</v>
      </c>
      <c r="G423" s="21">
        <f>E423*Parameters!$D$12*Parameters!$F$33*Parameters!$D$13*Parameters!$D$10*Parameters!$D$11*Parameters!$D$14/(Parameters!$D$8*Parameters!$D$15)</f>
        <v>3.5552027326111462E-7</v>
      </c>
      <c r="H423" s="21">
        <f>F423/Parameters!$B$33</f>
        <v>7.8875555555555569E-4</v>
      </c>
      <c r="I423" s="21">
        <f>G423/Parameters!$B$33</f>
        <v>7.1104054652222919E-4</v>
      </c>
      <c r="J423" s="21">
        <f t="shared" si="12"/>
        <v>1.4997961020777849E-3</v>
      </c>
      <c r="K423" s="21">
        <f>F423*Parameters!$D$15/Parameters!$D$16</f>
        <v>3.3803809523809534E-8</v>
      </c>
      <c r="L423" s="21">
        <f>G423*Parameters!$D$15/Parameters!$D$16</f>
        <v>3.0473166279524113E-8</v>
      </c>
      <c r="M423" s="21">
        <f>K423*Parameters!$C$33</f>
        <v>1.5211714285714289E-7</v>
      </c>
      <c r="N423" s="21">
        <f>L423*Parameters!$C$33</f>
        <v>1.3712924825785852E-7</v>
      </c>
      <c r="O423" s="21">
        <f t="shared" si="13"/>
        <v>2.8924639111500141E-7</v>
      </c>
    </row>
    <row r="424" spans="1:15" ht="15" customHeight="1" x14ac:dyDescent="0.25">
      <c r="A424" s="10" t="s">
        <v>82</v>
      </c>
      <c r="B424" s="10" t="s">
        <v>170</v>
      </c>
      <c r="C424" s="10" t="s">
        <v>33</v>
      </c>
      <c r="D424" s="8">
        <f>Zone_Site_Means!$Q$18</f>
        <v>8.7763333333333335</v>
      </c>
      <c r="E424" s="21">
        <f>D424*Parameters!$B$4*Parameters!$B$5</f>
        <v>8.7763333333333344E-6</v>
      </c>
      <c r="F424" s="21">
        <f>E424*Parameters!$D$9*Parameters!$D$10*Parameters!$D$11/(Parameters!$D$8*Parameters!$D$15)</f>
        <v>5.8508888888888892E-7</v>
      </c>
      <c r="G424" s="21">
        <f>E424*Parameters!$D$12*Parameters!$F$34*Parameters!$D$13*Parameters!$D$10*Parameters!$D$11*Parameters!$D$14/(Parameters!$D$8*Parameters!$D$15)</f>
        <v>7.8230082145277863E-8</v>
      </c>
      <c r="H424" s="21">
        <f>F424/Parameters!$B$34</f>
        <v>4.5006837606837609E-2</v>
      </c>
      <c r="I424" s="21">
        <f>G424/Parameters!$B$34</f>
        <v>6.0176986265598363E-3</v>
      </c>
      <c r="J424" s="21">
        <f t="shared" si="12"/>
        <v>5.1024536233397443E-2</v>
      </c>
      <c r="K424" s="21">
        <f>F424*Parameters!$D$15/Parameters!$D$16</f>
        <v>5.0150476190476192E-8</v>
      </c>
      <c r="L424" s="21">
        <f>G424*Parameters!$D$15/Parameters!$D$16</f>
        <v>6.7054356124523879E-9</v>
      </c>
      <c r="M424" s="21">
        <f>K424*Parameters!$C$34</f>
        <v>4.5636933333333332E-7</v>
      </c>
      <c r="N424" s="21">
        <f>L424*Parameters!$C$34</f>
        <v>6.1019464073316724E-8</v>
      </c>
      <c r="O424" s="21">
        <f t="shared" si="13"/>
        <v>5.1738879740665007E-7</v>
      </c>
    </row>
  </sheetData>
  <autoFilter ref="A4:O424"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3"/>
  <sheetViews>
    <sheetView topLeftCell="A4" zoomScaleNormal="100" workbookViewId="0"/>
  </sheetViews>
  <sheetFormatPr defaultColWidth="8.7109375" defaultRowHeight="15" x14ac:dyDescent="0.25"/>
  <cols>
    <col min="1" max="1" width="26" style="1" customWidth="1"/>
    <col min="2" max="2" width="9" style="1" customWidth="1"/>
    <col min="3" max="4" width="13" style="1" customWidth="1"/>
    <col min="5" max="5" width="11" style="1" customWidth="1"/>
    <col min="6" max="6" width="26" style="1" customWidth="1"/>
    <col min="7" max="8" width="12" style="1" customWidth="1"/>
    <col min="9" max="9" width="11" style="1" customWidth="1"/>
    <col min="10" max="10" width="30" style="1" customWidth="1"/>
    <col min="11" max="11" width="22" style="1" customWidth="1"/>
    <col min="12" max="12" width="18" style="1" customWidth="1"/>
  </cols>
  <sheetData>
    <row r="1" spans="1:12" ht="15.75" customHeight="1" x14ac:dyDescent="0.25">
      <c r="A1" s="9" t="s">
        <v>250</v>
      </c>
    </row>
    <row r="3" spans="1:12" ht="34.5" customHeight="1" x14ac:dyDescent="0.25">
      <c r="A3" s="5" t="s">
        <v>101</v>
      </c>
      <c r="B3" s="5" t="s">
        <v>237</v>
      </c>
      <c r="C3" s="5" t="s">
        <v>242</v>
      </c>
      <c r="D3" s="5" t="s">
        <v>243</v>
      </c>
      <c r="E3" s="5" t="s">
        <v>251</v>
      </c>
      <c r="F3" s="5" t="s">
        <v>252</v>
      </c>
      <c r="G3" s="5" t="s">
        <v>247</v>
      </c>
      <c r="H3" s="5" t="s">
        <v>248</v>
      </c>
      <c r="I3" s="5" t="s">
        <v>253</v>
      </c>
      <c r="J3" s="5" t="s">
        <v>254</v>
      </c>
      <c r="K3" s="5" t="s">
        <v>255</v>
      </c>
      <c r="L3" s="5" t="s">
        <v>256</v>
      </c>
    </row>
    <row r="4" spans="1:12" ht="15" customHeight="1" x14ac:dyDescent="0.25">
      <c r="A4" s="10" t="s">
        <v>148</v>
      </c>
      <c r="B4" s="10" t="s">
        <v>169</v>
      </c>
      <c r="C4" s="18">
        <f>SUMIFS(Health_Risk!$H$5:$H$424,Health_Risk!$A$5:$A$424,$A4,Health_Risk!$B$5:$B$424,$B4)</f>
        <v>1.736895432772477E-2</v>
      </c>
      <c r="D4" s="18">
        <f>SUMIFS(Health_Risk!$I$5:$I$424,Health_Risk!$A$5:$A$424,$A4,Health_Risk!$B$5:$B$424,$B4)</f>
        <v>9.4696161957828796E-3</v>
      </c>
      <c r="E4" s="18">
        <f>SUMIFS(Health_Risk!$J$5:$J$424,Health_Risk!$A$5:$A$424,$A4,Health_Risk!$B$5:$B$424,$B4)</f>
        <v>2.6838570523507656E-2</v>
      </c>
      <c r="F4" s="10" t="str">
        <f t="shared" ref="F4:F33" si="0">IF(E4&lt;1,"Yes – no appreciable hazard","No – hazard")</f>
        <v>Yes – no appreciable hazard</v>
      </c>
      <c r="G4" s="21">
        <f>SUMIFS(Health_Risk!$M$5:$M$424,Health_Risk!$A$5:$A$424,$A4,Health_Risk!$B$5:$B$424,$B4)</f>
        <v>6.0064108564569829E-6</v>
      </c>
      <c r="H4" s="21">
        <f>SUMIFS(Health_Risk!$N$5:$N$424,Health_Risk!$A$5:$A$424,$A4,Health_Risk!$B$5:$B$424,$B4)</f>
        <v>3.2280314366435929E-6</v>
      </c>
      <c r="I4" s="21">
        <f>SUMIFS(Health_Risk!$O$5:$O$424,Health_Risk!$A$5:$A$424,$A4,Health_Risk!$B$5:$B$424,$B4)</f>
        <v>9.234442293100575E-6</v>
      </c>
      <c r="J4" s="10" t="str">
        <f t="shared" ref="J4:J33" si="1">IF(I4&gt;0.0001,"Above 1E-4 (unacceptable)",IF(I4&gt;=0.000001,"Within 1E-6 – 1E-4 (acceptable)","Below 1E-6 (negligible)"))</f>
        <v>Within 1E-6 – 1E-4 (acceptable)</v>
      </c>
      <c r="K4" s="10" t="str">
        <f>INDEX(Health_Risk!$C$5:$C$18,MATCH(MAX(Health_Risk!$J$5:$J$18),Health_Risk!$J$5:$J$18,0))</f>
        <v>Heptachlor epoxide</v>
      </c>
      <c r="L4" s="11">
        <f>MAX(Health_Risk!$J$5:$J$18)/E4*100</f>
        <v>36.252996056652314</v>
      </c>
    </row>
    <row r="5" spans="1:12" ht="15" customHeight="1" x14ac:dyDescent="0.25">
      <c r="A5" s="10" t="s">
        <v>148</v>
      </c>
      <c r="B5" s="10" t="s">
        <v>170</v>
      </c>
      <c r="C5" s="18">
        <f>SUMIFS(Health_Risk!$H$5:$H$424,Health_Risk!$A$5:$A$424,$A5,Health_Risk!$B$5:$B$424,$B5)</f>
        <v>4.0527560098024468E-2</v>
      </c>
      <c r="D5" s="18">
        <f>SUMIFS(Health_Risk!$I$5:$I$424,Health_Risk!$A$5:$A$424,$A5,Health_Risk!$B$5:$B$424,$B5)</f>
        <v>2.7937181880278997E-2</v>
      </c>
      <c r="E5" s="18">
        <f>SUMIFS(Health_Risk!$J$5:$J$424,Health_Risk!$A$5:$A$424,$A5,Health_Risk!$B$5:$B$424,$B5)</f>
        <v>6.8464741978303462E-2</v>
      </c>
      <c r="F5" s="10" t="str">
        <f t="shared" si="0"/>
        <v>Yes – no appreciable hazard</v>
      </c>
      <c r="G5" s="21">
        <f>SUMIFS(Health_Risk!$M$5:$M$424,Health_Risk!$A$5:$A$424,$A5,Health_Risk!$B$5:$B$424,$B5)</f>
        <v>1.2012821712913965E-6</v>
      </c>
      <c r="H5" s="21">
        <f>SUMIFS(Health_Risk!$N$5:$N$424,Health_Risk!$A$5:$A$424,$A5,Health_Risk!$B$5:$B$424,$B5)</f>
        <v>8.1628381156504642E-7</v>
      </c>
      <c r="I5" s="21">
        <f>SUMIFS(Health_Risk!$O$5:$O$424,Health_Risk!$A$5:$A$424,$A5,Health_Risk!$B$5:$B$424,$B5)</f>
        <v>2.0175659828564431E-6</v>
      </c>
      <c r="J5" s="10" t="str">
        <f t="shared" si="1"/>
        <v>Within 1E-6 – 1E-4 (acceptable)</v>
      </c>
      <c r="K5" s="10" t="str">
        <f>INDEX(Health_Risk!$C$19:$C$32,MATCH(MAX(Health_Risk!$J$19:$J$32),Health_Risk!$J$19:$J$32,0))</f>
        <v>Heptachlor epoxide</v>
      </c>
      <c r="L5" s="11">
        <f>MAX(Health_Risk!$J$19:$J$32)/E5*100</f>
        <v>33.998275807981749</v>
      </c>
    </row>
    <row r="6" spans="1:12" ht="15" customHeight="1" x14ac:dyDescent="0.25">
      <c r="A6" s="10" t="s">
        <v>39</v>
      </c>
      <c r="B6" s="10" t="s">
        <v>169</v>
      </c>
      <c r="C6" s="18">
        <f>SUMIFS(Health_Risk!$H$5:$H$424,Health_Risk!$A$5:$A$424,$A6,Health_Risk!$B$5:$B$424,$B6)</f>
        <v>1.3008653805453803E-2</v>
      </c>
      <c r="D6" s="18">
        <f>SUMIFS(Health_Risk!$I$5:$I$424,Health_Risk!$A$5:$A$424,$A6,Health_Risk!$B$5:$B$424,$B6)</f>
        <v>6.5405535913825473E-3</v>
      </c>
      <c r="E6" s="18">
        <f>SUMIFS(Health_Risk!$J$5:$J$424,Health_Risk!$A$5:$A$424,$A6,Health_Risk!$B$5:$B$424,$B6)</f>
        <v>1.9549207396836354E-2</v>
      </c>
      <c r="F6" s="10" t="str">
        <f t="shared" si="0"/>
        <v>Yes – no appreciable hazard</v>
      </c>
      <c r="G6" s="21">
        <f>SUMIFS(Health_Risk!$M$5:$M$424,Health_Risk!$A$5:$A$424,$A6,Health_Risk!$B$5:$B$424,$B6)</f>
        <v>4.4532243809523809E-6</v>
      </c>
      <c r="H6" s="21">
        <f>SUMIFS(Health_Risk!$N$5:$N$424,Health_Risk!$A$5:$A$424,$A6,Health_Risk!$B$5:$B$424,$B6)</f>
        <v>2.2976412502004141E-6</v>
      </c>
      <c r="I6" s="21">
        <f>SUMIFS(Health_Risk!$O$5:$O$424,Health_Risk!$A$5:$A$424,$A6,Health_Risk!$B$5:$B$424,$B6)</f>
        <v>6.750865631152795E-6</v>
      </c>
      <c r="J6" s="10" t="str">
        <f t="shared" si="1"/>
        <v>Within 1E-6 – 1E-4 (acceptable)</v>
      </c>
      <c r="K6" s="10" t="str">
        <f>INDEX(Health_Risk!$C$33:$C$46,MATCH(MAX(Health_Risk!$J$33:$J$46),Health_Risk!$J$33:$J$46,0))</f>
        <v>Heptachlor epoxide</v>
      </c>
      <c r="L6" s="11">
        <f>MAX(Health_Risk!$J$33:$J$46)/E6*100</f>
        <v>40.157212341112803</v>
      </c>
    </row>
    <row r="7" spans="1:12" ht="15" customHeight="1" x14ac:dyDescent="0.25">
      <c r="A7" s="10" t="s">
        <v>39</v>
      </c>
      <c r="B7" s="10" t="s">
        <v>170</v>
      </c>
      <c r="C7" s="18">
        <f>SUMIFS(Health_Risk!$H$5:$H$424,Health_Risk!$A$5:$A$424,$A7,Health_Risk!$B$5:$B$424,$B7)</f>
        <v>3.0353525546058885E-2</v>
      </c>
      <c r="D7" s="18">
        <f>SUMIFS(Health_Risk!$I$5:$I$424,Health_Risk!$A$5:$A$424,$A7,Health_Risk!$B$5:$B$424,$B7)</f>
        <v>1.9295886074193726E-2</v>
      </c>
      <c r="E7" s="18">
        <f>SUMIFS(Health_Risk!$J$5:$J$424,Health_Risk!$A$5:$A$424,$A7,Health_Risk!$B$5:$B$424,$B7)</f>
        <v>4.9649411620252611E-2</v>
      </c>
      <c r="F7" s="10" t="str">
        <f t="shared" si="0"/>
        <v>Yes – no appreciable hazard</v>
      </c>
      <c r="G7" s="21">
        <f>SUMIFS(Health_Risk!$M$5:$M$424,Health_Risk!$A$5:$A$424,$A7,Health_Risk!$B$5:$B$424,$B7)</f>
        <v>8.9064487619047616E-7</v>
      </c>
      <c r="H7" s="21">
        <f>SUMIFS(Health_Risk!$N$5:$N$424,Health_Risk!$A$5:$A$424,$A7,Health_Risk!$B$5:$B$424,$B7)</f>
        <v>5.8101272993573692E-7</v>
      </c>
      <c r="I7" s="21">
        <f>SUMIFS(Health_Risk!$O$5:$O$424,Health_Risk!$A$5:$A$424,$A7,Health_Risk!$B$5:$B$424,$B7)</f>
        <v>1.4716576061262132E-6</v>
      </c>
      <c r="J7" s="10" t="str">
        <f t="shared" si="1"/>
        <v>Within 1E-6 – 1E-4 (acceptable)</v>
      </c>
      <c r="K7" s="10" t="str">
        <f>INDEX(Health_Risk!$C$47:$C$60,MATCH(MAX(Health_Risk!$J$47:$J$60),Health_Risk!$J$47:$J$60,0))</f>
        <v>Heptachlor epoxide</v>
      </c>
      <c r="L7" s="11">
        <f>MAX(Health_Risk!$J$47:$J$60)/E7*100</f>
        <v>37.826763917150238</v>
      </c>
    </row>
    <row r="8" spans="1:12" ht="15" customHeight="1" x14ac:dyDescent="0.25">
      <c r="A8" s="10" t="s">
        <v>52</v>
      </c>
      <c r="B8" s="10" t="s">
        <v>169</v>
      </c>
      <c r="C8" s="18">
        <f>SUMIFS(Health_Risk!$H$5:$H$424,Health_Risk!$A$5:$A$424,$A8,Health_Risk!$B$5:$B$424,$B8)</f>
        <v>1.0991648603366898E-2</v>
      </c>
      <c r="D8" s="18">
        <f>SUMIFS(Health_Risk!$I$5:$I$424,Health_Risk!$A$5:$A$424,$A8,Health_Risk!$B$5:$B$424,$B8)</f>
        <v>6.5257218898888119E-3</v>
      </c>
      <c r="E8" s="18">
        <f>SUMIFS(Health_Risk!$J$5:$J$424,Health_Risk!$A$5:$A$424,$A8,Health_Risk!$B$5:$B$424,$B8)</f>
        <v>1.7517370493255711E-2</v>
      </c>
      <c r="F8" s="10" t="str">
        <f t="shared" si="0"/>
        <v>Yes – no appreciable hazard</v>
      </c>
      <c r="G8" s="21">
        <f>SUMIFS(Health_Risk!$M$5:$M$424,Health_Risk!$A$5:$A$424,$A8,Health_Risk!$B$5:$B$424,$B8)</f>
        <v>3.9133876228819526E-6</v>
      </c>
      <c r="H8" s="21">
        <f>SUMIFS(Health_Risk!$N$5:$N$424,Health_Risk!$A$5:$A$424,$A8,Health_Risk!$B$5:$B$424,$B8)</f>
        <v>2.013044671404656E-6</v>
      </c>
      <c r="I8" s="21">
        <f>SUMIFS(Health_Risk!$O$5:$O$424,Health_Risk!$A$5:$A$424,$A8,Health_Risk!$B$5:$B$424,$B8)</f>
        <v>5.926432294286609E-6</v>
      </c>
      <c r="J8" s="10" t="str">
        <f t="shared" si="1"/>
        <v>Within 1E-6 – 1E-4 (acceptable)</v>
      </c>
      <c r="K8" s="10" t="str">
        <f>INDEX(Health_Risk!$C$61:$C$74,MATCH(MAX(Health_Risk!$J$61:$J$74),Health_Risk!$J$61:$J$74,0))</f>
        <v>Heptachlor epoxide</v>
      </c>
      <c r="L8" s="11">
        <f>MAX(Health_Risk!$J$61:$J$74)/E8*100</f>
        <v>32.897967177239835</v>
      </c>
    </row>
    <row r="9" spans="1:12" ht="15" customHeight="1" x14ac:dyDescent="0.25">
      <c r="A9" s="10" t="s">
        <v>52</v>
      </c>
      <c r="B9" s="10" t="s">
        <v>170</v>
      </c>
      <c r="C9" s="18">
        <f>SUMIFS(Health_Risk!$H$5:$H$424,Health_Risk!$A$5:$A$424,$A9,Health_Risk!$B$5:$B$424,$B9)</f>
        <v>2.5647180074522762E-2</v>
      </c>
      <c r="D9" s="18">
        <f>SUMIFS(Health_Risk!$I$5:$I$424,Health_Risk!$A$5:$A$424,$A9,Health_Risk!$B$5:$B$424,$B9)</f>
        <v>1.9252129713465085E-2</v>
      </c>
      <c r="E9" s="18">
        <f>SUMIFS(Health_Risk!$J$5:$J$424,Health_Risk!$A$5:$A$424,$A9,Health_Risk!$B$5:$B$424,$B9)</f>
        <v>4.489930978798784E-2</v>
      </c>
      <c r="F9" s="10" t="str">
        <f t="shared" si="0"/>
        <v>Yes – no appreciable hazard</v>
      </c>
      <c r="G9" s="21">
        <f>SUMIFS(Health_Risk!$M$5:$M$424,Health_Risk!$A$5:$A$424,$A9,Health_Risk!$B$5:$B$424,$B9)</f>
        <v>7.8267752457639071E-7</v>
      </c>
      <c r="H9" s="21">
        <f>SUMIFS(Health_Risk!$N$5:$N$424,Health_Risk!$A$5:$A$424,$A9,Health_Risk!$B$5:$B$424,$B9)</f>
        <v>5.0904577897589001E-7</v>
      </c>
      <c r="I9" s="21">
        <f>SUMIFS(Health_Risk!$O$5:$O$424,Health_Risk!$A$5:$A$424,$A9,Health_Risk!$B$5:$B$424,$B9)</f>
        <v>1.2917233035522807E-6</v>
      </c>
      <c r="J9" s="10" t="str">
        <f t="shared" si="1"/>
        <v>Within 1E-6 – 1E-4 (acceptable)</v>
      </c>
      <c r="K9" s="10" t="str">
        <f>INDEX(Health_Risk!$C$75:$C$88,MATCH(MAX(Health_Risk!$J$75:$J$88),Health_Risk!$J$75:$J$88,0))</f>
        <v>Heptachlor epoxide</v>
      </c>
      <c r="L9" s="11">
        <f>MAX(Health_Risk!$J$75:$J$88)/E9*100</f>
        <v>30.705692579332872</v>
      </c>
    </row>
    <row r="10" spans="1:12" ht="15" customHeight="1" x14ac:dyDescent="0.25">
      <c r="A10" s="10" t="s">
        <v>65</v>
      </c>
      <c r="B10" s="10" t="s">
        <v>169</v>
      </c>
      <c r="C10" s="18">
        <f>SUMIFS(Health_Risk!$H$5:$H$424,Health_Risk!$A$5:$A$424,$A10,Health_Risk!$B$5:$B$424,$B10)</f>
        <v>2.3811518075702077E-2</v>
      </c>
      <c r="D10" s="18">
        <f>SUMIFS(Health_Risk!$I$5:$I$424,Health_Risk!$A$5:$A$424,$A10,Health_Risk!$B$5:$B$424,$B10)</f>
        <v>1.2993390341959527E-2</v>
      </c>
      <c r="E10" s="18">
        <f>SUMIFS(Health_Risk!$J$5:$J$424,Health_Risk!$A$5:$A$424,$A10,Health_Risk!$B$5:$B$424,$B10)</f>
        <v>3.6804908417661604E-2</v>
      </c>
      <c r="F10" s="10" t="str">
        <f t="shared" si="0"/>
        <v>Yes – no appreciable hazard</v>
      </c>
      <c r="G10" s="21">
        <f>SUMIFS(Health_Risk!$M$5:$M$424,Health_Risk!$A$5:$A$424,$A10,Health_Risk!$B$5:$B$424,$B10)</f>
        <v>8.1941366819047621E-6</v>
      </c>
      <c r="H10" s="21">
        <f>SUMIFS(Health_Risk!$N$5:$N$424,Health_Risk!$A$5:$A$424,$A10,Health_Risk!$B$5:$B$424,$B10)</f>
        <v>4.515257607652864E-6</v>
      </c>
      <c r="I10" s="21">
        <f>SUMIFS(Health_Risk!$O$5:$O$424,Health_Risk!$A$5:$A$424,$A10,Health_Risk!$B$5:$B$424,$B10)</f>
        <v>1.2709394289557628E-5</v>
      </c>
      <c r="J10" s="10" t="str">
        <f t="shared" si="1"/>
        <v>Within 1E-6 – 1E-4 (acceptable)</v>
      </c>
      <c r="K10" s="10" t="str">
        <f>INDEX(Health_Risk!$C$89:$C$102,MATCH(MAX(Health_Risk!$J$89:$J$102),Health_Risk!$J$89:$J$102,0))</f>
        <v>Heptachlor epoxide</v>
      </c>
      <c r="L10" s="11">
        <f>MAX(Health_Risk!$J$89:$J$102)/E10*100</f>
        <v>35.966843191850842</v>
      </c>
    </row>
    <row r="11" spans="1:12" ht="15" customHeight="1" x14ac:dyDescent="0.25">
      <c r="A11" s="10" t="s">
        <v>65</v>
      </c>
      <c r="B11" s="10" t="s">
        <v>170</v>
      </c>
      <c r="C11" s="18">
        <f>SUMIFS(Health_Risk!$H$5:$H$424,Health_Risk!$A$5:$A$424,$A11,Health_Risk!$B$5:$B$424,$B11)</f>
        <v>5.5560208843304842E-2</v>
      </c>
      <c r="D11" s="18">
        <f>SUMIFS(Health_Risk!$I$5:$I$424,Health_Risk!$A$5:$A$424,$A11,Health_Risk!$B$5:$B$424,$B11)</f>
        <v>3.8332990664018532E-2</v>
      </c>
      <c r="E11" s="18">
        <f>SUMIFS(Health_Risk!$J$5:$J$424,Health_Risk!$A$5:$A$424,$A11,Health_Risk!$B$5:$B$424,$B11)</f>
        <v>9.3893199507323374E-2</v>
      </c>
      <c r="F11" s="10" t="str">
        <f t="shared" si="0"/>
        <v>Yes – no appreciable hazard</v>
      </c>
      <c r="G11" s="21">
        <f>SUMIFS(Health_Risk!$M$5:$M$424,Health_Risk!$A$5:$A$424,$A11,Health_Risk!$B$5:$B$424,$B11)</f>
        <v>1.6388273363809524E-6</v>
      </c>
      <c r="H11" s="21">
        <f>SUMIFS(Health_Risk!$N$5:$N$424,Health_Risk!$A$5:$A$424,$A11,Health_Risk!$B$5:$B$424,$B11)</f>
        <v>1.1417892800961265E-6</v>
      </c>
      <c r="I11" s="21">
        <f>SUMIFS(Health_Risk!$O$5:$O$424,Health_Risk!$A$5:$A$424,$A11,Health_Risk!$B$5:$B$424,$B11)</f>
        <v>2.7806166164770788E-6</v>
      </c>
      <c r="J11" s="10" t="str">
        <f t="shared" si="1"/>
        <v>Within 1E-6 – 1E-4 (acceptable)</v>
      </c>
      <c r="K11" s="10" t="str">
        <f>INDEX(Health_Risk!$C$103:$C$116,MATCH(MAX(Health_Risk!$J$103:$J$116),Health_Risk!$J$103:$J$116,0))</f>
        <v>Heptachlor epoxide</v>
      </c>
      <c r="L11" s="11">
        <f>MAX(Health_Risk!$J$103:$J$116)/E11*100</f>
        <v>33.728304386082023</v>
      </c>
    </row>
    <row r="12" spans="1:12" ht="15" customHeight="1" x14ac:dyDescent="0.25">
      <c r="A12" s="10" t="s">
        <v>40</v>
      </c>
      <c r="B12" s="10" t="s">
        <v>169</v>
      </c>
      <c r="C12" s="18">
        <f>SUMIFS(Health_Risk!$H$5:$H$424,Health_Risk!$A$5:$A$424,$A12,Health_Risk!$B$5:$B$424,$B12)</f>
        <v>7.6095770451770446E-3</v>
      </c>
      <c r="D12" s="18">
        <f>SUMIFS(Health_Risk!$I$5:$I$424,Health_Risk!$A$5:$A$424,$A12,Health_Risk!$B$5:$B$424,$B12)</f>
        <v>3.9481457535103471E-3</v>
      </c>
      <c r="E12" s="18">
        <f>SUMIFS(Health_Risk!$J$5:$J$424,Health_Risk!$A$5:$A$424,$A12,Health_Risk!$B$5:$B$424,$B12)</f>
        <v>1.155772279868739E-2</v>
      </c>
      <c r="F12" s="10" t="str">
        <f t="shared" si="0"/>
        <v>Yes – no appreciable hazard</v>
      </c>
      <c r="G12" s="21">
        <f>SUMIFS(Health_Risk!$M$5:$M$424,Health_Risk!$A$5:$A$424,$A12,Health_Risk!$B$5:$B$424,$B12)</f>
        <v>2.40506419047619E-6</v>
      </c>
      <c r="H12" s="21">
        <f>SUMIFS(Health_Risk!$N$5:$N$424,Health_Risk!$A$5:$A$424,$A12,Health_Risk!$B$5:$B$424,$B12)</f>
        <v>1.0779276943263711E-6</v>
      </c>
      <c r="I12" s="21">
        <f>SUMIFS(Health_Risk!$O$5:$O$424,Health_Risk!$A$5:$A$424,$A12,Health_Risk!$B$5:$B$424,$B12)</f>
        <v>3.4829918848025617E-6</v>
      </c>
      <c r="J12" s="10" t="str">
        <f t="shared" si="1"/>
        <v>Within 1E-6 – 1E-4 (acceptable)</v>
      </c>
      <c r="K12" s="10" t="str">
        <f>INDEX(Health_Risk!$C$117:$C$130,MATCH(MAX(Health_Risk!$J$117:$J$130),Health_Risk!$J$117:$J$130,0))</f>
        <v>Heptachlor epoxide</v>
      </c>
      <c r="L12" s="11">
        <f>MAX(Health_Risk!$J$117:$J$130)/E12*100</f>
        <v>41.282609186383532</v>
      </c>
    </row>
    <row r="13" spans="1:12" ht="15" customHeight="1" x14ac:dyDescent="0.25">
      <c r="A13" s="10" t="s">
        <v>40</v>
      </c>
      <c r="B13" s="10" t="s">
        <v>170</v>
      </c>
      <c r="C13" s="18">
        <f>SUMIFS(Health_Risk!$H$5:$H$424,Health_Risk!$A$5:$A$424,$A13,Health_Risk!$B$5:$B$424,$B13)</f>
        <v>1.7755679772079772E-2</v>
      </c>
      <c r="D13" s="18">
        <f>SUMIFS(Health_Risk!$I$5:$I$424,Health_Risk!$A$5:$A$424,$A13,Health_Risk!$B$5:$B$424,$B13)</f>
        <v>1.164778632261673E-2</v>
      </c>
      <c r="E13" s="18">
        <f>SUMIFS(Health_Risk!$J$5:$J$424,Health_Risk!$A$5:$A$424,$A13,Health_Risk!$B$5:$B$424,$B13)</f>
        <v>2.9403466094696507E-2</v>
      </c>
      <c r="F13" s="10" t="str">
        <f t="shared" si="0"/>
        <v>Yes – no appreciable hazard</v>
      </c>
      <c r="G13" s="21">
        <f>SUMIFS(Health_Risk!$M$5:$M$424,Health_Risk!$A$5:$A$424,$A13,Health_Risk!$B$5:$B$424,$B13)</f>
        <v>4.8101283809523807E-7</v>
      </c>
      <c r="H13" s="21">
        <f>SUMIFS(Health_Risk!$N$5:$N$424,Health_Risk!$A$5:$A$424,$A13,Health_Risk!$B$5:$B$424,$B13)</f>
        <v>2.7257941695609381E-7</v>
      </c>
      <c r="I13" s="21">
        <f>SUMIFS(Health_Risk!$O$5:$O$424,Health_Risk!$A$5:$A$424,$A13,Health_Risk!$B$5:$B$424,$B13)</f>
        <v>7.5359225505133193E-7</v>
      </c>
      <c r="J13" s="10" t="str">
        <f t="shared" si="1"/>
        <v>Below 1E-6 (negligible)</v>
      </c>
      <c r="K13" s="10" t="str">
        <f>INDEX(Health_Risk!$C$131:$C$144,MATCH(MAX(Health_Risk!$J$131:$J$144),Health_Risk!$J$131:$J$144,0))</f>
        <v>Heptachlor epoxide</v>
      </c>
      <c r="L13" s="11">
        <f>MAX(Health_Risk!$J$131:$J$144)/E13*100</f>
        <v>38.82053069200844</v>
      </c>
    </row>
    <row r="14" spans="1:12" ht="15" customHeight="1" x14ac:dyDescent="0.25">
      <c r="A14" s="10" t="s">
        <v>44</v>
      </c>
      <c r="B14" s="10" t="s">
        <v>169</v>
      </c>
      <c r="C14" s="18">
        <f>SUMIFS(Health_Risk!$H$5:$H$424,Health_Risk!$A$5:$A$424,$A14,Health_Risk!$B$5:$B$424,$B14)</f>
        <v>2.9640884004884004E-3</v>
      </c>
      <c r="D14" s="18">
        <f>SUMIFS(Health_Risk!$I$5:$I$424,Health_Risk!$A$5:$A$424,$A14,Health_Risk!$B$5:$B$424,$B14)</f>
        <v>2.2664728188231519E-3</v>
      </c>
      <c r="E14" s="18">
        <f>SUMIFS(Health_Risk!$J$5:$J$424,Health_Risk!$A$5:$A$424,$A14,Health_Risk!$B$5:$B$424,$B14)</f>
        <v>5.2305612193115523E-3</v>
      </c>
      <c r="F14" s="10" t="str">
        <f t="shared" si="0"/>
        <v>Yes – no appreciable hazard</v>
      </c>
      <c r="G14" s="21">
        <f>SUMIFS(Health_Risk!$M$5:$M$424,Health_Risk!$A$5:$A$424,$A14,Health_Risk!$B$5:$B$424,$B14)</f>
        <v>1.1694681904761905E-6</v>
      </c>
      <c r="H14" s="21">
        <f>SUMIFS(Health_Risk!$N$5:$N$424,Health_Risk!$A$5:$A$424,$A14,Health_Risk!$B$5:$B$424,$B14)</f>
        <v>7.1765193393588262E-7</v>
      </c>
      <c r="I14" s="21">
        <f>SUMIFS(Health_Risk!$O$5:$O$424,Health_Risk!$A$5:$A$424,$A14,Health_Risk!$B$5:$B$424,$B14)</f>
        <v>1.8871201244120733E-6</v>
      </c>
      <c r="J14" s="10" t="str">
        <f t="shared" si="1"/>
        <v>Within 1E-6 – 1E-4 (acceptable)</v>
      </c>
      <c r="K14" s="10" t="str">
        <f>INDEX(Health_Risk!$C$145:$C$158,MATCH(MAX(Health_Risk!$J$145:$J$158),Health_Risk!$J$145:$J$158,0))</f>
        <v>p,p'-DDE</v>
      </c>
      <c r="L14" s="11">
        <f>MAX(Health_Risk!$J$145:$J$158)/E14*100</f>
        <v>23.85641793594014</v>
      </c>
    </row>
    <row r="15" spans="1:12" ht="15" customHeight="1" x14ac:dyDescent="0.25">
      <c r="A15" s="10" t="s">
        <v>44</v>
      </c>
      <c r="B15" s="10" t="s">
        <v>170</v>
      </c>
      <c r="C15" s="18">
        <f>SUMIFS(Health_Risk!$H$5:$H$424,Health_Risk!$A$5:$A$424,$A15,Health_Risk!$B$5:$B$424,$B15)</f>
        <v>6.9162062678062679E-3</v>
      </c>
      <c r="D15" s="18">
        <f>SUMIFS(Health_Risk!$I$5:$I$424,Health_Risk!$A$5:$A$424,$A15,Health_Risk!$B$5:$B$424,$B15)</f>
        <v>6.6865290057234765E-3</v>
      </c>
      <c r="E15" s="18">
        <f>SUMIFS(Health_Risk!$J$5:$J$424,Health_Risk!$A$5:$A$424,$A15,Health_Risk!$B$5:$B$424,$B15)</f>
        <v>1.3602735273529743E-2</v>
      </c>
      <c r="F15" s="10" t="str">
        <f t="shared" si="0"/>
        <v>Yes – no appreciable hazard</v>
      </c>
      <c r="G15" s="21">
        <f>SUMIFS(Health_Risk!$M$5:$M$424,Health_Risk!$A$5:$A$424,$A15,Health_Risk!$B$5:$B$424,$B15)</f>
        <v>2.3389363809523808E-7</v>
      </c>
      <c r="H15" s="21">
        <f>SUMIFS(Health_Risk!$N$5:$N$424,Health_Risk!$A$5:$A$424,$A15,Health_Risk!$B$5:$B$424,$B15)</f>
        <v>1.8147520168493579E-7</v>
      </c>
      <c r="I15" s="21">
        <f>SUMIFS(Health_Risk!$O$5:$O$424,Health_Risk!$A$5:$A$424,$A15,Health_Risk!$B$5:$B$424,$B15)</f>
        <v>4.1536883978017395E-7</v>
      </c>
      <c r="J15" s="10" t="str">
        <f t="shared" si="1"/>
        <v>Below 1E-6 (negligible)</v>
      </c>
      <c r="K15" s="10" t="str">
        <f>INDEX(Health_Risk!$C$159:$C$172,MATCH(MAX(Health_Risk!$J$159:$J$172),Health_Risk!$J$159:$J$172,0))</f>
        <v>p,p'-DDE</v>
      </c>
      <c r="L15" s="11">
        <f>MAX(Health_Risk!$J$159:$J$172)/E15*100</f>
        <v>25.538709819081962</v>
      </c>
    </row>
    <row r="16" spans="1:12" ht="15" customHeight="1" x14ac:dyDescent="0.25">
      <c r="A16" s="10" t="s">
        <v>48</v>
      </c>
      <c r="B16" s="10" t="s">
        <v>169</v>
      </c>
      <c r="C16" s="18">
        <f>SUMIFS(Health_Risk!$H$5:$H$424,Health_Risk!$A$5:$A$424,$A16,Health_Risk!$B$5:$B$424,$B16)</f>
        <v>2.845229597069597E-2</v>
      </c>
      <c r="D16" s="18">
        <f>SUMIFS(Health_Risk!$I$5:$I$424,Health_Risk!$A$5:$A$424,$A16,Health_Risk!$B$5:$B$424,$B16)</f>
        <v>1.3407042201814148E-2</v>
      </c>
      <c r="E16" s="18">
        <f>SUMIFS(Health_Risk!$J$5:$J$424,Health_Risk!$A$5:$A$424,$A16,Health_Risk!$B$5:$B$424,$B16)</f>
        <v>4.1859338172510127E-2</v>
      </c>
      <c r="F16" s="10" t="str">
        <f t="shared" si="0"/>
        <v>Yes – no appreciable hazard</v>
      </c>
      <c r="G16" s="21">
        <f>SUMIFS(Health_Risk!$M$5:$M$424,Health_Risk!$A$5:$A$424,$A16,Health_Risk!$B$5:$B$424,$B16)</f>
        <v>9.7851407619047638E-6</v>
      </c>
      <c r="H16" s="21">
        <f>SUMIFS(Health_Risk!$N$5:$N$424,Health_Risk!$A$5:$A$424,$A16,Health_Risk!$B$5:$B$424,$B16)</f>
        <v>5.0973441223389894E-6</v>
      </c>
      <c r="I16" s="21">
        <f>SUMIFS(Health_Risk!$O$5:$O$424,Health_Risk!$A$5:$A$424,$A16,Health_Risk!$B$5:$B$424,$B16)</f>
        <v>1.4882484884243755E-5</v>
      </c>
      <c r="J16" s="10" t="str">
        <f t="shared" si="1"/>
        <v>Within 1E-6 – 1E-4 (acceptable)</v>
      </c>
      <c r="K16" s="10" t="str">
        <f>INDEX(Health_Risk!$C$173:$C$186,MATCH(MAX(Health_Risk!$J$173:$J$186),Health_Risk!$J$173:$J$186,0))</f>
        <v>Heptachlor epoxide</v>
      </c>
      <c r="L16" s="11">
        <f>MAX(Health_Risk!$J$173:$J$186)/E16*100</f>
        <v>41.961512102557236</v>
      </c>
    </row>
    <row r="17" spans="1:12" ht="15" customHeight="1" x14ac:dyDescent="0.25">
      <c r="A17" s="10" t="s">
        <v>48</v>
      </c>
      <c r="B17" s="10" t="s">
        <v>170</v>
      </c>
      <c r="C17" s="18">
        <f>SUMIFS(Health_Risk!$H$5:$H$424,Health_Risk!$A$5:$A$424,$A17,Health_Risk!$B$5:$B$424,$B17)</f>
        <v>6.6388690598290612E-2</v>
      </c>
      <c r="D17" s="18">
        <f>SUMIFS(Health_Risk!$I$5:$I$424,Health_Risk!$A$5:$A$424,$A17,Health_Risk!$B$5:$B$424,$B17)</f>
        <v>3.9553342894240971E-2</v>
      </c>
      <c r="E17" s="18">
        <f>SUMIFS(Health_Risk!$J$5:$J$424,Health_Risk!$A$5:$A$424,$A17,Health_Risk!$B$5:$B$424,$B17)</f>
        <v>0.10594203349253159</v>
      </c>
      <c r="F17" s="10" t="str">
        <f t="shared" si="0"/>
        <v>Yes – no appreciable hazard</v>
      </c>
      <c r="G17" s="21">
        <f>SUMIFS(Health_Risk!$M$5:$M$424,Health_Risk!$A$5:$A$424,$A17,Health_Risk!$B$5:$B$424,$B17)</f>
        <v>1.9570281523809523E-6</v>
      </c>
      <c r="H17" s="21">
        <f>SUMIFS(Health_Risk!$N$5:$N$424,Health_Risk!$A$5:$A$424,$A17,Health_Risk!$B$5:$B$424,$B17)</f>
        <v>1.2889835711661812E-6</v>
      </c>
      <c r="I17" s="21">
        <f>SUMIFS(Health_Risk!$O$5:$O$424,Health_Risk!$A$5:$A$424,$A17,Health_Risk!$B$5:$B$424,$B17)</f>
        <v>3.2460117235471344E-6</v>
      </c>
      <c r="J17" s="10" t="str">
        <f t="shared" si="1"/>
        <v>Within 1E-6 – 1E-4 (acceptable)</v>
      </c>
      <c r="K17" s="10" t="str">
        <f>INDEX(Health_Risk!$C$187:$C$200,MATCH(MAX(Health_Risk!$J$187:$J$200),Health_Risk!$J$187:$J$200,0))</f>
        <v>Heptachlor epoxide</v>
      </c>
      <c r="L17" s="11">
        <f>MAX(Health_Risk!$J$187:$J$200)/E17*100</f>
        <v>39.66393216429384</v>
      </c>
    </row>
    <row r="18" spans="1:12" ht="15" customHeight="1" x14ac:dyDescent="0.25">
      <c r="A18" s="10" t="s">
        <v>53</v>
      </c>
      <c r="B18" s="10" t="s">
        <v>169</v>
      </c>
      <c r="C18" s="18">
        <f>SUMIFS(Health_Risk!$H$5:$H$424,Health_Risk!$A$5:$A$424,$A18,Health_Risk!$B$5:$B$424,$B18)</f>
        <v>6.6210662008210856E-3</v>
      </c>
      <c r="D18" s="18">
        <f>SUMIFS(Health_Risk!$I$5:$I$424,Health_Risk!$A$5:$A$424,$A18,Health_Risk!$B$5:$B$424,$B18)</f>
        <v>5.7822003506201956E-3</v>
      </c>
      <c r="E18" s="18">
        <f>SUMIFS(Health_Risk!$J$5:$J$424,Health_Risk!$A$5:$A$424,$A18,Health_Risk!$B$5:$B$424,$B18)</f>
        <v>1.2403266551441281E-2</v>
      </c>
      <c r="F18" s="10" t="str">
        <f t="shared" si="0"/>
        <v>Yes – no appreciable hazard</v>
      </c>
      <c r="G18" s="21">
        <f>SUMIFS(Health_Risk!$M$5:$M$424,Health_Risk!$A$5:$A$424,$A18,Health_Risk!$B$5:$B$424,$B18)</f>
        <v>3.3532842019791937E-6</v>
      </c>
      <c r="H18" s="21">
        <f>SUMIFS(Health_Risk!$N$5:$N$424,Health_Risk!$A$5:$A$424,$A18,Health_Risk!$B$5:$B$424,$B18)</f>
        <v>1.9699748847196821E-6</v>
      </c>
      <c r="I18" s="21">
        <f>SUMIFS(Health_Risk!$O$5:$O$424,Health_Risk!$A$5:$A$424,$A18,Health_Risk!$B$5:$B$424,$B18)</f>
        <v>5.3232590866988762E-6</v>
      </c>
      <c r="J18" s="10" t="str">
        <f t="shared" si="1"/>
        <v>Within 1E-6 – 1E-4 (acceptable)</v>
      </c>
      <c r="K18" s="10" t="str">
        <f>INDEX(Health_Risk!$C$201:$C$214,MATCH(MAX(Health_Risk!$J$201:$J$214),Health_Risk!$J$201:$J$214,0))</f>
        <v>Aldrin</v>
      </c>
      <c r="L18" s="11">
        <f>MAX(Health_Risk!$J$201:$J$214)/E18*100</f>
        <v>26.003357418718082</v>
      </c>
    </row>
    <row r="19" spans="1:12" ht="15" customHeight="1" x14ac:dyDescent="0.25">
      <c r="A19" s="10" t="s">
        <v>53</v>
      </c>
      <c r="B19" s="10" t="s">
        <v>170</v>
      </c>
      <c r="C19" s="18">
        <f>SUMIFS(Health_Risk!$H$5:$H$424,Health_Risk!$A$5:$A$424,$A19,Health_Risk!$B$5:$B$424,$B19)</f>
        <v>1.5449154468582532E-2</v>
      </c>
      <c r="D19" s="18">
        <f>SUMIFS(Health_Risk!$I$5:$I$424,Health_Risk!$A$5:$A$424,$A19,Health_Risk!$B$5:$B$424,$B19)</f>
        <v>1.7058598735546174E-2</v>
      </c>
      <c r="E19" s="18">
        <f>SUMIFS(Health_Risk!$J$5:$J$424,Health_Risk!$A$5:$A$424,$A19,Health_Risk!$B$5:$B$424,$B19)</f>
        <v>3.2507753204128707E-2</v>
      </c>
      <c r="F19" s="10" t="str">
        <f t="shared" si="0"/>
        <v>Yes – no appreciable hazard</v>
      </c>
      <c r="G19" s="21">
        <f>SUMIFS(Health_Risk!$M$5:$M$424,Health_Risk!$A$5:$A$424,$A19,Health_Risk!$B$5:$B$424,$B19)</f>
        <v>6.7065684039583874E-7</v>
      </c>
      <c r="H19" s="21">
        <f>SUMIFS(Health_Risk!$N$5:$N$424,Health_Risk!$A$5:$A$424,$A19,Health_Risk!$B$5:$B$424,$B19)</f>
        <v>4.9815456854980474E-7</v>
      </c>
      <c r="I19" s="21">
        <f>SUMIFS(Health_Risk!$O$5:$O$424,Health_Risk!$A$5:$A$424,$A19,Health_Risk!$B$5:$B$424,$B19)</f>
        <v>1.1688114089456433E-6</v>
      </c>
      <c r="J19" s="10" t="str">
        <f t="shared" si="1"/>
        <v>Within 1E-6 – 1E-4 (acceptable)</v>
      </c>
      <c r="K19" s="10" t="str">
        <f>INDEX(Health_Risk!$C$215:$C$228,MATCH(MAX(Health_Risk!$J$215:$J$228),Health_Risk!$J$215:$J$228,0))</f>
        <v>Aldrin</v>
      </c>
      <c r="L19" s="11">
        <f>MAX(Health_Risk!$J$215:$J$228)/E19*100</f>
        <v>26.781924483275816</v>
      </c>
    </row>
    <row r="20" spans="1:12" ht="15" customHeight="1" x14ac:dyDescent="0.25">
      <c r="A20" s="10" t="s">
        <v>57</v>
      </c>
      <c r="B20" s="10" t="s">
        <v>169</v>
      </c>
      <c r="C20" s="18">
        <f>SUMIFS(Health_Risk!$H$5:$H$424,Health_Risk!$A$5:$A$424,$A20,Health_Risk!$B$5:$B$424,$B20)</f>
        <v>1.2234685470085473E-2</v>
      </c>
      <c r="D20" s="18">
        <f>SUMIFS(Health_Risk!$I$5:$I$424,Health_Risk!$A$5:$A$424,$A20,Health_Risk!$B$5:$B$424,$B20)</f>
        <v>5.7419910471448142E-3</v>
      </c>
      <c r="E20" s="18">
        <f>SUMIFS(Health_Risk!$J$5:$J$424,Health_Risk!$A$5:$A$424,$A20,Health_Risk!$B$5:$B$424,$B20)</f>
        <v>1.7976676517230283E-2</v>
      </c>
      <c r="F20" s="10" t="str">
        <f t="shared" si="0"/>
        <v>Yes – no appreciable hazard</v>
      </c>
      <c r="G20" s="21">
        <f>SUMIFS(Health_Risk!$M$5:$M$424,Health_Risk!$A$5:$A$424,$A20,Health_Risk!$B$5:$B$424,$B20)</f>
        <v>3.4333481904761904E-6</v>
      </c>
      <c r="H20" s="21">
        <f>SUMIFS(Health_Risk!$N$5:$N$424,Health_Risk!$A$5:$A$424,$A20,Health_Risk!$B$5:$B$424,$B20)</f>
        <v>1.4775961534588595E-6</v>
      </c>
      <c r="I20" s="21">
        <f>SUMIFS(Health_Risk!$O$5:$O$424,Health_Risk!$A$5:$A$424,$A20,Health_Risk!$B$5:$B$424,$B20)</f>
        <v>4.9109443439350501E-6</v>
      </c>
      <c r="J20" s="10" t="str">
        <f t="shared" si="1"/>
        <v>Within 1E-6 – 1E-4 (acceptable)</v>
      </c>
      <c r="K20" s="10" t="str">
        <f>INDEX(Health_Risk!$C$229:$C$242,MATCH(MAX(Health_Risk!$J$229:$J$242),Health_Risk!$J$229:$J$242,0))</f>
        <v>Heptachlor epoxide</v>
      </c>
      <c r="L20" s="11">
        <f>MAX(Health_Risk!$J$229:$J$242)/E20*100</f>
        <v>46.671170202073867</v>
      </c>
    </row>
    <row r="21" spans="1:12" ht="15" customHeight="1" x14ac:dyDescent="0.25">
      <c r="A21" s="10" t="s">
        <v>57</v>
      </c>
      <c r="B21" s="10" t="s">
        <v>170</v>
      </c>
      <c r="C21" s="18">
        <f>SUMIFS(Health_Risk!$H$5:$H$424,Health_Risk!$A$5:$A$424,$A21,Health_Risk!$B$5:$B$424,$B21)</f>
        <v>2.8547599430199432E-2</v>
      </c>
      <c r="D21" s="18">
        <f>SUMIFS(Health_Risk!$I$5:$I$424,Health_Risk!$A$5:$A$424,$A21,Health_Risk!$B$5:$B$424,$B21)</f>
        <v>1.69399735873621E-2</v>
      </c>
      <c r="E21" s="18">
        <f>SUMIFS(Health_Risk!$J$5:$J$424,Health_Risk!$A$5:$A$424,$A21,Health_Risk!$B$5:$B$424,$B21)</f>
        <v>4.5487573017561525E-2</v>
      </c>
      <c r="F21" s="10" t="str">
        <f t="shared" si="0"/>
        <v>Yes – no appreciable hazard</v>
      </c>
      <c r="G21" s="21">
        <f>SUMIFS(Health_Risk!$M$5:$M$424,Health_Risk!$A$5:$A$424,$A21,Health_Risk!$B$5:$B$424,$B21)</f>
        <v>6.8666963809523806E-7</v>
      </c>
      <c r="H21" s="21">
        <f>SUMIFS(Health_Risk!$N$5:$N$424,Health_Risk!$A$5:$A$424,$A21,Health_Risk!$B$5:$B$424,$B21)</f>
        <v>3.7364500432292998E-7</v>
      </c>
      <c r="I21" s="21">
        <f>SUMIFS(Health_Risk!$O$5:$O$424,Health_Risk!$A$5:$A$424,$A21,Health_Risk!$B$5:$B$424,$B21)</f>
        <v>1.0603146424181679E-6</v>
      </c>
      <c r="J21" s="10" t="str">
        <f t="shared" si="1"/>
        <v>Within 1E-6 – 1E-4 (acceptable)</v>
      </c>
      <c r="K21" s="10" t="str">
        <f>INDEX(Health_Risk!$C$243:$C$256,MATCH(MAX(Health_Risk!$J$243:$J$256),Health_Risk!$J$243:$J$256,0))</f>
        <v>Heptachlor epoxide</v>
      </c>
      <c r="L21" s="11">
        <f>MAX(Health_Risk!$J$243:$J$256)/E21*100</f>
        <v>44.125121279190374</v>
      </c>
    </row>
    <row r="22" spans="1:12" ht="15" customHeight="1" x14ac:dyDescent="0.25">
      <c r="A22" s="10" t="s">
        <v>61</v>
      </c>
      <c r="B22" s="10" t="s">
        <v>169</v>
      </c>
      <c r="C22" s="18">
        <f>SUMIFS(Health_Risk!$H$5:$H$424,Health_Risk!$A$5:$A$424,$A22,Health_Risk!$B$5:$B$424,$B22)</f>
        <v>1.411919413919414E-2</v>
      </c>
      <c r="D22" s="18">
        <f>SUMIFS(Health_Risk!$I$5:$I$424,Health_Risk!$A$5:$A$424,$A22,Health_Risk!$B$5:$B$424,$B22)</f>
        <v>8.0529742719014225E-3</v>
      </c>
      <c r="E22" s="18">
        <f>SUMIFS(Health_Risk!$J$5:$J$424,Health_Risk!$A$5:$A$424,$A22,Health_Risk!$B$5:$B$424,$B22)</f>
        <v>2.2172168411095563E-2</v>
      </c>
      <c r="F22" s="10" t="str">
        <f t="shared" si="0"/>
        <v>Yes – no appreciable hazard</v>
      </c>
      <c r="G22" s="21">
        <f>SUMIFS(Health_Risk!$M$5:$M$424,Health_Risk!$A$5:$A$424,$A22,Health_Risk!$B$5:$B$424,$B22)</f>
        <v>4.9535304761904758E-6</v>
      </c>
      <c r="H22" s="21">
        <f>SUMIFS(Health_Risk!$N$5:$N$424,Health_Risk!$A$5:$A$424,$A22,Health_Risk!$B$5:$B$424,$B22)</f>
        <v>2.5915629760354249E-6</v>
      </c>
      <c r="I22" s="21">
        <f>SUMIFS(Health_Risk!$O$5:$O$424,Health_Risk!$A$5:$A$424,$A22,Health_Risk!$B$5:$B$424,$B22)</f>
        <v>7.5450934522259007E-6</v>
      </c>
      <c r="J22" s="10" t="str">
        <f t="shared" si="1"/>
        <v>Within 1E-6 – 1E-4 (acceptable)</v>
      </c>
      <c r="K22" s="10" t="str">
        <f>INDEX(Health_Risk!$C$257:$C$270,MATCH(MAX(Health_Risk!$J$257:$J$270),Health_Risk!$J$257:$J$270,0))</f>
        <v>Heptachlor epoxide</v>
      </c>
      <c r="L22" s="11">
        <f>MAX(Health_Risk!$J$257:$J$270)/E22*100</f>
        <v>34.653993060786846</v>
      </c>
    </row>
    <row r="23" spans="1:12" ht="15" customHeight="1" x14ac:dyDescent="0.25">
      <c r="A23" s="10" t="s">
        <v>61</v>
      </c>
      <c r="B23" s="10" t="s">
        <v>170</v>
      </c>
      <c r="C23" s="18">
        <f>SUMIFS(Health_Risk!$H$5:$H$424,Health_Risk!$A$5:$A$424,$A23,Health_Risk!$B$5:$B$424,$B23)</f>
        <v>3.2944786324786327E-2</v>
      </c>
      <c r="D23" s="18">
        <f>SUMIFS(Health_Risk!$I$5:$I$424,Health_Risk!$A$5:$A$424,$A23,Health_Risk!$B$5:$B$424,$B23)</f>
        <v>2.3757816817486961E-2</v>
      </c>
      <c r="E23" s="18">
        <f>SUMIFS(Health_Risk!$J$5:$J$424,Health_Risk!$A$5:$A$424,$A23,Health_Risk!$B$5:$B$424,$B23)</f>
        <v>5.6702603142273281E-2</v>
      </c>
      <c r="F23" s="10" t="str">
        <f t="shared" si="0"/>
        <v>Yes – no appreciable hazard</v>
      </c>
      <c r="G23" s="21">
        <f>SUMIFS(Health_Risk!$M$5:$M$424,Health_Risk!$A$5:$A$424,$A23,Health_Risk!$B$5:$B$424,$B23)</f>
        <v>9.9070609523809533E-7</v>
      </c>
      <c r="H23" s="21">
        <f>SUMIFS(Health_Risk!$N$5:$N$424,Health_Risk!$A$5:$A$424,$A23,Health_Risk!$B$5:$B$424,$B23)</f>
        <v>6.5533776405493494E-7</v>
      </c>
      <c r="I23" s="21">
        <f>SUMIFS(Health_Risk!$O$5:$O$424,Health_Risk!$A$5:$A$424,$A23,Health_Risk!$B$5:$B$424,$B23)</f>
        <v>1.6460438592930302E-6</v>
      </c>
      <c r="J23" s="10" t="str">
        <f t="shared" si="1"/>
        <v>Within 1E-6 – 1E-4 (acceptable)</v>
      </c>
      <c r="K23" s="10" t="str">
        <f>INDEX(Health_Risk!$C$271:$C$284,MATCH(MAX(Health_Risk!$J$271:$J$284),Health_Risk!$J$271:$J$284,0))</f>
        <v>Heptachlor epoxide</v>
      </c>
      <c r="L23" s="11">
        <f>MAX(Health_Risk!$J$271:$J$284)/E23*100</f>
        <v>32.41746417243084</v>
      </c>
    </row>
    <row r="24" spans="1:12" ht="15" customHeight="1" x14ac:dyDescent="0.25">
      <c r="A24" s="10" t="s">
        <v>66</v>
      </c>
      <c r="B24" s="10" t="s">
        <v>169</v>
      </c>
      <c r="C24" s="18">
        <f>SUMIFS(Health_Risk!$H$5:$H$424,Health_Risk!$A$5:$A$424,$A24,Health_Risk!$B$5:$B$424,$B24)</f>
        <v>1.3605969963369963E-2</v>
      </c>
      <c r="D24" s="18">
        <f>SUMIFS(Health_Risk!$I$5:$I$424,Health_Risk!$A$5:$A$424,$A24,Health_Risk!$B$5:$B$424,$B24)</f>
        <v>7.8616381778349887E-3</v>
      </c>
      <c r="E24" s="18">
        <f>SUMIFS(Health_Risk!$J$5:$J$424,Health_Risk!$A$5:$A$424,$A24,Health_Risk!$B$5:$B$424,$B24)</f>
        <v>2.1467608141204953E-2</v>
      </c>
      <c r="F24" s="10" t="str">
        <f t="shared" si="0"/>
        <v>Yes – no appreciable hazard</v>
      </c>
      <c r="G24" s="21">
        <f>SUMIFS(Health_Risk!$M$5:$M$424,Health_Risk!$A$5:$A$424,$A24,Health_Risk!$B$5:$B$424,$B24)</f>
        <v>4.8155229523809524E-6</v>
      </c>
      <c r="H24" s="21">
        <f>SUMIFS(Health_Risk!$N$5:$N$424,Health_Risk!$A$5:$A$424,$A24,Health_Risk!$B$5:$B$424,$B24)</f>
        <v>2.3743453211989933E-6</v>
      </c>
      <c r="I24" s="21">
        <f>SUMIFS(Health_Risk!$O$5:$O$424,Health_Risk!$A$5:$A$424,$A24,Health_Risk!$B$5:$B$424,$B24)</f>
        <v>7.1898682735799456E-6</v>
      </c>
      <c r="J24" s="10" t="str">
        <f t="shared" si="1"/>
        <v>Within 1E-6 – 1E-4 (acceptable)</v>
      </c>
      <c r="K24" s="10" t="str">
        <f>INDEX(Health_Risk!$C$285:$C$298,MATCH(MAX(Health_Risk!$J$285:$J$298),Health_Risk!$J$285:$J$298,0))</f>
        <v>Heptachlor epoxide</v>
      </c>
      <c r="L24" s="11">
        <f>MAX(Health_Risk!$J$285:$J$298)/E24*100</f>
        <v>32.432941540190711</v>
      </c>
    </row>
    <row r="25" spans="1:12" ht="15" customHeight="1" x14ac:dyDescent="0.25">
      <c r="A25" s="10" t="s">
        <v>66</v>
      </c>
      <c r="B25" s="10" t="s">
        <v>170</v>
      </c>
      <c r="C25" s="18">
        <f>SUMIFS(Health_Risk!$H$5:$H$424,Health_Risk!$A$5:$A$424,$A25,Health_Risk!$B$5:$B$424,$B25)</f>
        <v>3.1747263247863249E-2</v>
      </c>
      <c r="D25" s="18">
        <f>SUMIFS(Health_Risk!$I$5:$I$424,Health_Risk!$A$5:$A$424,$A25,Health_Risk!$B$5:$B$424,$B25)</f>
        <v>2.3193338685566826E-2</v>
      </c>
      <c r="E25" s="18">
        <f>SUMIFS(Health_Risk!$J$5:$J$424,Health_Risk!$A$5:$A$424,$A25,Health_Risk!$B$5:$B$424,$B25)</f>
        <v>5.4940601933430075E-2</v>
      </c>
      <c r="F25" s="10" t="str">
        <f t="shared" si="0"/>
        <v>Yes – no appreciable hazard</v>
      </c>
      <c r="G25" s="21">
        <f>SUMIFS(Health_Risk!$M$5:$M$424,Health_Risk!$A$5:$A$424,$A25,Health_Risk!$B$5:$B$424,$B25)</f>
        <v>9.6310459047619056E-7</v>
      </c>
      <c r="H25" s="21">
        <f>SUMIFS(Health_Risk!$N$5:$N$424,Health_Risk!$A$5:$A$424,$A25,Health_Risk!$B$5:$B$424,$B25)</f>
        <v>6.004091616825043E-7</v>
      </c>
      <c r="I25" s="21">
        <f>SUMIFS(Health_Risk!$O$5:$O$424,Health_Risk!$A$5:$A$424,$A25,Health_Risk!$B$5:$B$424,$B25)</f>
        <v>1.5635137521586946E-6</v>
      </c>
      <c r="J25" s="10" t="str">
        <f t="shared" si="1"/>
        <v>Within 1E-6 – 1E-4 (acceptable)</v>
      </c>
      <c r="K25" s="10" t="str">
        <f>INDEX(Health_Risk!$C$299:$C$312,MATCH(MAX(Health_Risk!$J$299:$J$312),Health_Risk!$J$299:$J$312,0))</f>
        <v>Heptachlor epoxide</v>
      </c>
      <c r="L25" s="11">
        <f>MAX(Health_Risk!$J$299:$J$312)/E25*100</f>
        <v>30.317764091492794</v>
      </c>
    </row>
    <row r="26" spans="1:12" ht="15" customHeight="1" x14ac:dyDescent="0.25">
      <c r="A26" s="10" t="s">
        <v>70</v>
      </c>
      <c r="B26" s="10" t="s">
        <v>169</v>
      </c>
      <c r="C26" s="18">
        <f>SUMIFS(Health_Risk!$H$5:$H$424,Health_Risk!$A$5:$A$424,$A26,Health_Risk!$B$5:$B$424,$B26)</f>
        <v>2.0170039072039077E-2</v>
      </c>
      <c r="D26" s="18">
        <f>SUMIFS(Health_Risk!$I$5:$I$424,Health_Risk!$A$5:$A$424,$A26,Health_Risk!$B$5:$B$424,$B26)</f>
        <v>9.5473912060964252E-3</v>
      </c>
      <c r="E26" s="18">
        <f>SUMIFS(Health_Risk!$J$5:$J$424,Health_Risk!$A$5:$A$424,$A26,Health_Risk!$B$5:$B$424,$B26)</f>
        <v>2.9717430278135504E-2</v>
      </c>
      <c r="F26" s="10" t="str">
        <f t="shared" si="0"/>
        <v>Yes – no appreciable hazard</v>
      </c>
      <c r="G26" s="21">
        <f>SUMIFS(Health_Risk!$M$5:$M$424,Health_Risk!$A$5:$A$424,$A26,Health_Risk!$B$5:$B$424,$B26)</f>
        <v>6.3315773333333341E-6</v>
      </c>
      <c r="H26" s="21">
        <f>SUMIFS(Health_Risk!$N$5:$N$424,Health_Risk!$A$5:$A$424,$A26,Health_Risk!$B$5:$B$424,$B26)</f>
        <v>3.1123526656353744E-6</v>
      </c>
      <c r="I26" s="21">
        <f>SUMIFS(Health_Risk!$O$5:$O$424,Health_Risk!$A$5:$A$424,$A26,Health_Risk!$B$5:$B$424,$B26)</f>
        <v>9.4439299989687085E-6</v>
      </c>
      <c r="J26" s="10" t="str">
        <f t="shared" si="1"/>
        <v>Within 1E-6 – 1E-4 (acceptable)</v>
      </c>
      <c r="K26" s="10" t="str">
        <f>INDEX(Health_Risk!$C$313:$C$326,MATCH(MAX(Health_Risk!$J$313:$J$326),Health_Risk!$J$313:$J$326,0))</f>
        <v>Heptachlor epoxide</v>
      </c>
      <c r="L26" s="11">
        <f>MAX(Health_Risk!$J$313:$J$326)/E26*100</f>
        <v>43.34755578744128</v>
      </c>
    </row>
    <row r="27" spans="1:12" ht="15" customHeight="1" x14ac:dyDescent="0.25">
      <c r="A27" s="10" t="s">
        <v>70</v>
      </c>
      <c r="B27" s="10" t="s">
        <v>170</v>
      </c>
      <c r="C27" s="18">
        <f>SUMIFS(Health_Risk!$H$5:$H$424,Health_Risk!$A$5:$A$424,$A27,Health_Risk!$B$5:$B$424,$B27)</f>
        <v>4.7063424501424506E-2</v>
      </c>
      <c r="D27" s="18">
        <f>SUMIFS(Health_Risk!$I$5:$I$424,Health_Risk!$A$5:$A$424,$A27,Health_Risk!$B$5:$B$424,$B27)</f>
        <v>2.8166633060131216E-2</v>
      </c>
      <c r="E27" s="18">
        <f>SUMIFS(Health_Risk!$J$5:$J$424,Health_Risk!$A$5:$A$424,$A27,Health_Risk!$B$5:$B$424,$B27)</f>
        <v>7.5230057561555735E-2</v>
      </c>
      <c r="F27" s="10" t="str">
        <f t="shared" si="0"/>
        <v>Yes – no appreciable hazard</v>
      </c>
      <c r="G27" s="21">
        <f>SUMIFS(Health_Risk!$M$5:$M$424,Health_Risk!$A$5:$A$424,$A27,Health_Risk!$B$5:$B$424,$B27)</f>
        <v>1.2663154666666669E-6</v>
      </c>
      <c r="H27" s="21">
        <f>SUMIFS(Health_Risk!$N$5:$N$424,Health_Risk!$A$5:$A$424,$A27,Health_Risk!$B$5:$B$424,$B27)</f>
        <v>7.8703170855147433E-7</v>
      </c>
      <c r="I27" s="21">
        <f>SUMIFS(Health_Risk!$O$5:$O$424,Health_Risk!$A$5:$A$424,$A27,Health_Risk!$B$5:$B$424,$B27)</f>
        <v>2.0533471752181411E-6</v>
      </c>
      <c r="J27" s="10" t="str">
        <f t="shared" si="1"/>
        <v>Within 1E-6 – 1E-4 (acceptable)</v>
      </c>
      <c r="K27" s="10" t="str">
        <f>INDEX(Health_Risk!$C$327:$C$340,MATCH(MAX(Health_Risk!$J$327:$J$340),Health_Risk!$J$327:$J$340,0))</f>
        <v>Heptachlor epoxide</v>
      </c>
      <c r="L27" s="11">
        <f>MAX(Health_Risk!$J$327:$J$340)/E27*100</f>
        <v>40.964254587654729</v>
      </c>
    </row>
    <row r="28" spans="1:12" ht="15" customHeight="1" x14ac:dyDescent="0.25">
      <c r="A28" s="10" t="s">
        <v>74</v>
      </c>
      <c r="B28" s="10" t="s">
        <v>169</v>
      </c>
      <c r="C28" s="18">
        <f>SUMIFS(Health_Risk!$H$5:$H$424,Health_Risk!$A$5:$A$424,$A28,Health_Risk!$B$5:$B$424,$B28)</f>
        <v>2.1179236141636144E-2</v>
      </c>
      <c r="D28" s="18">
        <f>SUMIFS(Health_Risk!$I$5:$I$424,Health_Risk!$A$5:$A$424,$A28,Health_Risk!$B$5:$B$424,$B28)</f>
        <v>1.1647817287310248E-2</v>
      </c>
      <c r="E28" s="18">
        <f>SUMIFS(Health_Risk!$J$5:$J$424,Health_Risk!$A$5:$A$424,$A28,Health_Risk!$B$5:$B$424,$B28)</f>
        <v>3.2827053428946387E-2</v>
      </c>
      <c r="F28" s="10" t="str">
        <f t="shared" si="0"/>
        <v>Yes – no appreciable hazard</v>
      </c>
      <c r="G28" s="21">
        <f>SUMIFS(Health_Risk!$M$5:$M$424,Health_Risk!$A$5:$A$424,$A28,Health_Risk!$B$5:$B$424,$B28)</f>
        <v>7.5515470476190487E-6</v>
      </c>
      <c r="H28" s="21">
        <f>SUMIFS(Health_Risk!$N$5:$N$424,Health_Risk!$A$5:$A$424,$A28,Health_Risk!$B$5:$B$424,$B28)</f>
        <v>4.0758976775924794E-6</v>
      </c>
      <c r="I28" s="21">
        <f>SUMIFS(Health_Risk!$O$5:$O$424,Health_Risk!$A$5:$A$424,$A28,Health_Risk!$B$5:$B$424,$B28)</f>
        <v>1.1627444725211527E-5</v>
      </c>
      <c r="J28" s="10" t="str">
        <f t="shared" si="1"/>
        <v>Within 1E-6 – 1E-4 (acceptable)</v>
      </c>
      <c r="K28" s="10" t="str">
        <f>INDEX(Health_Risk!$C$341:$C$354,MATCH(MAX(Health_Risk!$J$341:$J$354),Health_Risk!$J$341:$J$354,0))</f>
        <v>Heptachlor epoxide</v>
      </c>
      <c r="L28" s="11">
        <f>MAX(Health_Risk!$J$341:$J$354)/E28*100</f>
        <v>34.663770281444776</v>
      </c>
    </row>
    <row r="29" spans="1:12" ht="15" customHeight="1" x14ac:dyDescent="0.25">
      <c r="A29" s="10" t="s">
        <v>74</v>
      </c>
      <c r="B29" s="10" t="s">
        <v>170</v>
      </c>
      <c r="C29" s="18">
        <f>SUMIFS(Health_Risk!$H$5:$H$424,Health_Risk!$A$5:$A$424,$A29,Health_Risk!$B$5:$B$424,$B29)</f>
        <v>4.9418217663817668E-2</v>
      </c>
      <c r="D29" s="18">
        <f>SUMIFS(Health_Risk!$I$5:$I$424,Health_Risk!$A$5:$A$424,$A29,Health_Risk!$B$5:$B$424,$B29)</f>
        <v>3.436329238018733E-2</v>
      </c>
      <c r="E29" s="18">
        <f>SUMIFS(Health_Risk!$J$5:$J$424,Health_Risk!$A$5:$A$424,$A29,Health_Risk!$B$5:$B$424,$B29)</f>
        <v>8.3781510044004998E-2</v>
      </c>
      <c r="F29" s="10" t="str">
        <f t="shared" si="0"/>
        <v>Yes – no appreciable hazard</v>
      </c>
      <c r="G29" s="21">
        <f>SUMIFS(Health_Risk!$M$5:$M$424,Health_Risk!$A$5:$A$424,$A29,Health_Risk!$B$5:$B$424,$B29)</f>
        <v>1.5103094095238095E-6</v>
      </c>
      <c r="H29" s="21">
        <f>SUMIFS(Health_Risk!$N$5:$N$424,Health_Risk!$A$5:$A$424,$A29,Health_Risk!$B$5:$B$424,$B29)</f>
        <v>1.0306867690463743E-6</v>
      </c>
      <c r="I29" s="21">
        <f>SUMIFS(Health_Risk!$O$5:$O$424,Health_Risk!$A$5:$A$424,$A29,Health_Risk!$B$5:$B$424,$B29)</f>
        <v>2.5409961785701838E-6</v>
      </c>
      <c r="J29" s="10" t="str">
        <f t="shared" si="1"/>
        <v>Within 1E-6 – 1E-4 (acceptable)</v>
      </c>
      <c r="K29" s="10" t="str">
        <f>INDEX(Health_Risk!$C$355:$C$368,MATCH(MAX(Health_Risk!$J$355:$J$368),Health_Risk!$J$355:$J$368,0))</f>
        <v>Heptachlor epoxide</v>
      </c>
      <c r="L29" s="11">
        <f>MAX(Health_Risk!$J$355:$J$368)/E29*100</f>
        <v>32.49227350981166</v>
      </c>
    </row>
    <row r="30" spans="1:12" ht="15" customHeight="1" x14ac:dyDescent="0.25">
      <c r="A30" s="10" t="s">
        <v>78</v>
      </c>
      <c r="B30" s="10" t="s">
        <v>169</v>
      </c>
      <c r="C30" s="18">
        <f>SUMIFS(Health_Risk!$H$5:$H$424,Health_Risk!$A$5:$A$424,$A30,Health_Risk!$B$5:$B$424,$B30)</f>
        <v>2.5361537973137976E-2</v>
      </c>
      <c r="D30" s="18">
        <f>SUMIFS(Health_Risk!$I$5:$I$424,Health_Risk!$A$5:$A$424,$A30,Health_Risk!$B$5:$B$424,$B30)</f>
        <v>1.439738670379396E-2</v>
      </c>
      <c r="E30" s="18">
        <f>SUMIFS(Health_Risk!$J$5:$J$424,Health_Risk!$A$5:$A$424,$A30,Health_Risk!$B$5:$B$424,$B30)</f>
        <v>3.9758924676931942E-2</v>
      </c>
      <c r="F30" s="10" t="str">
        <f t="shared" si="0"/>
        <v>Yes – no appreciable hazard</v>
      </c>
      <c r="G30" s="21">
        <f>SUMIFS(Health_Risk!$M$5:$M$424,Health_Risk!$A$5:$A$424,$A30,Health_Risk!$B$5:$B$424,$B30)</f>
        <v>9.0339695238095237E-6</v>
      </c>
      <c r="H30" s="21">
        <f>SUMIFS(Health_Risk!$N$5:$N$424,Health_Risk!$A$5:$A$424,$A30,Health_Risk!$B$5:$B$424,$B30)</f>
        <v>5.0868227631456217E-6</v>
      </c>
      <c r="I30" s="21">
        <f>SUMIFS(Health_Risk!$O$5:$O$424,Health_Risk!$A$5:$A$424,$A30,Health_Risk!$B$5:$B$424,$B30)</f>
        <v>1.4120792286955147E-5</v>
      </c>
      <c r="J30" s="10" t="str">
        <f t="shared" si="1"/>
        <v>Within 1E-6 – 1E-4 (acceptable)</v>
      </c>
      <c r="K30" s="10" t="str">
        <f>INDEX(Health_Risk!$C$369:$C$382,MATCH(MAX(Health_Risk!$J$369:$J$382),Health_Risk!$J$369:$J$382,0))</f>
        <v>Heptachlor epoxide</v>
      </c>
      <c r="L30" s="11">
        <f>MAX(Health_Risk!$J$369:$J$382)/E30*100</f>
        <v>34.296595477032461</v>
      </c>
    </row>
    <row r="31" spans="1:12" ht="15" customHeight="1" x14ac:dyDescent="0.25">
      <c r="A31" s="10" t="s">
        <v>78</v>
      </c>
      <c r="B31" s="10" t="s">
        <v>170</v>
      </c>
      <c r="C31" s="18">
        <f>SUMIFS(Health_Risk!$H$5:$H$424,Health_Risk!$A$5:$A$424,$A31,Health_Risk!$B$5:$B$424,$B31)</f>
        <v>5.917692193732195E-2</v>
      </c>
      <c r="D31" s="18">
        <f>SUMIFS(Health_Risk!$I$5:$I$424,Health_Risk!$A$5:$A$424,$A31,Health_Risk!$B$5:$B$424,$B31)</f>
        <v>4.2475048896250388E-2</v>
      </c>
      <c r="E31" s="18">
        <f>SUMIFS(Health_Risk!$J$5:$J$424,Health_Risk!$A$5:$A$424,$A31,Health_Risk!$B$5:$B$424,$B31)</f>
        <v>0.10165197083357233</v>
      </c>
      <c r="F31" s="10" t="str">
        <f t="shared" si="0"/>
        <v>Yes – no appreciable hazard</v>
      </c>
      <c r="G31" s="21">
        <f>SUMIFS(Health_Risk!$M$5:$M$424,Health_Risk!$A$5:$A$424,$A31,Health_Risk!$B$5:$B$424,$B31)</f>
        <v>1.806793904761905E-6</v>
      </c>
      <c r="H31" s="21">
        <f>SUMIFS(Health_Risk!$N$5:$N$424,Health_Risk!$A$5:$A$424,$A31,Health_Risk!$B$5:$B$424,$B31)</f>
        <v>1.2863229975770539E-6</v>
      </c>
      <c r="I31" s="21">
        <f>SUMIFS(Health_Risk!$O$5:$O$424,Health_Risk!$A$5:$A$424,$A31,Health_Risk!$B$5:$B$424,$B31)</f>
        <v>3.0931169023389591E-6</v>
      </c>
      <c r="J31" s="10" t="str">
        <f t="shared" si="1"/>
        <v>Within 1E-6 – 1E-4 (acceptable)</v>
      </c>
      <c r="K31" s="10" t="str">
        <f>INDEX(Health_Risk!$C$383:$C$396,MATCH(MAX(Health_Risk!$J$383:$J$396),Health_Risk!$J$383:$J$396,0))</f>
        <v>Heptachlor epoxide</v>
      </c>
      <c r="L31" s="11">
        <f>MAX(Health_Risk!$J$383:$J$396)/E31*100</f>
        <v>32.091529906086585</v>
      </c>
    </row>
    <row r="32" spans="1:12" ht="15" customHeight="1" x14ac:dyDescent="0.25">
      <c r="A32" s="10" t="s">
        <v>82</v>
      </c>
      <c r="B32" s="10" t="s">
        <v>169</v>
      </c>
      <c r="C32" s="18">
        <f>SUMIFS(Health_Risk!$H$5:$H$424,Health_Risk!$A$5:$A$424,$A32,Health_Risk!$B$5:$B$424,$B32)</f>
        <v>3.8740807228327234E-2</v>
      </c>
      <c r="D32" s="18">
        <f>SUMIFS(Health_Risk!$I$5:$I$424,Health_Risk!$A$5:$A$424,$A32,Health_Risk!$B$5:$B$424,$B32)</f>
        <v>2.1512718334762006E-2</v>
      </c>
      <c r="E32" s="18">
        <f>SUMIFS(Health_Risk!$J$5:$J$424,Health_Risk!$A$5:$A$424,$A32,Health_Risk!$B$5:$B$424,$B32)</f>
        <v>6.0253525563089244E-2</v>
      </c>
      <c r="F32" s="10" t="str">
        <f t="shared" si="0"/>
        <v>Yes – no appreciable hazard</v>
      </c>
      <c r="G32" s="21">
        <f>SUMIFS(Health_Risk!$M$5:$M$424,Health_Risk!$A$5:$A$424,$A32,Health_Risk!$B$5:$B$424,$B32)</f>
        <v>1.3238066552380956E-5</v>
      </c>
      <c r="H32" s="21">
        <f>SUMIFS(Health_Risk!$N$5:$N$424,Health_Risk!$A$5:$A$424,$A32,Health_Risk!$B$5:$B$424,$B32)</f>
        <v>7.9268696106918463E-6</v>
      </c>
      <c r="I32" s="21">
        <f>SUMIFS(Health_Risk!$O$5:$O$424,Health_Risk!$A$5:$A$424,$A32,Health_Risk!$B$5:$B$424,$B32)</f>
        <v>2.1164936163072802E-5</v>
      </c>
      <c r="J32" s="10" t="str">
        <f t="shared" si="1"/>
        <v>Within 1E-6 – 1E-4 (acceptable)</v>
      </c>
      <c r="K32" s="10" t="str">
        <f>INDEX(Health_Risk!$C$397:$C$410,MATCH(MAX(Health_Risk!$J$397:$J$410),Health_Risk!$J$397:$J$410,0))</f>
        <v>Heptachlor epoxide</v>
      </c>
      <c r="L32" s="11">
        <f>MAX(Health_Risk!$J$397:$J$410)/E32*100</f>
        <v>35.397779412800737</v>
      </c>
    </row>
    <row r="33" spans="1:12" ht="15" customHeight="1" x14ac:dyDescent="0.25">
      <c r="A33" s="10" t="s">
        <v>82</v>
      </c>
      <c r="B33" s="10" t="s">
        <v>170</v>
      </c>
      <c r="C33" s="18">
        <f>SUMIFS(Health_Risk!$H$5:$H$424,Health_Risk!$A$5:$A$424,$A33,Health_Risk!$B$5:$B$424,$B33)</f>
        <v>9.0395216866096861E-2</v>
      </c>
      <c r="D33" s="18">
        <f>SUMIFS(Health_Risk!$I$5:$I$424,Health_Risk!$A$5:$A$424,$A33,Health_Risk!$B$5:$B$424,$B33)</f>
        <v>6.3466640297956886E-2</v>
      </c>
      <c r="E33" s="18">
        <f>SUMIFS(Health_Risk!$J$5:$J$424,Health_Risk!$A$5:$A$424,$A33,Health_Risk!$B$5:$B$424,$B33)</f>
        <v>0.15386185716405376</v>
      </c>
      <c r="F33" s="10" t="str">
        <f t="shared" si="0"/>
        <v>Yes – no appreciable hazard</v>
      </c>
      <c r="G33" s="21">
        <f>SUMIFS(Health_Risk!$M$5:$M$424,Health_Risk!$A$5:$A$424,$A33,Health_Risk!$B$5:$B$424,$B33)</f>
        <v>2.6476133104761906E-6</v>
      </c>
      <c r="H33" s="21">
        <f>SUMIFS(Health_Risk!$N$5:$N$424,Health_Risk!$A$5:$A$424,$A33,Health_Risk!$B$5:$B$424,$B33)</f>
        <v>2.0044957636232261E-6</v>
      </c>
      <c r="I33" s="21">
        <f>SUMIFS(Health_Risk!$O$5:$O$424,Health_Risk!$A$5:$A$424,$A33,Health_Risk!$B$5:$B$424,$B33)</f>
        <v>4.6521090740994167E-6</v>
      </c>
      <c r="J33" s="10" t="str">
        <f t="shared" si="1"/>
        <v>Within 1E-6 – 1E-4 (acceptable)</v>
      </c>
      <c r="K33" s="10" t="str">
        <f>INDEX(Health_Risk!$C$411:$C$424,MATCH(MAX(Health_Risk!$J$411:$J$424),Health_Risk!$J$411:$J$424,0))</f>
        <v>Heptachlor epoxide</v>
      </c>
      <c r="L33" s="11">
        <f>MAX(Health_Risk!$J$411:$J$424)/E33*100</f>
        <v>33.16256359689784</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37"/>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26" style="1" customWidth="1"/>
    <col min="2" max="2" width="7" style="1" customWidth="1"/>
    <col min="3" max="32" width="11" style="1" customWidth="1"/>
    <col min="33" max="33" width="24" style="1" customWidth="1"/>
  </cols>
  <sheetData>
    <row r="1" spans="1:33" ht="15.75" customHeight="1" x14ac:dyDescent="0.25">
      <c r="A1" s="9" t="s">
        <v>257</v>
      </c>
    </row>
    <row r="2" spans="1:33" ht="15" customHeight="1" x14ac:dyDescent="0.25">
      <c r="A2" s="20" t="s">
        <v>258</v>
      </c>
    </row>
    <row r="4" spans="1:33" ht="34.5" customHeight="1" x14ac:dyDescent="0.25">
      <c r="A4" s="5" t="s">
        <v>101</v>
      </c>
      <c r="B4" s="5" t="s">
        <v>102</v>
      </c>
      <c r="C4" s="5" t="s">
        <v>259</v>
      </c>
      <c r="D4" s="5" t="s">
        <v>260</v>
      </c>
      <c r="E4" s="5" t="s">
        <v>261</v>
      </c>
      <c r="F4" s="5" t="s">
        <v>262</v>
      </c>
      <c r="G4" s="5" t="s">
        <v>263</v>
      </c>
      <c r="H4" s="5" t="s">
        <v>264</v>
      </c>
      <c r="I4" s="5" t="s">
        <v>265</v>
      </c>
      <c r="J4" s="5" t="s">
        <v>266</v>
      </c>
      <c r="K4" s="5" t="s">
        <v>267</v>
      </c>
      <c r="L4" s="5" t="s">
        <v>268</v>
      </c>
      <c r="M4" s="5" t="s">
        <v>269</v>
      </c>
      <c r="N4" s="5" t="s">
        <v>270</v>
      </c>
      <c r="O4" s="5" t="s">
        <v>271</v>
      </c>
      <c r="P4" s="5" t="s">
        <v>272</v>
      </c>
      <c r="Q4" s="5" t="s">
        <v>273</v>
      </c>
      <c r="R4" s="5" t="s">
        <v>274</v>
      </c>
      <c r="S4" s="5" t="s">
        <v>275</v>
      </c>
      <c r="T4" s="5" t="s">
        <v>276</v>
      </c>
      <c r="U4" s="5" t="s">
        <v>277</v>
      </c>
      <c r="V4" s="5" t="s">
        <v>278</v>
      </c>
      <c r="W4" s="5" t="s">
        <v>279</v>
      </c>
      <c r="X4" s="5" t="s">
        <v>280</v>
      </c>
      <c r="Y4" s="5" t="s">
        <v>281</v>
      </c>
      <c r="Z4" s="5" t="s">
        <v>282</v>
      </c>
      <c r="AA4" s="5" t="s">
        <v>283</v>
      </c>
      <c r="AB4" s="5" t="s">
        <v>284</v>
      </c>
      <c r="AC4" s="5" t="s">
        <v>285</v>
      </c>
      <c r="AD4" s="5" t="s">
        <v>286</v>
      </c>
      <c r="AE4" s="5" t="s">
        <v>287</v>
      </c>
      <c r="AF4" s="5" t="s">
        <v>288</v>
      </c>
      <c r="AG4" s="5" t="s">
        <v>289</v>
      </c>
    </row>
    <row r="5" spans="1:33" ht="15" customHeight="1" x14ac:dyDescent="0.25">
      <c r="A5" s="10" t="s">
        <v>148</v>
      </c>
      <c r="B5" s="10" t="s">
        <v>149</v>
      </c>
      <c r="C5" s="8">
        <f>Zone_Site_Means!$D$4*Parameters!$B$4/Parameters!$G$21</f>
        <v>4.4101515151515152</v>
      </c>
      <c r="D5" s="8">
        <f>Zone_Site_Means!$E$4*Parameters!$B$4/Parameters!$G$22</f>
        <v>5.218399999999999</v>
      </c>
      <c r="E5" s="8">
        <f>Zone_Site_Means!$F$4*Parameters!$B$4/Parameters!$G$23</f>
        <v>3.7881515151515157</v>
      </c>
      <c r="F5" s="8">
        <f>Zone_Site_Means!$G$4*Parameters!$B$4/Parameters!$G$24</f>
        <v>4.7992424242424239</v>
      </c>
      <c r="G5" s="8">
        <f>Zone_Site_Means!$H$4*Parameters!$B$4/Parameters!$G$25</f>
        <v>6.236121212121212</v>
      </c>
      <c r="H5" s="8">
        <f>Zone_Site_Means!$I$4*Parameters!$B$4/Parameters!$G$26</f>
        <v>13.251939393939393</v>
      </c>
      <c r="I5" s="8">
        <f>Zone_Site_Means!$J$4*Parameters!$B$4/Parameters!$G$27</f>
        <v>0.2380568181818182</v>
      </c>
      <c r="J5" s="8">
        <f>Zone_Site_Means!$K$4*Parameters!$B$4/Parameters!$G$28</f>
        <v>0.43164090909090902</v>
      </c>
      <c r="K5" s="8">
        <f>Zone_Site_Means!$L$4*Parameters!$B$4/Parameters!$G$29</f>
        <v>0.20428484848484846</v>
      </c>
      <c r="L5" s="8">
        <f>Zone_Site_Means!$M$4*Parameters!$B$4/Parameters!$G$30</f>
        <v>0.20474045454545456</v>
      </c>
      <c r="M5" s="8">
        <f>Zone_Site_Means!$N$4*Parameters!$B$4/Parameters!$G$31</f>
        <v>0.56932515205339351</v>
      </c>
      <c r="N5" s="8">
        <f>Zone_Site_Means!$O$4*Parameters!$B$4/Parameters!$G$32</f>
        <v>0.98140151515151497</v>
      </c>
      <c r="O5" s="8">
        <f>Zone_Site_Means!$P$4*Parameters!$B$4/Parameters!$G$33</f>
        <v>0.65835725677830936</v>
      </c>
      <c r="P5" s="8">
        <f>Zone_Site_Means!$Q$4*Parameters!$B$4/Parameters!$G$34</f>
        <v>1.0535964912280702</v>
      </c>
      <c r="Q5" s="14">
        <f t="shared" ref="Q5:Q19" si="0">SUM(C5:P5)</f>
        <v>42.045409506120379</v>
      </c>
      <c r="R5" s="8">
        <f>Zone_Site_Means!$AH$4*Parameters!$B$4/Parameters!$G$21</f>
        <v>11.138</v>
      </c>
      <c r="S5" s="8">
        <f>Zone_Site_Means!$AI$4*Parameters!$B$4/Parameters!$G$22</f>
        <v>15.7972</v>
      </c>
      <c r="T5" s="8">
        <f>Zone_Site_Means!$AJ$4*Parameters!$B$4/Parameters!$G$23</f>
        <v>9.5459999999999994</v>
      </c>
      <c r="U5" s="8">
        <f>Zone_Site_Means!$AK$4*Parameters!$B$4/Parameters!$G$24</f>
        <v>10.612</v>
      </c>
      <c r="V5" s="8">
        <f>Zone_Site_Means!$AL$4*Parameters!$B$4/Parameters!$G$25</f>
        <v>9.9830000000000005</v>
      </c>
      <c r="W5" s="8">
        <f>Zone_Site_Means!$AM$4*Parameters!$B$4/Parameters!$G$26</f>
        <v>23.15</v>
      </c>
      <c r="X5" s="8">
        <f>Zone_Site_Means!$AN$4*Parameters!$B$4/Parameters!$G$27</f>
        <v>0.47184999999999994</v>
      </c>
      <c r="Y5" s="8">
        <f>Zone_Site_Means!$AO$4*Parameters!$B$4/Parameters!$G$28</f>
        <v>0.73089999999999999</v>
      </c>
      <c r="Z5" s="8">
        <f>Zone_Site_Means!$AP$4*Parameters!$B$4/Parameters!$G$29</f>
        <v>0.54759999999999998</v>
      </c>
      <c r="AA5" s="8">
        <f>Zone_Site_Means!$AQ$4*Parameters!$B$4/Parameters!$G$30</f>
        <v>0.73060000000000003</v>
      </c>
      <c r="AB5" s="8">
        <f>Zone_Site_Means!$AR$4*Parameters!$B$4/Parameters!$G$31</f>
        <v>1.6872499999999999</v>
      </c>
      <c r="AC5" s="8">
        <f>Zone_Site_Means!$AS$4*Parameters!$B$4/Parameters!$G$32</f>
        <v>2.3694999999999999</v>
      </c>
      <c r="AD5" s="8">
        <f>Zone_Site_Means!$AT$4*Parameters!$B$4/Parameters!$G$33</f>
        <v>1.8015789473684212</v>
      </c>
      <c r="AE5" s="8">
        <f>Zone_Site_Means!$AU$4*Parameters!$B$4/Parameters!$G$34</f>
        <v>2.6778947368421053</v>
      </c>
      <c r="AF5" s="14">
        <f t="shared" ref="AF5:AF19" si="1">SUM(R5:AE5)</f>
        <v>91.243373684210553</v>
      </c>
      <c r="AG5" s="10" t="str">
        <f t="shared" ref="AG5:AG19" si="2">SUBSTITUTE(INDEX($C$4:$P$4,MATCH(MAX(C5:P5),C5:P5,0)),"RQ mean ","")</f>
        <v>p,p'-DDE</v>
      </c>
    </row>
    <row r="6" spans="1:33" ht="15" customHeight="1" x14ac:dyDescent="0.25">
      <c r="A6" s="10" t="s">
        <v>39</v>
      </c>
      <c r="B6" s="10" t="s">
        <v>18</v>
      </c>
      <c r="C6" s="8">
        <f>Zone_Site_Means!$D$5*Parameters!$B$4/Parameters!$G$21</f>
        <v>2.6863333333333332</v>
      </c>
      <c r="D6" s="8">
        <f>Zone_Site_Means!$E$5*Parameters!$B$4/Parameters!$G$22</f>
        <v>3.2575555555555553</v>
      </c>
      <c r="E6" s="8">
        <f>Zone_Site_Means!$F$5*Parameters!$B$4/Parameters!$G$23</f>
        <v>1.9435555555555557</v>
      </c>
      <c r="F6" s="8">
        <f>Zone_Site_Means!$G$5*Parameters!$B$4/Parameters!$G$24</f>
        <v>2.5884444444444448</v>
      </c>
      <c r="G6" s="8">
        <f>Zone_Site_Means!$H$5*Parameters!$B$4/Parameters!$G$25</f>
        <v>4.9057777777777778</v>
      </c>
      <c r="H6" s="8">
        <f>Zone_Site_Means!$I$5*Parameters!$B$4/Parameters!$G$26</f>
        <v>8.9302222222222216</v>
      </c>
      <c r="I6" s="8">
        <f>Zone_Site_Means!$J$5*Parameters!$B$4/Parameters!$G$27</f>
        <v>0.17119999999999999</v>
      </c>
      <c r="J6" s="8">
        <f>Zone_Site_Means!$K$5*Parameters!$B$4/Parameters!$G$28</f>
        <v>0.30937777777777775</v>
      </c>
      <c r="K6" s="8">
        <f>Zone_Site_Means!$L$5*Parameters!$B$4/Parameters!$G$29</f>
        <v>0.12623333333333334</v>
      </c>
      <c r="L6" s="8">
        <f>Zone_Site_Means!$M$5*Parameters!$B$4/Parameters!$G$30</f>
        <v>7.9738888888888887E-2</v>
      </c>
      <c r="M6" s="8">
        <f>Zone_Site_Means!$N$5*Parameters!$B$4/Parameters!$G$31</f>
        <v>0.40336111111111111</v>
      </c>
      <c r="N6" s="8">
        <f>Zone_Site_Means!$O$5*Parameters!$B$4/Parameters!$G$32</f>
        <v>0.73263888888888884</v>
      </c>
      <c r="O6" s="8">
        <f>Zone_Site_Means!$P$5*Parameters!$B$4/Parameters!$G$33</f>
        <v>0.55751461988304085</v>
      </c>
      <c r="P6" s="8">
        <f>Zone_Site_Means!$Q$5*Parameters!$B$4/Parameters!$G$34</f>
        <v>0.85008771929824556</v>
      </c>
      <c r="Q6" s="14">
        <f t="shared" si="0"/>
        <v>27.542041228070168</v>
      </c>
      <c r="R6" s="8">
        <f>Zone_Site_Means!$AH$5*Parameters!$B$4/Parameters!$G$21</f>
        <v>6.0979999999999999</v>
      </c>
      <c r="S6" s="8">
        <f>Zone_Site_Means!$AI$5*Parameters!$B$4/Parameters!$G$22</f>
        <v>7.9909999999999997</v>
      </c>
      <c r="T6" s="8">
        <f>Zone_Site_Means!$AJ$5*Parameters!$B$4/Parameters!$G$23</f>
        <v>4.0670000000000002</v>
      </c>
      <c r="U6" s="8">
        <f>Zone_Site_Means!$AK$5*Parameters!$B$4/Parameters!$G$24</f>
        <v>5.2720000000000002</v>
      </c>
      <c r="V6" s="8">
        <f>Zone_Site_Means!$AL$5*Parameters!$B$4/Parameters!$G$25</f>
        <v>7.431</v>
      </c>
      <c r="W6" s="8">
        <f>Zone_Site_Means!$AM$5*Parameters!$B$4/Parameters!$G$26</f>
        <v>13.555999999999999</v>
      </c>
      <c r="X6" s="8">
        <f>Zone_Site_Means!$AN$5*Parameters!$B$4/Parameters!$G$27</f>
        <v>0.32350000000000001</v>
      </c>
      <c r="Y6" s="8">
        <f>Zone_Site_Means!$AO$5*Parameters!$B$4/Parameters!$G$28</f>
        <v>0.63554999999999995</v>
      </c>
      <c r="Z6" s="8">
        <f>Zone_Site_Means!$AP$5*Parameters!$B$4/Parameters!$G$29</f>
        <v>0.32869999999999999</v>
      </c>
      <c r="AA6" s="8">
        <f>Zone_Site_Means!$AQ$5*Parameters!$B$4/Parameters!$G$30</f>
        <v>0.19159999999999999</v>
      </c>
      <c r="AB6" s="8">
        <f>Zone_Site_Means!$AR$5*Parameters!$B$4/Parameters!$G$31</f>
        <v>1.079</v>
      </c>
      <c r="AC6" s="8">
        <f>Zone_Site_Means!$AS$5*Parameters!$B$4/Parameters!$G$32</f>
        <v>1.9370000000000001</v>
      </c>
      <c r="AD6" s="8">
        <f>Zone_Site_Means!$AT$5*Parameters!$B$4/Parameters!$G$33</f>
        <v>1.4176315789473684</v>
      </c>
      <c r="AE6" s="8">
        <f>Zone_Site_Means!$AU$5*Parameters!$B$4/Parameters!$G$34</f>
        <v>1.9313157894736845</v>
      </c>
      <c r="AF6" s="14">
        <f t="shared" si="1"/>
        <v>52.259297368421059</v>
      </c>
      <c r="AG6" s="10" t="str">
        <f t="shared" si="2"/>
        <v>p,p'-DDE</v>
      </c>
    </row>
    <row r="7" spans="1:33" ht="15" customHeight="1" x14ac:dyDescent="0.25">
      <c r="A7" s="10" t="s">
        <v>52</v>
      </c>
      <c r="B7" s="10" t="s">
        <v>18</v>
      </c>
      <c r="C7" s="8">
        <f>Zone_Site_Means!$D$6*Parameters!$B$4/Parameters!$G$21</f>
        <v>3.3127777777777774</v>
      </c>
      <c r="D7" s="8">
        <f>Zone_Site_Means!$E$6*Parameters!$B$4/Parameters!$G$22</f>
        <v>3.6304444444444437</v>
      </c>
      <c r="E7" s="8">
        <f>Zone_Site_Means!$F$6*Parameters!$B$4/Parameters!$G$23</f>
        <v>2.0500000000000003</v>
      </c>
      <c r="F7" s="8">
        <f>Zone_Site_Means!$G$6*Parameters!$B$4/Parameters!$G$24</f>
        <v>3.7487777777777782</v>
      </c>
      <c r="G7" s="8">
        <f>Zone_Site_Means!$H$6*Parameters!$B$4/Parameters!$G$25</f>
        <v>5.772222222222223</v>
      </c>
      <c r="H7" s="8">
        <f>Zone_Site_Means!$I$6*Parameters!$B$4/Parameters!$G$26</f>
        <v>12.331777777777779</v>
      </c>
      <c r="I7" s="8">
        <f>Zone_Site_Means!$J$6*Parameters!$B$4/Parameters!$G$27</f>
        <v>0.1709111111111111</v>
      </c>
      <c r="J7" s="8">
        <f>Zone_Site_Means!$K$6*Parameters!$B$4/Parameters!$G$28</f>
        <v>0.3196</v>
      </c>
      <c r="K7" s="8">
        <f>Zone_Site_Means!$L$6*Parameters!$B$4/Parameters!$G$29</f>
        <v>8.7033333333333338E-2</v>
      </c>
      <c r="L7" s="8">
        <f>Zone_Site_Means!$M$6*Parameters!$B$4/Parameters!$G$30</f>
        <v>0.10087611111111111</v>
      </c>
      <c r="M7" s="8">
        <f>Zone_Site_Means!$N$6*Parameters!$B$4/Parameters!$G$31</f>
        <v>0.29435889086244327</v>
      </c>
      <c r="N7" s="8">
        <f>Zone_Site_Means!$O$6*Parameters!$B$4/Parameters!$G$32</f>
        <v>0.70780555555555547</v>
      </c>
      <c r="O7" s="8">
        <f>Zone_Site_Means!$P$6*Parameters!$B$4/Parameters!$G$33</f>
        <v>0.31660818713450289</v>
      </c>
      <c r="P7" s="8">
        <f>Zone_Site_Means!$Q$6*Parameters!$B$4/Parameters!$G$34</f>
        <v>0.62403508771929828</v>
      </c>
      <c r="Q7" s="14">
        <f t="shared" si="0"/>
        <v>33.467228276827363</v>
      </c>
      <c r="R7" s="8">
        <f>Zone_Site_Means!$AH$6*Parameters!$B$4/Parameters!$G$21</f>
        <v>4.3520000000000003</v>
      </c>
      <c r="S7" s="8">
        <f>Zone_Site_Means!$AI$6*Parameters!$B$4/Parameters!$G$22</f>
        <v>4.3540000000000001</v>
      </c>
      <c r="T7" s="8">
        <f>Zone_Site_Means!$AJ$6*Parameters!$B$4/Parameters!$G$23</f>
        <v>3.7330000000000001</v>
      </c>
      <c r="U7" s="8">
        <f>Zone_Site_Means!$AK$6*Parameters!$B$4/Parameters!$G$24</f>
        <v>6.1479999999999997</v>
      </c>
      <c r="V7" s="8">
        <f>Zone_Site_Means!$AL$6*Parameters!$B$4/Parameters!$G$25</f>
        <v>7.4470000000000001</v>
      </c>
      <c r="W7" s="8">
        <f>Zone_Site_Means!$AM$6*Parameters!$B$4/Parameters!$G$26</f>
        <v>14.781000000000001</v>
      </c>
      <c r="X7" s="8">
        <f>Zone_Site_Means!$AN$6*Parameters!$B$4/Parameters!$G$27</f>
        <v>0.27599999999999997</v>
      </c>
      <c r="Y7" s="8">
        <f>Zone_Site_Means!$AO$6*Parameters!$B$4/Parameters!$G$28</f>
        <v>0.41559999999999997</v>
      </c>
      <c r="Z7" s="8">
        <f>Zone_Site_Means!$AP$6*Parameters!$B$4/Parameters!$G$29</f>
        <v>0.19359999999999999</v>
      </c>
      <c r="AA7" s="8">
        <f>Zone_Site_Means!$AQ$6*Parameters!$B$4/Parameters!$G$30</f>
        <v>0.16535</v>
      </c>
      <c r="AB7" s="8">
        <f>Zone_Site_Means!$AR$6*Parameters!$B$4/Parameters!$G$31</f>
        <v>0.49174999999999996</v>
      </c>
      <c r="AC7" s="8">
        <f>Zone_Site_Means!$AS$6*Parameters!$B$4/Parameters!$G$32</f>
        <v>0.91174999999999995</v>
      </c>
      <c r="AD7" s="8">
        <f>Zone_Site_Means!$AT$6*Parameters!$B$4/Parameters!$G$33</f>
        <v>0.59815789473684222</v>
      </c>
      <c r="AE7" s="8">
        <f>Zone_Site_Means!$AU$6*Parameters!$B$4/Parameters!$G$34</f>
        <v>1.0221052631578946</v>
      </c>
      <c r="AF7" s="14">
        <f t="shared" si="1"/>
        <v>44.889313157894733</v>
      </c>
      <c r="AG7" s="10" t="str">
        <f t="shared" si="2"/>
        <v>p,p'-DDE</v>
      </c>
    </row>
    <row r="8" spans="1:33" ht="15" customHeight="1" x14ac:dyDescent="0.25">
      <c r="A8" s="10" t="s">
        <v>65</v>
      </c>
      <c r="B8" s="10" t="s">
        <v>18</v>
      </c>
      <c r="C8" s="8">
        <f>Zone_Site_Means!$D$7*Parameters!$B$4/Parameters!$G$21</f>
        <v>6.1028666666666664</v>
      </c>
      <c r="D8" s="8">
        <f>Zone_Site_Means!$E$7*Parameters!$B$4/Parameters!$G$22</f>
        <v>7.3476799999999995</v>
      </c>
      <c r="E8" s="8">
        <f>Zone_Site_Means!$F$7*Parameters!$B$4/Parameters!$G$23</f>
        <v>5.9378000000000002</v>
      </c>
      <c r="F8" s="8">
        <f>Zone_Site_Means!$G$7*Parameters!$B$4/Parameters!$G$24</f>
        <v>6.7560000000000002</v>
      </c>
      <c r="G8" s="8">
        <f>Zone_Site_Means!$H$7*Parameters!$B$4/Parameters!$G$25</f>
        <v>7.3126666666666669</v>
      </c>
      <c r="H8" s="8">
        <f>Zone_Site_Means!$I$7*Parameters!$B$4/Parameters!$G$26</f>
        <v>16.397066666666671</v>
      </c>
      <c r="I8" s="8">
        <f>Zone_Site_Means!$J$7*Parameters!$B$4/Parameters!$G$27</f>
        <v>0.3184583333333334</v>
      </c>
      <c r="J8" s="8">
        <f>Zone_Site_Means!$K$7*Parameters!$B$4/Parameters!$G$28</f>
        <v>0.57222333333333331</v>
      </c>
      <c r="K8" s="8">
        <f>Zone_Site_Means!$L$7*Parameters!$B$4/Parameters!$G$29</f>
        <v>0.32146666666666662</v>
      </c>
      <c r="L8" s="8">
        <f>Zone_Site_Means!$M$7*Parameters!$B$4/Parameters!$G$30</f>
        <v>0.34205999999999992</v>
      </c>
      <c r="M8" s="8">
        <f>Zone_Site_Means!$N$7*Parameters!$B$4/Parameters!$G$31</f>
        <v>0.83388333333333331</v>
      </c>
      <c r="N8" s="8">
        <f>Zone_Site_Means!$O$7*Parameters!$B$4/Parameters!$G$32</f>
        <v>1.2948166666666665</v>
      </c>
      <c r="O8" s="8">
        <f>Zone_Site_Means!$P$7*Parameters!$B$4/Parameters!$G$33</f>
        <v>0.92391228070175435</v>
      </c>
      <c r="P8" s="8">
        <f>Zone_Site_Means!$Q$7*Parameters!$B$4/Parameters!$G$34</f>
        <v>1.4334385964912282</v>
      </c>
      <c r="Q8" s="14">
        <f t="shared" si="0"/>
        <v>55.894339210526326</v>
      </c>
      <c r="R8" s="8">
        <f>Zone_Site_Means!$AH$7*Parameters!$B$4/Parameters!$G$21</f>
        <v>11.138</v>
      </c>
      <c r="S8" s="8">
        <f>Zone_Site_Means!$AI$7*Parameters!$B$4/Parameters!$G$22</f>
        <v>15.7972</v>
      </c>
      <c r="T8" s="8">
        <f>Zone_Site_Means!$AJ$7*Parameters!$B$4/Parameters!$G$23</f>
        <v>9.5459999999999994</v>
      </c>
      <c r="U8" s="8">
        <f>Zone_Site_Means!$AK$7*Parameters!$B$4/Parameters!$G$24</f>
        <v>10.612</v>
      </c>
      <c r="V8" s="8">
        <f>Zone_Site_Means!$AL$7*Parameters!$B$4/Parameters!$G$25</f>
        <v>9.9830000000000005</v>
      </c>
      <c r="W8" s="8">
        <f>Zone_Site_Means!$AM$7*Parameters!$B$4/Parameters!$G$26</f>
        <v>23.15</v>
      </c>
      <c r="X8" s="8">
        <f>Zone_Site_Means!$AN$7*Parameters!$B$4/Parameters!$G$27</f>
        <v>0.47184999999999994</v>
      </c>
      <c r="Y8" s="8">
        <f>Zone_Site_Means!$AO$7*Parameters!$B$4/Parameters!$G$28</f>
        <v>0.73089999999999999</v>
      </c>
      <c r="Z8" s="8">
        <f>Zone_Site_Means!$AP$7*Parameters!$B$4/Parameters!$G$29</f>
        <v>0.54759999999999998</v>
      </c>
      <c r="AA8" s="8">
        <f>Zone_Site_Means!$AQ$7*Parameters!$B$4/Parameters!$G$30</f>
        <v>0.73060000000000003</v>
      </c>
      <c r="AB8" s="8">
        <f>Zone_Site_Means!$AR$7*Parameters!$B$4/Parameters!$G$31</f>
        <v>1.6872499999999999</v>
      </c>
      <c r="AC8" s="8">
        <f>Zone_Site_Means!$AS$7*Parameters!$B$4/Parameters!$G$32</f>
        <v>2.3694999999999999</v>
      </c>
      <c r="AD8" s="8">
        <f>Zone_Site_Means!$AT$7*Parameters!$B$4/Parameters!$G$33</f>
        <v>1.8015789473684212</v>
      </c>
      <c r="AE8" s="8">
        <f>Zone_Site_Means!$AU$7*Parameters!$B$4/Parameters!$G$34</f>
        <v>2.6778947368421053</v>
      </c>
      <c r="AF8" s="14">
        <f t="shared" si="1"/>
        <v>91.243373684210553</v>
      </c>
      <c r="AG8" s="10" t="str">
        <f t="shared" si="2"/>
        <v>p,p'-DDE</v>
      </c>
    </row>
    <row r="9" spans="1:33" ht="15" customHeight="1" x14ac:dyDescent="0.25">
      <c r="A9" s="10" t="s">
        <v>40</v>
      </c>
      <c r="B9" s="10" t="s">
        <v>19</v>
      </c>
      <c r="C9" s="8">
        <f>Zone_Site_Means!$D$8*Parameters!$B$4/Parameters!$G$21</f>
        <v>1.83</v>
      </c>
      <c r="D9" s="8">
        <f>Zone_Site_Means!$E$8*Parameters!$B$4/Parameters!$G$22</f>
        <v>2.4656666666666669</v>
      </c>
      <c r="E9" s="8">
        <f>Zone_Site_Means!$F$8*Parameters!$B$4/Parameters!$G$23</f>
        <v>1.9063333333333334</v>
      </c>
      <c r="F9" s="8">
        <f>Zone_Site_Means!$G$8*Parameters!$B$4/Parameters!$G$24</f>
        <v>3.0326666666666671</v>
      </c>
      <c r="G9" s="8">
        <f>Zone_Site_Means!$H$8*Parameters!$B$4/Parameters!$G$25</f>
        <v>4.4896666666666674</v>
      </c>
      <c r="H9" s="8">
        <f>Zone_Site_Means!$I$8*Parameters!$B$4/Parameters!$G$26</f>
        <v>7.6759999999999993</v>
      </c>
      <c r="I9" s="8">
        <f>Zone_Site_Means!$J$8*Parameters!$B$4/Parameters!$G$27</f>
        <v>0.1376</v>
      </c>
      <c r="J9" s="8">
        <f>Zone_Site_Means!$K$8*Parameters!$B$4/Parameters!$G$28</f>
        <v>0.20603333333333329</v>
      </c>
      <c r="K9" s="8">
        <f>Zone_Site_Means!$L$8*Parameters!$B$4/Parameters!$G$29</f>
        <v>0.05</v>
      </c>
      <c r="L9" s="8">
        <f>Zone_Site_Means!$M$8*Parameters!$B$4/Parameters!$G$30</f>
        <v>2.5000000000000001E-2</v>
      </c>
      <c r="M9" s="8">
        <f>Zone_Site_Means!$N$8*Parameters!$B$4/Parameters!$G$31</f>
        <v>0.125</v>
      </c>
      <c r="N9" s="8">
        <f>Zone_Site_Means!$O$8*Parameters!$B$4/Parameters!$G$32</f>
        <v>0.35749999999999998</v>
      </c>
      <c r="O9" s="8">
        <f>Zone_Site_Means!$P$8*Parameters!$B$4/Parameters!$G$33</f>
        <v>0.13157894736842105</v>
      </c>
      <c r="P9" s="8">
        <f>Zone_Site_Means!$Q$8*Parameters!$B$4/Parameters!$G$34</f>
        <v>0.51666666666666672</v>
      </c>
      <c r="Q9" s="14">
        <f t="shared" si="0"/>
        <v>22.949712280701753</v>
      </c>
      <c r="R9" s="8">
        <f>Zone_Site_Means!$AH$8*Parameters!$B$4/Parameters!$G$21</f>
        <v>2.2709999999999999</v>
      </c>
      <c r="S9" s="8">
        <f>Zone_Site_Means!$AI$8*Parameters!$B$4/Parameters!$G$22</f>
        <v>2.887</v>
      </c>
      <c r="T9" s="8">
        <f>Zone_Site_Means!$AJ$8*Parameters!$B$4/Parameters!$G$23</f>
        <v>2.2130000000000001</v>
      </c>
      <c r="U9" s="8">
        <f>Zone_Site_Means!$AK$8*Parameters!$B$4/Parameters!$G$24</f>
        <v>3.8130000000000002</v>
      </c>
      <c r="V9" s="8">
        <f>Zone_Site_Means!$AL$8*Parameters!$B$4/Parameters!$G$25</f>
        <v>5.1340000000000003</v>
      </c>
      <c r="W9" s="8">
        <f>Zone_Site_Means!$AM$8*Parameters!$B$4/Parameters!$G$26</f>
        <v>8.5429999999999993</v>
      </c>
      <c r="X9" s="8">
        <f>Zone_Site_Means!$AN$8*Parameters!$B$4/Parameters!$G$27</f>
        <v>0.14045000000000002</v>
      </c>
      <c r="Y9" s="8">
        <f>Zone_Site_Means!$AO$8*Parameters!$B$4/Parameters!$G$28</f>
        <v>0.26644999999999996</v>
      </c>
      <c r="Z9" s="8">
        <f>Zone_Site_Means!$AP$8*Parameters!$B$4/Parameters!$G$29</f>
        <v>0.05</v>
      </c>
      <c r="AA9" s="8">
        <f>Zone_Site_Means!$AQ$8*Parameters!$B$4/Parameters!$G$30</f>
        <v>2.5000000000000001E-2</v>
      </c>
      <c r="AB9" s="8">
        <f>Zone_Site_Means!$AR$8*Parameters!$B$4/Parameters!$G$31</f>
        <v>0.125</v>
      </c>
      <c r="AC9" s="8">
        <f>Zone_Site_Means!$AS$8*Parameters!$B$4/Parameters!$G$32</f>
        <v>0.38550000000000001</v>
      </c>
      <c r="AD9" s="8">
        <f>Zone_Site_Means!$AT$8*Parameters!$B$4/Parameters!$G$33</f>
        <v>0.13157894736842105</v>
      </c>
      <c r="AE9" s="8">
        <f>Zone_Site_Means!$AU$8*Parameters!$B$4/Parameters!$G$34</f>
        <v>0.5831578947368421</v>
      </c>
      <c r="AF9" s="14">
        <f t="shared" si="1"/>
        <v>26.568136842105261</v>
      </c>
      <c r="AG9" s="10" t="str">
        <f t="shared" si="2"/>
        <v>p,p'-DDE</v>
      </c>
    </row>
    <row r="10" spans="1:33" ht="15" customHeight="1" x14ac:dyDescent="0.25">
      <c r="A10" s="10" t="s">
        <v>44</v>
      </c>
      <c r="B10" s="10" t="s">
        <v>19</v>
      </c>
      <c r="C10" s="8">
        <f>Zone_Site_Means!$D$9*Parameters!$B$4/Parameters!$G$21</f>
        <v>0.5</v>
      </c>
      <c r="D10" s="8">
        <f>Zone_Site_Means!$E$9*Parameters!$B$4/Parameters!$G$22</f>
        <v>0.5</v>
      </c>
      <c r="E10" s="8">
        <f>Zone_Site_Means!$F$9*Parameters!$B$4/Parameters!$G$23</f>
        <v>0.5</v>
      </c>
      <c r="F10" s="8">
        <f>Zone_Site_Means!$G$9*Parameters!$B$4/Parameters!$G$24</f>
        <v>0.5</v>
      </c>
      <c r="G10" s="8">
        <f>Zone_Site_Means!$H$9*Parameters!$B$4/Parameters!$G$25</f>
        <v>2.8270000000000004</v>
      </c>
      <c r="H10" s="8">
        <f>Zone_Site_Means!$I$9*Parameters!$B$4/Parameters!$G$26</f>
        <v>5.8826666666666663</v>
      </c>
      <c r="I10" s="8">
        <f>Zone_Site_Means!$J$9*Parameters!$B$4/Parameters!$G$27</f>
        <v>7.1050000000000002E-2</v>
      </c>
      <c r="J10" s="8">
        <f>Zone_Site_Means!$K$9*Parameters!$B$4/Parameters!$G$28</f>
        <v>0.12188333333333334</v>
      </c>
      <c r="K10" s="8">
        <f>Zone_Site_Means!$L$9*Parameters!$B$4/Parameters!$G$29</f>
        <v>0.05</v>
      </c>
      <c r="L10" s="8">
        <f>Zone_Site_Means!$M$9*Parameters!$B$4/Parameters!$G$30</f>
        <v>2.5000000000000001E-2</v>
      </c>
      <c r="M10" s="8">
        <f>Zone_Site_Means!$N$9*Parameters!$B$4/Parameters!$G$31</f>
        <v>0.125</v>
      </c>
      <c r="N10" s="8">
        <f>Zone_Site_Means!$O$9*Parameters!$B$4/Parameters!$G$32</f>
        <v>0.125</v>
      </c>
      <c r="O10" s="8">
        <f>Zone_Site_Means!$P$9*Parameters!$B$4/Parameters!$G$33</f>
        <v>0.13157894736842105</v>
      </c>
      <c r="P10" s="8">
        <f>Zone_Site_Means!$Q$9*Parameters!$B$4/Parameters!$G$34</f>
        <v>0.13157894736842105</v>
      </c>
      <c r="Q10" s="14">
        <f t="shared" si="0"/>
        <v>11.490757894736843</v>
      </c>
      <c r="R10" s="8">
        <f>Zone_Site_Means!$AH$9*Parameters!$B$4/Parameters!$G$21</f>
        <v>0.5</v>
      </c>
      <c r="S10" s="8">
        <f>Zone_Site_Means!$AI$9*Parameters!$B$4/Parameters!$G$22</f>
        <v>0.5</v>
      </c>
      <c r="T10" s="8">
        <f>Zone_Site_Means!$AJ$9*Parameters!$B$4/Parameters!$G$23</f>
        <v>0.5</v>
      </c>
      <c r="U10" s="8">
        <f>Zone_Site_Means!$AK$9*Parameters!$B$4/Parameters!$G$24</f>
        <v>0.5</v>
      </c>
      <c r="V10" s="8">
        <f>Zone_Site_Means!$AL$9*Parameters!$B$4/Parameters!$G$25</f>
        <v>2.9590000000000001</v>
      </c>
      <c r="W10" s="8">
        <f>Zone_Site_Means!$AM$9*Parameters!$B$4/Parameters!$G$26</f>
        <v>6.1379999999999999</v>
      </c>
      <c r="X10" s="8">
        <f>Zone_Site_Means!$AN$9*Parameters!$B$4/Parameters!$G$27</f>
        <v>7.3550000000000004E-2</v>
      </c>
      <c r="Y10" s="8">
        <f>Zone_Site_Means!$AO$9*Parameters!$B$4/Parameters!$G$28</f>
        <v>0.14679999999999999</v>
      </c>
      <c r="Z10" s="8">
        <f>Zone_Site_Means!$AP$9*Parameters!$B$4/Parameters!$G$29</f>
        <v>0.05</v>
      </c>
      <c r="AA10" s="8">
        <f>Zone_Site_Means!$AQ$9*Parameters!$B$4/Parameters!$G$30</f>
        <v>2.5000000000000001E-2</v>
      </c>
      <c r="AB10" s="8">
        <f>Zone_Site_Means!$AR$9*Parameters!$B$4/Parameters!$G$31</f>
        <v>0.125</v>
      </c>
      <c r="AC10" s="8">
        <f>Zone_Site_Means!$AS$9*Parameters!$B$4/Parameters!$G$32</f>
        <v>0.125</v>
      </c>
      <c r="AD10" s="8">
        <f>Zone_Site_Means!$AT$9*Parameters!$B$4/Parameters!$G$33</f>
        <v>0.13157894736842105</v>
      </c>
      <c r="AE10" s="8">
        <f>Zone_Site_Means!$AU$9*Parameters!$B$4/Parameters!$G$34</f>
        <v>0.13157894736842105</v>
      </c>
      <c r="AF10" s="14">
        <f t="shared" si="1"/>
        <v>11.905507894736843</v>
      </c>
      <c r="AG10" s="10" t="str">
        <f t="shared" si="2"/>
        <v>p,p'-DDE</v>
      </c>
    </row>
    <row r="11" spans="1:33" ht="15" customHeight="1" x14ac:dyDescent="0.25">
      <c r="A11" s="10" t="s">
        <v>48</v>
      </c>
      <c r="B11" s="10" t="s">
        <v>19</v>
      </c>
      <c r="C11" s="8">
        <f>Zone_Site_Means!$D$10*Parameters!$B$4/Parameters!$G$21</f>
        <v>5.7290000000000001</v>
      </c>
      <c r="D11" s="8">
        <f>Zone_Site_Means!$E$10*Parameters!$B$4/Parameters!$G$22</f>
        <v>6.8069999999999995</v>
      </c>
      <c r="E11" s="8">
        <f>Zone_Site_Means!$F$10*Parameters!$B$4/Parameters!$G$23</f>
        <v>3.4243333333333332</v>
      </c>
      <c r="F11" s="8">
        <f>Zone_Site_Means!$G$10*Parameters!$B$4/Parameters!$G$24</f>
        <v>4.2326666666666668</v>
      </c>
      <c r="G11" s="8">
        <f>Zone_Site_Means!$H$10*Parameters!$B$4/Parameters!$G$25</f>
        <v>7.4006666666666661</v>
      </c>
      <c r="H11" s="8">
        <f>Zone_Site_Means!$I$10*Parameters!$B$4/Parameters!$G$26</f>
        <v>13.231999999999999</v>
      </c>
      <c r="I11" s="8">
        <f>Zone_Site_Means!$J$10*Parameters!$B$4/Parameters!$G$27</f>
        <v>0.30495</v>
      </c>
      <c r="J11" s="8">
        <f>Zone_Site_Means!$K$10*Parameters!$B$4/Parameters!$G$28</f>
        <v>0.60021666666666673</v>
      </c>
      <c r="K11" s="8">
        <f>Zone_Site_Means!$L$10*Parameters!$B$4/Parameters!$G$29</f>
        <v>0.27869999999999995</v>
      </c>
      <c r="L11" s="8">
        <f>Zone_Site_Means!$M$10*Parameters!$B$4/Parameters!$G$30</f>
        <v>0.1892166666666667</v>
      </c>
      <c r="M11" s="8">
        <f>Zone_Site_Means!$N$10*Parameters!$B$4/Parameters!$G$31</f>
        <v>0.9600833333333334</v>
      </c>
      <c r="N11" s="8">
        <f>Zone_Site_Means!$O$10*Parameters!$B$4/Parameters!$G$32</f>
        <v>1.7154166666666668</v>
      </c>
      <c r="O11" s="8">
        <f>Zone_Site_Means!$P$10*Parameters!$B$4/Parameters!$G$33</f>
        <v>1.4093859649122809</v>
      </c>
      <c r="P11" s="8">
        <f>Zone_Site_Means!$Q$10*Parameters!$B$4/Parameters!$G$34</f>
        <v>1.9020175438596492</v>
      </c>
      <c r="Q11" s="14">
        <f t="shared" si="0"/>
        <v>48.185653508771935</v>
      </c>
      <c r="R11" s="8">
        <f>Zone_Site_Means!$AH$10*Parameters!$B$4/Parameters!$G$21</f>
        <v>6.0979999999999999</v>
      </c>
      <c r="S11" s="8">
        <f>Zone_Site_Means!$AI$10*Parameters!$B$4/Parameters!$G$22</f>
        <v>7.9909999999999997</v>
      </c>
      <c r="T11" s="8">
        <f>Zone_Site_Means!$AJ$10*Parameters!$B$4/Parameters!$G$23</f>
        <v>4.0670000000000002</v>
      </c>
      <c r="U11" s="8">
        <f>Zone_Site_Means!$AK$10*Parameters!$B$4/Parameters!$G$24</f>
        <v>5.2720000000000002</v>
      </c>
      <c r="V11" s="8">
        <f>Zone_Site_Means!$AL$10*Parameters!$B$4/Parameters!$G$25</f>
        <v>7.431</v>
      </c>
      <c r="W11" s="8">
        <f>Zone_Site_Means!$AM$10*Parameters!$B$4/Parameters!$G$26</f>
        <v>13.555999999999999</v>
      </c>
      <c r="X11" s="8">
        <f>Zone_Site_Means!$AN$10*Parameters!$B$4/Parameters!$G$27</f>
        <v>0.32350000000000001</v>
      </c>
      <c r="Y11" s="8">
        <f>Zone_Site_Means!$AO$10*Parameters!$B$4/Parameters!$G$28</f>
        <v>0.63554999999999995</v>
      </c>
      <c r="Z11" s="8">
        <f>Zone_Site_Means!$AP$10*Parameters!$B$4/Parameters!$G$29</f>
        <v>0.32869999999999999</v>
      </c>
      <c r="AA11" s="8">
        <f>Zone_Site_Means!$AQ$10*Parameters!$B$4/Parameters!$G$30</f>
        <v>0.19159999999999999</v>
      </c>
      <c r="AB11" s="8">
        <f>Zone_Site_Means!$AR$10*Parameters!$B$4/Parameters!$G$31</f>
        <v>1.079</v>
      </c>
      <c r="AC11" s="8">
        <f>Zone_Site_Means!$AS$10*Parameters!$B$4/Parameters!$G$32</f>
        <v>1.9370000000000001</v>
      </c>
      <c r="AD11" s="8">
        <f>Zone_Site_Means!$AT$10*Parameters!$B$4/Parameters!$G$33</f>
        <v>1.4176315789473684</v>
      </c>
      <c r="AE11" s="8">
        <f>Zone_Site_Means!$AU$10*Parameters!$B$4/Parameters!$G$34</f>
        <v>1.9313157894736845</v>
      </c>
      <c r="AF11" s="14">
        <f t="shared" si="1"/>
        <v>52.259297368421059</v>
      </c>
      <c r="AG11" s="10" t="str">
        <f t="shared" si="2"/>
        <v>p,p'-DDE</v>
      </c>
    </row>
    <row r="12" spans="1:33" ht="15" customHeight="1" x14ac:dyDescent="0.25">
      <c r="A12" s="10" t="s">
        <v>53</v>
      </c>
      <c r="B12" s="10" t="s">
        <v>19</v>
      </c>
      <c r="C12" s="8">
        <f>Zone_Site_Means!$D$11*Parameters!$B$4/Parameters!$G$21</f>
        <v>3.1116666666666664</v>
      </c>
      <c r="D12" s="8">
        <f>Zone_Site_Means!$E$11*Parameters!$B$4/Parameters!$G$22</f>
        <v>3.66</v>
      </c>
      <c r="E12" s="8">
        <f>Zone_Site_Means!$F$11*Parameters!$B$4/Parameters!$G$23</f>
        <v>0.5</v>
      </c>
      <c r="F12" s="8">
        <f>Zone_Site_Means!$G$11*Parameters!$B$4/Parameters!$G$24</f>
        <v>4.3803333333333336</v>
      </c>
      <c r="G12" s="8">
        <f>Zone_Site_Means!$H$11*Parameters!$B$4/Parameters!$G$25</f>
        <v>5.2546666666666662</v>
      </c>
      <c r="H12" s="8">
        <f>Zone_Site_Means!$I$11*Parameters!$B$4/Parameters!$G$26</f>
        <v>9.2416666666666671</v>
      </c>
      <c r="I12" s="8">
        <f>Zone_Site_Means!$J$11*Parameters!$B$4/Parameters!$G$27</f>
        <v>0.12871666666666665</v>
      </c>
      <c r="J12" s="8">
        <f>Zone_Site_Means!$K$11*Parameters!$B$4/Parameters!$G$28</f>
        <v>0.25008333333333332</v>
      </c>
      <c r="K12" s="8">
        <f>Zone_Site_Means!$L$11*Parameters!$B$4/Parameters!$G$29</f>
        <v>0.05</v>
      </c>
      <c r="L12" s="8">
        <f>Zone_Site_Means!$M$11*Parameters!$B$4/Parameters!$G$30</f>
        <v>2.5000000000000001E-2</v>
      </c>
      <c r="M12" s="8">
        <f>Zone_Site_Means!$N$11*Parameters!$B$4/Parameters!$G$31</f>
        <v>0.34424333925399647</v>
      </c>
      <c r="N12" s="8">
        <f>Zone_Site_Means!$O$11*Parameters!$B$4/Parameters!$G$32</f>
        <v>0.81866666666666665</v>
      </c>
      <c r="O12" s="8">
        <f>Zone_Site_Means!$P$11*Parameters!$B$4/Parameters!$G$33</f>
        <v>0.13157894736842105</v>
      </c>
      <c r="P12" s="8">
        <f>Zone_Site_Means!$Q$11*Parameters!$B$4/Parameters!$G$34</f>
        <v>0.13157894736842105</v>
      </c>
      <c r="Q12" s="14">
        <f t="shared" si="0"/>
        <v>28.028201233990835</v>
      </c>
      <c r="R12" s="8">
        <f>Zone_Site_Means!$AH$11*Parameters!$B$4/Parameters!$G$21</f>
        <v>3.4529999999999998</v>
      </c>
      <c r="S12" s="8">
        <f>Zone_Site_Means!$AI$11*Parameters!$B$4/Parameters!$G$22</f>
        <v>4.0430000000000001</v>
      </c>
      <c r="T12" s="8">
        <f>Zone_Site_Means!$AJ$11*Parameters!$B$4/Parameters!$G$23</f>
        <v>0.5</v>
      </c>
      <c r="U12" s="8">
        <f>Zone_Site_Means!$AK$11*Parameters!$B$4/Parameters!$G$24</f>
        <v>6.1479999999999997</v>
      </c>
      <c r="V12" s="8">
        <f>Zone_Site_Means!$AL$11*Parameters!$B$4/Parameters!$G$25</f>
        <v>5.556</v>
      </c>
      <c r="W12" s="8">
        <f>Zone_Site_Means!$AM$11*Parameters!$B$4/Parameters!$G$26</f>
        <v>11.814</v>
      </c>
      <c r="X12" s="8">
        <f>Zone_Site_Means!$AN$11*Parameters!$B$4/Parameters!$G$27</f>
        <v>0.1696</v>
      </c>
      <c r="Y12" s="8">
        <f>Zone_Site_Means!$AO$11*Parameters!$B$4/Parameters!$G$28</f>
        <v>0.33005000000000001</v>
      </c>
      <c r="Z12" s="8">
        <f>Zone_Site_Means!$AP$11*Parameters!$B$4/Parameters!$G$29</f>
        <v>0.05</v>
      </c>
      <c r="AA12" s="8">
        <f>Zone_Site_Means!$AQ$11*Parameters!$B$4/Parameters!$G$30</f>
        <v>2.5000000000000001E-2</v>
      </c>
      <c r="AB12" s="8">
        <f>Zone_Site_Means!$AR$11*Parameters!$B$4/Parameters!$G$31</f>
        <v>0.47899999999999998</v>
      </c>
      <c r="AC12" s="8">
        <f>Zone_Site_Means!$AS$11*Parameters!$B$4/Parameters!$G$32</f>
        <v>0.91174999999999995</v>
      </c>
      <c r="AD12" s="8">
        <f>Zone_Site_Means!$AT$11*Parameters!$B$4/Parameters!$G$33</f>
        <v>0.13157894736842105</v>
      </c>
      <c r="AE12" s="8">
        <f>Zone_Site_Means!$AU$11*Parameters!$B$4/Parameters!$G$34</f>
        <v>0.13157894736842105</v>
      </c>
      <c r="AF12" s="14">
        <f t="shared" si="1"/>
        <v>33.742557894736827</v>
      </c>
      <c r="AG12" s="10" t="str">
        <f t="shared" si="2"/>
        <v>p,p'-DDE</v>
      </c>
    </row>
    <row r="13" spans="1:33" ht="15" customHeight="1" x14ac:dyDescent="0.25">
      <c r="A13" s="10" t="s">
        <v>57</v>
      </c>
      <c r="B13" s="10" t="s">
        <v>19</v>
      </c>
      <c r="C13" s="8">
        <f>Zone_Site_Means!$D$12*Parameters!$B$4/Parameters!$G$21</f>
        <v>3.2749999999999999</v>
      </c>
      <c r="D13" s="8">
        <f>Zone_Site_Means!$E$12*Parameters!$B$4/Parameters!$G$22</f>
        <v>3.0049999999999994</v>
      </c>
      <c r="E13" s="8">
        <f>Zone_Site_Means!$F$12*Parameters!$B$4/Parameters!$G$23</f>
        <v>2.234</v>
      </c>
      <c r="F13" s="8">
        <f>Zone_Site_Means!$G$12*Parameters!$B$4/Parameters!$G$24</f>
        <v>3.0563333333333333</v>
      </c>
      <c r="G13" s="8">
        <f>Zone_Site_Means!$H$12*Parameters!$B$4/Parameters!$G$25</f>
        <v>5.9289999999999994</v>
      </c>
      <c r="H13" s="8">
        <f>Zone_Site_Means!$I$12*Parameters!$B$4/Parameters!$G$26</f>
        <v>13.360333333333335</v>
      </c>
      <c r="I13" s="8">
        <f>Zone_Site_Means!$J$12*Parameters!$B$4/Parameters!$G$27</f>
        <v>0.16470000000000001</v>
      </c>
      <c r="J13" s="8">
        <f>Zone_Site_Means!$K$12*Parameters!$B$4/Parameters!$G$28</f>
        <v>0.32605000000000001</v>
      </c>
      <c r="K13" s="8">
        <f>Zone_Site_Means!$L$12*Parameters!$B$4/Parameters!$G$29</f>
        <v>0.05</v>
      </c>
      <c r="L13" s="8">
        <f>Zone_Site_Means!$M$12*Parameters!$B$4/Parameters!$G$30</f>
        <v>0.13062833333333332</v>
      </c>
      <c r="M13" s="8">
        <f>Zone_Site_Means!$N$12*Parameters!$B$4/Parameters!$G$31</f>
        <v>0.125</v>
      </c>
      <c r="N13" s="8">
        <f>Zone_Site_Means!$O$12*Parameters!$B$4/Parameters!$G$32</f>
        <v>0.48291666666666666</v>
      </c>
      <c r="O13" s="8">
        <f>Zone_Site_Means!$P$12*Parameters!$B$4/Parameters!$G$33</f>
        <v>0.3340350877192983</v>
      </c>
      <c r="P13" s="8">
        <f>Zone_Site_Means!$Q$12*Parameters!$B$4/Parameters!$G$34</f>
        <v>0.90850877192982471</v>
      </c>
      <c r="Q13" s="14">
        <f t="shared" si="0"/>
        <v>33.381505526315792</v>
      </c>
      <c r="R13" s="8">
        <f>Zone_Site_Means!$AH$12*Parameters!$B$4/Parameters!$G$21</f>
        <v>4.3520000000000003</v>
      </c>
      <c r="S13" s="8">
        <f>Zone_Site_Means!$AI$12*Parameters!$B$4/Parameters!$G$22</f>
        <v>3.5459999999999998</v>
      </c>
      <c r="T13" s="8">
        <f>Zone_Site_Means!$AJ$12*Parameters!$B$4/Parameters!$G$23</f>
        <v>2.3639999999999999</v>
      </c>
      <c r="U13" s="8">
        <f>Zone_Site_Means!$AK$12*Parameters!$B$4/Parameters!$G$24</f>
        <v>3.4119999999999999</v>
      </c>
      <c r="V13" s="8">
        <f>Zone_Site_Means!$AL$12*Parameters!$B$4/Parameters!$G$25</f>
        <v>6.3019999999999996</v>
      </c>
      <c r="W13" s="8">
        <f>Zone_Site_Means!$AM$12*Parameters!$B$4/Parameters!$G$26</f>
        <v>13.930999999999999</v>
      </c>
      <c r="X13" s="8">
        <f>Zone_Site_Means!$AN$12*Parameters!$B$4/Parameters!$G$27</f>
        <v>0.20634999999999998</v>
      </c>
      <c r="Y13" s="8">
        <f>Zone_Site_Means!$AO$12*Parameters!$B$4/Parameters!$G$28</f>
        <v>0.4078</v>
      </c>
      <c r="Z13" s="8">
        <f>Zone_Site_Means!$AP$12*Parameters!$B$4/Parameters!$G$29</f>
        <v>0.05</v>
      </c>
      <c r="AA13" s="8">
        <f>Zone_Site_Means!$AQ$12*Parameters!$B$4/Parameters!$G$30</f>
        <v>0.13364999999999999</v>
      </c>
      <c r="AB13" s="8">
        <f>Zone_Site_Means!$AR$12*Parameters!$B$4/Parameters!$G$31</f>
        <v>0.125</v>
      </c>
      <c r="AC13" s="8">
        <f>Zone_Site_Means!$AS$12*Parameters!$B$4/Parameters!$G$32</f>
        <v>0.60924999999999996</v>
      </c>
      <c r="AD13" s="8">
        <f>Zone_Site_Means!$AT$12*Parameters!$B$4/Parameters!$G$33</f>
        <v>0.35894736842105268</v>
      </c>
      <c r="AE13" s="8">
        <f>Zone_Site_Means!$AU$12*Parameters!$B$4/Parameters!$G$34</f>
        <v>1.0221052631578946</v>
      </c>
      <c r="AF13" s="14">
        <f t="shared" si="1"/>
        <v>36.820102631578955</v>
      </c>
      <c r="AG13" s="10" t="str">
        <f t="shared" si="2"/>
        <v>p,p'-DDE</v>
      </c>
    </row>
    <row r="14" spans="1:33" ht="15" customHeight="1" x14ac:dyDescent="0.25">
      <c r="A14" s="10" t="s">
        <v>61</v>
      </c>
      <c r="B14" s="10" t="s">
        <v>19</v>
      </c>
      <c r="C14" s="8">
        <f>Zone_Site_Means!$D$13*Parameters!$B$4/Parameters!$G$21</f>
        <v>3.5516666666666663</v>
      </c>
      <c r="D14" s="8">
        <f>Zone_Site_Means!$E$13*Parameters!$B$4/Parameters!$G$22</f>
        <v>4.2263333333333337</v>
      </c>
      <c r="E14" s="8">
        <f>Zone_Site_Means!$F$13*Parameters!$B$4/Parameters!$G$23</f>
        <v>3.4160000000000004</v>
      </c>
      <c r="F14" s="8">
        <f>Zone_Site_Means!$G$13*Parameters!$B$4/Parameters!$G$24</f>
        <v>3.8096666666666663</v>
      </c>
      <c r="G14" s="8">
        <f>Zone_Site_Means!$H$13*Parameters!$B$4/Parameters!$G$25</f>
        <v>6.133</v>
      </c>
      <c r="H14" s="8">
        <f>Zone_Site_Means!$I$13*Parameters!$B$4/Parameters!$G$26</f>
        <v>14.393333333333333</v>
      </c>
      <c r="I14" s="8">
        <f>Zone_Site_Means!$J$13*Parameters!$B$4/Parameters!$G$27</f>
        <v>0.21931666666666666</v>
      </c>
      <c r="J14" s="8">
        <f>Zone_Site_Means!$K$13*Parameters!$B$4/Parameters!$G$28</f>
        <v>0.38266666666666665</v>
      </c>
      <c r="K14" s="8">
        <f>Zone_Site_Means!$L$13*Parameters!$B$4/Parameters!$G$29</f>
        <v>0.16109999999999999</v>
      </c>
      <c r="L14" s="8">
        <f>Zone_Site_Means!$M$13*Parameters!$B$4/Parameters!$G$30</f>
        <v>0.14699999999999999</v>
      </c>
      <c r="M14" s="8">
        <f>Zone_Site_Means!$N$13*Parameters!$B$4/Parameters!$G$31</f>
        <v>0.41383333333333333</v>
      </c>
      <c r="N14" s="8">
        <f>Zone_Site_Means!$O$13*Parameters!$B$4/Parameters!$G$32</f>
        <v>0.8218333333333333</v>
      </c>
      <c r="O14" s="8">
        <f>Zone_Site_Means!$P$13*Parameters!$B$4/Parameters!$G$33</f>
        <v>0.48421052631578948</v>
      </c>
      <c r="P14" s="8">
        <f>Zone_Site_Means!$Q$13*Parameters!$B$4/Parameters!$G$34</f>
        <v>0.83201754385964921</v>
      </c>
      <c r="Q14" s="14">
        <f t="shared" si="0"/>
        <v>38.991978070175435</v>
      </c>
      <c r="R14" s="8">
        <f>Zone_Site_Means!$AH$13*Parameters!$B$4/Parameters!$G$21</f>
        <v>3.9560000000000004</v>
      </c>
      <c r="S14" s="8">
        <f>Zone_Site_Means!$AI$13*Parameters!$B$4/Parameters!$G$22</f>
        <v>4.3540000000000001</v>
      </c>
      <c r="T14" s="8">
        <f>Zone_Site_Means!$AJ$13*Parameters!$B$4/Parameters!$G$23</f>
        <v>3.7330000000000001</v>
      </c>
      <c r="U14" s="8">
        <f>Zone_Site_Means!$AK$13*Parameters!$B$4/Parameters!$G$24</f>
        <v>4.3929999999999998</v>
      </c>
      <c r="V14" s="8">
        <f>Zone_Site_Means!$AL$13*Parameters!$B$4/Parameters!$G$25</f>
        <v>7.4470000000000001</v>
      </c>
      <c r="W14" s="8">
        <f>Zone_Site_Means!$AM$13*Parameters!$B$4/Parameters!$G$26</f>
        <v>14.781000000000001</v>
      </c>
      <c r="X14" s="8">
        <f>Zone_Site_Means!$AN$13*Parameters!$B$4/Parameters!$G$27</f>
        <v>0.27599999999999997</v>
      </c>
      <c r="Y14" s="8">
        <f>Zone_Site_Means!$AO$13*Parameters!$B$4/Parameters!$G$28</f>
        <v>0.41559999999999997</v>
      </c>
      <c r="Z14" s="8">
        <f>Zone_Site_Means!$AP$13*Parameters!$B$4/Parameters!$G$29</f>
        <v>0.19359999999999999</v>
      </c>
      <c r="AA14" s="8">
        <f>Zone_Site_Means!$AQ$13*Parameters!$B$4/Parameters!$G$30</f>
        <v>0.16535</v>
      </c>
      <c r="AB14" s="8">
        <f>Zone_Site_Means!$AR$13*Parameters!$B$4/Parameters!$G$31</f>
        <v>0.49174999999999996</v>
      </c>
      <c r="AC14" s="8">
        <f>Zone_Site_Means!$AS$13*Parameters!$B$4/Parameters!$G$32</f>
        <v>0.90625</v>
      </c>
      <c r="AD14" s="8">
        <f>Zone_Site_Means!$AT$13*Parameters!$B$4/Parameters!$G$33</f>
        <v>0.59815789473684222</v>
      </c>
      <c r="AE14" s="8">
        <f>Zone_Site_Means!$AU$13*Parameters!$B$4/Parameters!$G$34</f>
        <v>0.92315789473684218</v>
      </c>
      <c r="AF14" s="14">
        <f t="shared" si="1"/>
        <v>42.633865789473681</v>
      </c>
      <c r="AG14" s="10" t="str">
        <f t="shared" si="2"/>
        <v>p,p'-DDE</v>
      </c>
    </row>
    <row r="15" spans="1:33" ht="15" customHeight="1" x14ac:dyDescent="0.25">
      <c r="A15" s="10" t="s">
        <v>66</v>
      </c>
      <c r="B15" s="10" t="s">
        <v>19</v>
      </c>
      <c r="C15" s="8">
        <f>Zone_Site_Means!$D$14*Parameters!$B$4/Parameters!$G$21</f>
        <v>4.1109999999999998</v>
      </c>
      <c r="D15" s="8">
        <f>Zone_Site_Means!$E$14*Parameters!$B$4/Parameters!$G$22</f>
        <v>4.1580000000000004</v>
      </c>
      <c r="E15" s="8">
        <f>Zone_Site_Means!$F$14*Parameters!$B$4/Parameters!$G$23</f>
        <v>4.8386666666666658</v>
      </c>
      <c r="F15" s="8">
        <f>Zone_Site_Means!$G$14*Parameters!$B$4/Parameters!$G$24</f>
        <v>4.0270000000000001</v>
      </c>
      <c r="G15" s="8">
        <f>Zone_Site_Means!$H$14*Parameters!$B$4/Parameters!$G$25</f>
        <v>6.0986666666666665</v>
      </c>
      <c r="H15" s="8">
        <f>Zone_Site_Means!$I$14*Parameters!$B$4/Parameters!$G$26</f>
        <v>14.029666666666666</v>
      </c>
      <c r="I15" s="8">
        <f>Zone_Site_Means!$J$14*Parameters!$B$4/Parameters!$G$27</f>
        <v>0.27940833333333337</v>
      </c>
      <c r="J15" s="8">
        <f>Zone_Site_Means!$K$14*Parameters!$B$4/Parameters!$G$28</f>
        <v>0.55045000000000011</v>
      </c>
      <c r="K15" s="8">
        <f>Zone_Site_Means!$L$14*Parameters!$B$4/Parameters!$G$29</f>
        <v>0.22913333333333336</v>
      </c>
      <c r="L15" s="8">
        <f>Zone_Site_Means!$M$14*Parameters!$B$4/Parameters!$G$30</f>
        <v>0.17368333333333333</v>
      </c>
      <c r="M15" s="8">
        <f>Zone_Site_Means!$N$14*Parameters!$B$4/Parameters!$G$31</f>
        <v>0.38933333333333336</v>
      </c>
      <c r="N15" s="8">
        <f>Zone_Site_Means!$O$14*Parameters!$B$4/Parameters!$G$32</f>
        <v>0.67308333333333337</v>
      </c>
      <c r="O15" s="8">
        <f>Zone_Site_Means!$P$14*Parameters!$B$4/Parameters!$G$33</f>
        <v>0.13157894736842105</v>
      </c>
      <c r="P15" s="8">
        <f>Zone_Site_Means!$Q$14*Parameters!$B$4/Parameters!$G$34</f>
        <v>0.75394736842105259</v>
      </c>
      <c r="Q15" s="14">
        <f t="shared" si="0"/>
        <v>40.443617982456132</v>
      </c>
      <c r="R15" s="8">
        <f>Zone_Site_Means!$AH$14*Parameters!$B$4/Parameters!$G$21</f>
        <v>4.3639999999999999</v>
      </c>
      <c r="S15" s="8">
        <f>Zone_Site_Means!$AI$14*Parameters!$B$4/Parameters!$G$22</f>
        <v>5.3230000000000004</v>
      </c>
      <c r="T15" s="8">
        <f>Zone_Site_Means!$AJ$14*Parameters!$B$4/Parameters!$G$23</f>
        <v>5.1859999999999999</v>
      </c>
      <c r="U15" s="8">
        <f>Zone_Site_Means!$AK$14*Parameters!$B$4/Parameters!$G$24</f>
        <v>5.3319999999999999</v>
      </c>
      <c r="V15" s="8">
        <f>Zone_Site_Means!$AL$14*Parameters!$B$4/Parameters!$G$25</f>
        <v>6.6210000000000004</v>
      </c>
      <c r="W15" s="8">
        <f>Zone_Site_Means!$AM$14*Parameters!$B$4/Parameters!$G$26</f>
        <v>14.465999999999999</v>
      </c>
      <c r="X15" s="8">
        <f>Zone_Site_Means!$AN$14*Parameters!$B$4/Parameters!$G$27</f>
        <v>0.30990000000000001</v>
      </c>
      <c r="Y15" s="8">
        <f>Zone_Site_Means!$AO$14*Parameters!$B$4/Parameters!$G$28</f>
        <v>0.61025000000000007</v>
      </c>
      <c r="Z15" s="8">
        <f>Zone_Site_Means!$AP$14*Parameters!$B$4/Parameters!$G$29</f>
        <v>0.25369999999999998</v>
      </c>
      <c r="AA15" s="8">
        <f>Zone_Site_Means!$AQ$14*Parameters!$B$4/Parameters!$G$30</f>
        <v>0.23155000000000003</v>
      </c>
      <c r="AB15" s="8">
        <f>Zone_Site_Means!$AR$14*Parameters!$B$4/Parameters!$G$31</f>
        <v>0.61150000000000004</v>
      </c>
      <c r="AC15" s="8">
        <f>Zone_Site_Means!$AS$14*Parameters!$B$4/Parameters!$G$32</f>
        <v>0.74424999999999997</v>
      </c>
      <c r="AD15" s="8">
        <f>Zone_Site_Means!$AT$14*Parameters!$B$4/Parameters!$G$33</f>
        <v>0.13157894736842105</v>
      </c>
      <c r="AE15" s="8">
        <f>Zone_Site_Means!$AU$14*Parameters!$B$4/Parameters!$G$34</f>
        <v>0.97421052631578953</v>
      </c>
      <c r="AF15" s="14">
        <f t="shared" si="1"/>
        <v>45.158939473684207</v>
      </c>
      <c r="AG15" s="10" t="str">
        <f t="shared" si="2"/>
        <v>p,p'-DDE</v>
      </c>
    </row>
    <row r="16" spans="1:33" ht="15" customHeight="1" x14ac:dyDescent="0.25">
      <c r="A16" s="10" t="s">
        <v>70</v>
      </c>
      <c r="B16" s="10" t="s">
        <v>19</v>
      </c>
      <c r="C16" s="8">
        <f>Zone_Site_Means!$D$15*Parameters!$B$4/Parameters!$G$21</f>
        <v>4.7663333333333329</v>
      </c>
      <c r="D16" s="8">
        <f>Zone_Site_Means!$E$15*Parameters!$B$4/Parameters!$G$22</f>
        <v>4.9413333333333327</v>
      </c>
      <c r="E16" s="8">
        <f>Zone_Site_Means!$F$15*Parameters!$B$4/Parameters!$G$23</f>
        <v>4.8496666666666668</v>
      </c>
      <c r="F16" s="8">
        <f>Zone_Site_Means!$G$15*Parameters!$B$4/Parameters!$G$24</f>
        <v>4.112333333333333</v>
      </c>
      <c r="G16" s="8">
        <f>Zone_Site_Means!$H$15*Parameters!$B$4/Parameters!$G$25</f>
        <v>6.5249999999999995</v>
      </c>
      <c r="H16" s="8">
        <f>Zone_Site_Means!$I$15*Parameters!$B$4/Parameters!$G$26</f>
        <v>14.811333333333332</v>
      </c>
      <c r="I16" s="8">
        <f>Zone_Site_Means!$J$15*Parameters!$B$4/Parameters!$G$27</f>
        <v>0.24026666666666666</v>
      </c>
      <c r="J16" s="8">
        <f>Zone_Site_Means!$K$15*Parameters!$B$4/Parameters!$G$28</f>
        <v>0.47348333333333337</v>
      </c>
      <c r="K16" s="8">
        <f>Zone_Site_Means!$L$15*Parameters!$B$4/Parameters!$G$29</f>
        <v>0.19803333333333334</v>
      </c>
      <c r="L16" s="8">
        <f>Zone_Site_Means!$M$15*Parameters!$B$4/Parameters!$G$30</f>
        <v>0.24081666666666665</v>
      </c>
      <c r="M16" s="8">
        <f>Zone_Site_Means!$N$15*Parameters!$B$4/Parameters!$G$31</f>
        <v>0.47091666666666665</v>
      </c>
      <c r="N16" s="8">
        <f>Zone_Site_Means!$O$15*Parameters!$B$4/Parameters!$G$32</f>
        <v>0.98083333333333333</v>
      </c>
      <c r="O16" s="8">
        <f>Zone_Site_Means!$P$15*Parameters!$B$4/Parameters!$G$33</f>
        <v>0.88175438596491229</v>
      </c>
      <c r="P16" s="8">
        <f>Zone_Site_Means!$Q$15*Parameters!$B$4/Parameters!$G$34</f>
        <v>1.3949122807017544</v>
      </c>
      <c r="Q16" s="14">
        <f t="shared" si="0"/>
        <v>44.887016666666661</v>
      </c>
      <c r="R16" s="8">
        <f>Zone_Site_Means!$AH$15*Parameters!$B$4/Parameters!$G$21</f>
        <v>5.4359999999999999</v>
      </c>
      <c r="S16" s="8">
        <f>Zone_Site_Means!$AI$15*Parameters!$B$4/Parameters!$G$22</f>
        <v>6.3419999999999996</v>
      </c>
      <c r="T16" s="8">
        <f>Zone_Site_Means!$AJ$15*Parameters!$B$4/Parameters!$G$23</f>
        <v>5.26</v>
      </c>
      <c r="U16" s="8">
        <f>Zone_Site_Means!$AK$15*Parameters!$B$4/Parameters!$G$24</f>
        <v>5.3780000000000001</v>
      </c>
      <c r="V16" s="8">
        <f>Zone_Site_Means!$AL$15*Parameters!$B$4/Parameters!$G$25</f>
        <v>6.6390000000000002</v>
      </c>
      <c r="W16" s="8">
        <f>Zone_Site_Means!$AM$15*Parameters!$B$4/Parameters!$G$26</f>
        <v>17.181999999999999</v>
      </c>
      <c r="X16" s="8">
        <f>Zone_Site_Means!$AN$15*Parameters!$B$4/Parameters!$G$27</f>
        <v>0.3201</v>
      </c>
      <c r="Y16" s="8">
        <f>Zone_Site_Means!$AO$15*Parameters!$B$4/Parameters!$G$28</f>
        <v>0.63445000000000007</v>
      </c>
      <c r="Z16" s="8">
        <f>Zone_Site_Means!$AP$15*Parameters!$B$4/Parameters!$G$29</f>
        <v>0.24070000000000003</v>
      </c>
      <c r="AA16" s="8">
        <f>Zone_Site_Means!$AQ$15*Parameters!$B$4/Parameters!$G$30</f>
        <v>0.27374999999999999</v>
      </c>
      <c r="AB16" s="8">
        <f>Zone_Site_Means!$AR$15*Parameters!$B$4/Parameters!$G$31</f>
        <v>0.65400000000000003</v>
      </c>
      <c r="AC16" s="8">
        <f>Zone_Site_Means!$AS$15*Parameters!$B$4/Parameters!$G$32</f>
        <v>1.091</v>
      </c>
      <c r="AD16" s="8">
        <f>Zone_Site_Means!$AT$15*Parameters!$B$4/Parameters!$G$33</f>
        <v>0.95921052631578951</v>
      </c>
      <c r="AE16" s="8">
        <f>Zone_Site_Means!$AU$15*Parameters!$B$4/Parameters!$G$34</f>
        <v>1.5357894736842106</v>
      </c>
      <c r="AF16" s="14">
        <f t="shared" si="1"/>
        <v>51.945999999999991</v>
      </c>
      <c r="AG16" s="10" t="str">
        <f t="shared" si="2"/>
        <v>p,p'-DDE</v>
      </c>
    </row>
    <row r="17" spans="1:33" ht="15" customHeight="1" x14ac:dyDescent="0.25">
      <c r="A17" s="10" t="s">
        <v>74</v>
      </c>
      <c r="B17" s="10" t="s">
        <v>19</v>
      </c>
      <c r="C17" s="8">
        <f>Zone_Site_Means!$D$16*Parameters!$B$4/Parameters!$G$21</f>
        <v>5.4953333333333338</v>
      </c>
      <c r="D17" s="8">
        <f>Zone_Site_Means!$E$16*Parameters!$B$4/Parameters!$G$22</f>
        <v>5.8893333333333331</v>
      </c>
      <c r="E17" s="8">
        <f>Zone_Site_Means!$F$16*Parameters!$B$4/Parameters!$G$23</f>
        <v>5.2126666666666663</v>
      </c>
      <c r="F17" s="8">
        <f>Zone_Site_Means!$G$16*Parameters!$B$4/Parameters!$G$24</f>
        <v>6.944</v>
      </c>
      <c r="G17" s="8">
        <f>Zone_Site_Means!$H$16*Parameters!$B$4/Parameters!$G$25</f>
        <v>7.4319999999999995</v>
      </c>
      <c r="H17" s="8">
        <f>Zone_Site_Means!$I$16*Parameters!$B$4/Parameters!$G$26</f>
        <v>15.013666666666666</v>
      </c>
      <c r="I17" s="8">
        <f>Zone_Site_Means!$J$16*Parameters!$B$4/Parameters!$G$27</f>
        <v>0.30711666666666665</v>
      </c>
      <c r="J17" s="8">
        <f>Zone_Site_Means!$K$16*Parameters!$B$4/Parameters!$G$28</f>
        <v>0.60483333333333322</v>
      </c>
      <c r="K17" s="8">
        <f>Zone_Site_Means!$L$16*Parameters!$B$4/Parameters!$G$29</f>
        <v>0.31776666666666664</v>
      </c>
      <c r="L17" s="8">
        <f>Zone_Site_Means!$M$16*Parameters!$B$4/Parameters!$G$30</f>
        <v>0.25701666666666667</v>
      </c>
      <c r="M17" s="8">
        <f>Zone_Site_Means!$N$16*Parameters!$B$4/Parameters!$G$31</f>
        <v>0.74258333333333348</v>
      </c>
      <c r="N17" s="8">
        <f>Zone_Site_Means!$O$16*Parameters!$B$4/Parameters!$G$32</f>
        <v>1.18625</v>
      </c>
      <c r="O17" s="8">
        <f>Zone_Site_Means!$P$16*Parameters!$B$4/Parameters!$G$33</f>
        <v>0.87964912280701735</v>
      </c>
      <c r="P17" s="8">
        <f>Zone_Site_Means!$Q$16*Parameters!$B$4/Parameters!$G$34</f>
        <v>1.2321929824561404</v>
      </c>
      <c r="Q17" s="14">
        <f t="shared" si="0"/>
        <v>51.514408771929816</v>
      </c>
      <c r="R17" s="8">
        <f>Zone_Site_Means!$AH$16*Parameters!$B$4/Parameters!$G$21</f>
        <v>5.9470000000000001</v>
      </c>
      <c r="S17" s="8">
        <f>Zone_Site_Means!$AI$16*Parameters!$B$4/Parameters!$G$22</f>
        <v>7.3520000000000003</v>
      </c>
      <c r="T17" s="8">
        <f>Zone_Site_Means!$AJ$16*Parameters!$B$4/Parameters!$G$23</f>
        <v>6.2350000000000003</v>
      </c>
      <c r="U17" s="8">
        <f>Zone_Site_Means!$AK$16*Parameters!$B$4/Parameters!$G$24</f>
        <v>7.915</v>
      </c>
      <c r="V17" s="8">
        <f>Zone_Site_Means!$AL$16*Parameters!$B$4/Parameters!$G$25</f>
        <v>7.5309999999999997</v>
      </c>
      <c r="W17" s="8">
        <f>Zone_Site_Means!$AM$16*Parameters!$B$4/Parameters!$G$26</f>
        <v>15.908999999999999</v>
      </c>
      <c r="X17" s="8">
        <f>Zone_Site_Means!$AN$16*Parameters!$B$4/Parameters!$G$27</f>
        <v>0.3357</v>
      </c>
      <c r="Y17" s="8">
        <f>Zone_Site_Means!$AO$16*Parameters!$B$4/Parameters!$G$28</f>
        <v>0.66</v>
      </c>
      <c r="Z17" s="8">
        <f>Zone_Site_Means!$AP$16*Parameters!$B$4/Parameters!$G$29</f>
        <v>0.4234</v>
      </c>
      <c r="AA17" s="8">
        <f>Zone_Site_Means!$AQ$16*Parameters!$B$4/Parameters!$G$30</f>
        <v>0.31775000000000003</v>
      </c>
      <c r="AB17" s="8">
        <f>Zone_Site_Means!$AR$16*Parameters!$B$4/Parameters!$G$31</f>
        <v>0.85550000000000004</v>
      </c>
      <c r="AC17" s="8">
        <f>Zone_Site_Means!$AS$16*Parameters!$B$4/Parameters!$G$32</f>
        <v>1.2882499999999999</v>
      </c>
      <c r="AD17" s="8">
        <f>Zone_Site_Means!$AT$16*Parameters!$B$4/Parameters!$G$33</f>
        <v>1.1463157894736842</v>
      </c>
      <c r="AE17" s="8">
        <f>Zone_Site_Means!$AU$16*Parameters!$B$4/Parameters!$G$34</f>
        <v>1.4192105263157895</v>
      </c>
      <c r="AF17" s="14">
        <f t="shared" si="1"/>
        <v>57.335126315789459</v>
      </c>
      <c r="AG17" s="10" t="str">
        <f t="shared" si="2"/>
        <v>p,p'-DDE</v>
      </c>
    </row>
    <row r="18" spans="1:33" ht="15" customHeight="1" x14ac:dyDescent="0.25">
      <c r="A18" s="10" t="s">
        <v>78</v>
      </c>
      <c r="B18" s="10" t="s">
        <v>19</v>
      </c>
      <c r="C18" s="8">
        <f>Zone_Site_Means!$D$17*Parameters!$B$4/Parameters!$G$21</f>
        <v>7.1149999999999993</v>
      </c>
      <c r="D18" s="8">
        <f>Zone_Site_Means!$E$17*Parameters!$B$4/Parameters!$G$22</f>
        <v>9.2973333333333343</v>
      </c>
      <c r="E18" s="8">
        <f>Zone_Site_Means!$F$17*Parameters!$B$4/Parameters!$G$23</f>
        <v>5.55</v>
      </c>
      <c r="F18" s="8">
        <f>Zone_Site_Means!$G$17*Parameters!$B$4/Parameters!$G$24</f>
        <v>8.2313333333333336</v>
      </c>
      <c r="G18" s="8">
        <f>Zone_Site_Means!$H$17*Parameters!$B$4/Parameters!$G$25</f>
        <v>7.3569999999999993</v>
      </c>
      <c r="H18" s="8">
        <f>Zone_Site_Means!$I$17*Parameters!$B$4/Parameters!$G$26</f>
        <v>16.916</v>
      </c>
      <c r="I18" s="8">
        <f>Zone_Site_Means!$J$17*Parameters!$B$4/Parameters!$G$27</f>
        <v>0.35321666666666668</v>
      </c>
      <c r="J18" s="8">
        <f>Zone_Site_Means!$K$17*Parameters!$B$4/Parameters!$G$28</f>
        <v>0.5488333333333334</v>
      </c>
      <c r="K18" s="8">
        <f>Zone_Site_Means!$L$17*Parameters!$B$4/Parameters!$G$29</f>
        <v>0.33540000000000003</v>
      </c>
      <c r="L18" s="8">
        <f>Zone_Site_Means!$M$17*Parameters!$B$4/Parameters!$G$30</f>
        <v>0.36293333333333333</v>
      </c>
      <c r="M18" s="8">
        <f>Zone_Site_Means!$N$17*Parameters!$B$4/Parameters!$G$31</f>
        <v>0.93566666666666676</v>
      </c>
      <c r="N18" s="8">
        <f>Zone_Site_Means!$O$17*Parameters!$B$4/Parameters!$G$32</f>
        <v>1.4743333333333333</v>
      </c>
      <c r="O18" s="8">
        <f>Zone_Site_Means!$P$17*Parameters!$B$4/Parameters!$G$33</f>
        <v>1.1698245614035088</v>
      </c>
      <c r="P18" s="8">
        <f>Zone_Site_Means!$Q$17*Parameters!$B$4/Parameters!$G$34</f>
        <v>1.476578947368421</v>
      </c>
      <c r="Q18" s="14">
        <f t="shared" si="0"/>
        <v>61.123453508771938</v>
      </c>
      <c r="R18" s="8">
        <f>Zone_Site_Means!$AH$17*Parameters!$B$4/Parameters!$G$21</f>
        <v>7.5430000000000001</v>
      </c>
      <c r="S18" s="8">
        <f>Zone_Site_Means!$AI$17*Parameters!$B$4/Parameters!$G$22</f>
        <v>9.9260000000000002</v>
      </c>
      <c r="T18" s="8">
        <f>Zone_Site_Means!$AJ$17*Parameters!$B$4/Parameters!$G$23</f>
        <v>5.9630000000000001</v>
      </c>
      <c r="U18" s="8">
        <f>Zone_Site_Means!$AK$17*Parameters!$B$4/Parameters!$G$24</f>
        <v>8.8559999999999999</v>
      </c>
      <c r="V18" s="8">
        <f>Zone_Site_Means!$AL$17*Parameters!$B$4/Parameters!$G$25</f>
        <v>8.2110000000000003</v>
      </c>
      <c r="W18" s="8">
        <f>Zone_Site_Means!$AM$17*Parameters!$B$4/Parameters!$G$26</f>
        <v>18.024999999999999</v>
      </c>
      <c r="X18" s="8">
        <f>Zone_Site_Means!$AN$17*Parameters!$B$4/Parameters!$G$27</f>
        <v>0.40755000000000002</v>
      </c>
      <c r="Y18" s="8">
        <f>Zone_Site_Means!$AO$17*Parameters!$B$4/Parameters!$G$28</f>
        <v>0.64934999999999998</v>
      </c>
      <c r="Z18" s="8">
        <f>Zone_Site_Means!$AP$17*Parameters!$B$4/Parameters!$G$29</f>
        <v>0.3654</v>
      </c>
      <c r="AA18" s="8">
        <f>Zone_Site_Means!$AQ$17*Parameters!$B$4/Parameters!$G$30</f>
        <v>0.38144999999999996</v>
      </c>
      <c r="AB18" s="8">
        <f>Zone_Site_Means!$AR$17*Parameters!$B$4/Parameters!$G$31</f>
        <v>1.07325</v>
      </c>
      <c r="AC18" s="8">
        <f>Zone_Site_Means!$AS$17*Parameters!$B$4/Parameters!$G$32</f>
        <v>1.6187499999999999</v>
      </c>
      <c r="AD18" s="8">
        <f>Zone_Site_Means!$AT$17*Parameters!$B$4/Parameters!$G$33</f>
        <v>1.4386842105263158</v>
      </c>
      <c r="AE18" s="8">
        <f>Zone_Site_Means!$AU$17*Parameters!$B$4/Parameters!$G$34</f>
        <v>1.7207894736842104</v>
      </c>
      <c r="AF18" s="14">
        <f t="shared" si="1"/>
        <v>66.179223684210527</v>
      </c>
      <c r="AG18" s="10" t="str">
        <f t="shared" si="2"/>
        <v>p,p'-DDE</v>
      </c>
    </row>
    <row r="19" spans="1:33" ht="15" customHeight="1" x14ac:dyDescent="0.25">
      <c r="A19" s="10" t="s">
        <v>82</v>
      </c>
      <c r="B19" s="10" t="s">
        <v>19</v>
      </c>
      <c r="C19" s="8">
        <f>Zone_Site_Means!$D$18*Parameters!$B$4/Parameters!$G$21</f>
        <v>9.0266666666666655</v>
      </c>
      <c r="D19" s="8">
        <f>Zone_Site_Means!$E$18*Parameters!$B$4/Parameters!$G$22</f>
        <v>12.452399999999999</v>
      </c>
      <c r="E19" s="8">
        <f>Zone_Site_Means!$F$18*Parameters!$B$4/Parameters!$G$23</f>
        <v>9.2379999999999995</v>
      </c>
      <c r="F19" s="8">
        <f>Zone_Site_Means!$G$18*Parameters!$B$4/Parameters!$G$24</f>
        <v>10.465333333333334</v>
      </c>
      <c r="G19" s="8">
        <f>Zone_Site_Means!$H$18*Parameters!$B$4/Parameters!$G$25</f>
        <v>9.1506666666666678</v>
      </c>
      <c r="H19" s="8">
        <f>Zone_Site_Means!$I$18*Parameters!$B$4/Parameters!$G$26</f>
        <v>21.214666666666666</v>
      </c>
      <c r="I19" s="8">
        <f>Zone_Site_Means!$J$18*Parameters!$B$4/Parameters!$G$27</f>
        <v>0.41228333333333333</v>
      </c>
      <c r="J19" s="8">
        <f>Zone_Site_Means!$K$18*Parameters!$B$4/Parameters!$G$28</f>
        <v>0.68351666666666677</v>
      </c>
      <c r="K19" s="8">
        <f>Zone_Site_Means!$L$18*Parameters!$B$4/Parameters!$G$29</f>
        <v>0.52700000000000002</v>
      </c>
      <c r="L19" s="8">
        <f>Zone_Site_Means!$M$18*Parameters!$B$4/Parameters!$G$30</f>
        <v>0.67585000000000006</v>
      </c>
      <c r="M19" s="8">
        <f>Zone_Site_Means!$N$18*Parameters!$B$4/Parameters!$G$31</f>
        <v>1.6309166666666666</v>
      </c>
      <c r="N19" s="8">
        <f>Zone_Site_Means!$O$18*Parameters!$B$4/Parameters!$G$32</f>
        <v>2.1595833333333334</v>
      </c>
      <c r="O19" s="8">
        <f>Zone_Site_Means!$P$18*Parameters!$B$4/Parameters!$G$33</f>
        <v>1.5567543859649124</v>
      </c>
      <c r="P19" s="8">
        <f>Zone_Site_Means!$Q$18*Parameters!$B$4/Parameters!$G$34</f>
        <v>2.3095614035087721</v>
      </c>
      <c r="Q19" s="14">
        <f t="shared" si="0"/>
        <v>81.50319912280699</v>
      </c>
      <c r="R19" s="8">
        <f>Zone_Site_Means!$AH$18*Parameters!$B$4/Parameters!$G$21</f>
        <v>11.138</v>
      </c>
      <c r="S19" s="8">
        <f>Zone_Site_Means!$AI$18*Parameters!$B$4/Parameters!$G$22</f>
        <v>15.7972</v>
      </c>
      <c r="T19" s="8">
        <f>Zone_Site_Means!$AJ$18*Parameters!$B$4/Parameters!$G$23</f>
        <v>9.5459999999999994</v>
      </c>
      <c r="U19" s="8">
        <f>Zone_Site_Means!$AK$18*Parameters!$B$4/Parameters!$G$24</f>
        <v>10.612</v>
      </c>
      <c r="V19" s="8">
        <f>Zone_Site_Means!$AL$18*Parameters!$B$4/Parameters!$G$25</f>
        <v>9.9830000000000005</v>
      </c>
      <c r="W19" s="8">
        <f>Zone_Site_Means!$AM$18*Parameters!$B$4/Parameters!$G$26</f>
        <v>23.15</v>
      </c>
      <c r="X19" s="8">
        <f>Zone_Site_Means!$AN$18*Parameters!$B$4/Parameters!$G$27</f>
        <v>0.47184999999999994</v>
      </c>
      <c r="Y19" s="8">
        <f>Zone_Site_Means!$AO$18*Parameters!$B$4/Parameters!$G$28</f>
        <v>0.73089999999999999</v>
      </c>
      <c r="Z19" s="8">
        <f>Zone_Site_Means!$AP$18*Parameters!$B$4/Parameters!$G$29</f>
        <v>0.54759999999999998</v>
      </c>
      <c r="AA19" s="8">
        <f>Zone_Site_Means!$AQ$18*Parameters!$B$4/Parameters!$G$30</f>
        <v>0.73060000000000003</v>
      </c>
      <c r="AB19" s="8">
        <f>Zone_Site_Means!$AR$18*Parameters!$B$4/Parameters!$G$31</f>
        <v>1.6872499999999999</v>
      </c>
      <c r="AC19" s="8">
        <f>Zone_Site_Means!$AS$18*Parameters!$B$4/Parameters!$G$32</f>
        <v>2.3694999999999999</v>
      </c>
      <c r="AD19" s="8">
        <f>Zone_Site_Means!$AT$18*Parameters!$B$4/Parameters!$G$33</f>
        <v>1.8015789473684212</v>
      </c>
      <c r="AE19" s="8">
        <f>Zone_Site_Means!$AU$18*Parameters!$B$4/Parameters!$G$34</f>
        <v>2.6778947368421053</v>
      </c>
      <c r="AF19" s="14">
        <f t="shared" si="1"/>
        <v>91.243373684210553</v>
      </c>
      <c r="AG19" s="10" t="str">
        <f t="shared" si="2"/>
        <v>p,p'-DDE</v>
      </c>
    </row>
    <row r="22" spans="1:33" ht="15" customHeight="1" x14ac:dyDescent="0.25">
      <c r="A22" s="12" t="s">
        <v>290</v>
      </c>
    </row>
    <row r="23" spans="1:33" ht="34.5" customHeight="1" x14ac:dyDescent="0.25">
      <c r="A23" s="5" t="s">
        <v>86</v>
      </c>
      <c r="B23" s="5" t="s">
        <v>291</v>
      </c>
      <c r="C23" s="5" t="s">
        <v>292</v>
      </c>
      <c r="D23" s="5" t="s">
        <v>212</v>
      </c>
      <c r="E23" s="5" t="s">
        <v>293</v>
      </c>
      <c r="F23" s="5" t="s">
        <v>294</v>
      </c>
      <c r="G23" s="5" t="s">
        <v>295</v>
      </c>
      <c r="H23" s="5" t="s">
        <v>296</v>
      </c>
      <c r="I23" s="5" t="s">
        <v>297</v>
      </c>
    </row>
    <row r="24" spans="1:33" ht="15" customHeight="1" x14ac:dyDescent="0.25">
      <c r="A24" s="10" t="s">
        <v>20</v>
      </c>
      <c r="B24" s="18">
        <f>Zone_Site_Means!$D$4*Parameters!$B$4</f>
        <v>4.4101515151515154E-3</v>
      </c>
      <c r="C24" s="18">
        <f>Zone_Site_Means!$AH$4*Parameters!$B$4</f>
        <v>1.1138E-2</v>
      </c>
      <c r="D24" s="18">
        <f>Parameters!$G$21</f>
        <v>1E-3</v>
      </c>
      <c r="E24" s="8">
        <f>C5</f>
        <v>4.4101515151515152</v>
      </c>
      <c r="F24" s="8">
        <f>R5</f>
        <v>11.138</v>
      </c>
      <c r="G24" s="10" t="str">
        <f t="shared" ref="G24:G37" si="3">IF(E24=0,"nd",IF(E24&gt;=1,"High",IF(E24&gt;=0.1,"Medium",IF(E24&gt;=0.01,"Low","Negligible"))))</f>
        <v>High</v>
      </c>
      <c r="H24" s="10" t="str">
        <f t="shared" ref="H24:H37" si="4">IF(F24=0,"nd",IF(F24&gt;=1,"High",IF(F24&gt;=0.1,"Medium",IF(F24&gt;=0.01,"Low","Negligible"))))</f>
        <v>High</v>
      </c>
      <c r="I24" s="11">
        <f t="shared" ref="I24:I37" si="5">E24/$Q$5*100</f>
        <v>10.489020244908181</v>
      </c>
    </row>
    <row r="25" spans="1:33" ht="15" customHeight="1" x14ac:dyDescent="0.25">
      <c r="A25" s="10" t="s">
        <v>21</v>
      </c>
      <c r="B25" s="18">
        <f>Zone_Site_Means!$E$4*Parameters!$B$4</f>
        <v>5.2183999999999989E-3</v>
      </c>
      <c r="C25" s="18">
        <f>Zone_Site_Means!$AI$4*Parameters!$B$4</f>
        <v>1.5797200000000001E-2</v>
      </c>
      <c r="D25" s="18">
        <f>Parameters!$G$22</f>
        <v>1E-3</v>
      </c>
      <c r="E25" s="8">
        <f>D5</f>
        <v>5.218399999999999</v>
      </c>
      <c r="F25" s="8">
        <f>S5</f>
        <v>15.7972</v>
      </c>
      <c r="G25" s="10" t="str">
        <f t="shared" si="3"/>
        <v>High</v>
      </c>
      <c r="H25" s="10" t="str">
        <f t="shared" si="4"/>
        <v>High</v>
      </c>
      <c r="I25" s="11">
        <f t="shared" si="5"/>
        <v>12.411343024832183</v>
      </c>
    </row>
    <row r="26" spans="1:33" ht="15" customHeight="1" x14ac:dyDescent="0.25">
      <c r="A26" s="10" t="s">
        <v>22</v>
      </c>
      <c r="B26" s="18">
        <f>Zone_Site_Means!$F$4*Parameters!$B$4</f>
        <v>3.7881515151515156E-3</v>
      </c>
      <c r="C26" s="18">
        <f>Zone_Site_Means!$AJ$4*Parameters!$B$4</f>
        <v>9.5459999999999989E-3</v>
      </c>
      <c r="D26" s="18">
        <f>Parameters!$G$23</f>
        <v>1E-3</v>
      </c>
      <c r="E26" s="8">
        <f>E5</f>
        <v>3.7881515151515157</v>
      </c>
      <c r="F26" s="8">
        <f>T5</f>
        <v>9.5459999999999994</v>
      </c>
      <c r="G26" s="10" t="str">
        <f t="shared" si="3"/>
        <v>High</v>
      </c>
      <c r="H26" s="10" t="str">
        <f t="shared" si="4"/>
        <v>High</v>
      </c>
      <c r="I26" s="11">
        <f t="shared" si="5"/>
        <v>9.0096673088654065</v>
      </c>
    </row>
    <row r="27" spans="1:33" ht="15" customHeight="1" x14ac:dyDescent="0.25">
      <c r="A27" s="10" t="s">
        <v>23</v>
      </c>
      <c r="B27" s="18">
        <f>Zone_Site_Means!$G$4*Parameters!$B$4</f>
        <v>4.7992424242424237E-3</v>
      </c>
      <c r="C27" s="18">
        <f>Zone_Site_Means!$AK$4*Parameters!$B$4</f>
        <v>1.0612E-2</v>
      </c>
      <c r="D27" s="18">
        <f>Parameters!$G$24</f>
        <v>1E-3</v>
      </c>
      <c r="E27" s="8">
        <f>F5</f>
        <v>4.7992424242424239</v>
      </c>
      <c r="F27" s="8">
        <f>U5</f>
        <v>10.612</v>
      </c>
      <c r="G27" s="10" t="str">
        <f t="shared" si="3"/>
        <v>High</v>
      </c>
      <c r="H27" s="10" t="str">
        <f t="shared" si="4"/>
        <v>High</v>
      </c>
      <c r="I27" s="11">
        <f t="shared" si="5"/>
        <v>11.414426641614272</v>
      </c>
    </row>
    <row r="28" spans="1:33" ht="15" customHeight="1" x14ac:dyDescent="0.25">
      <c r="A28" s="10" t="s">
        <v>24</v>
      </c>
      <c r="B28" s="18">
        <f>Zone_Site_Means!$H$4*Parameters!$B$4</f>
        <v>6.2361212121212119E-3</v>
      </c>
      <c r="C28" s="18">
        <f>Zone_Site_Means!$AL$4*Parameters!$B$4</f>
        <v>9.9830000000000006E-3</v>
      </c>
      <c r="D28" s="18">
        <f>Parameters!$G$25</f>
        <v>1E-3</v>
      </c>
      <c r="E28" s="8">
        <f>G5</f>
        <v>6.236121212121212</v>
      </c>
      <c r="F28" s="8">
        <f>V5</f>
        <v>9.9830000000000005</v>
      </c>
      <c r="G28" s="10" t="str">
        <f t="shared" si="3"/>
        <v>High</v>
      </c>
      <c r="H28" s="10" t="str">
        <f t="shared" si="4"/>
        <v>High</v>
      </c>
      <c r="I28" s="11">
        <f t="shared" si="5"/>
        <v>14.831871743842678</v>
      </c>
    </row>
    <row r="29" spans="1:33" ht="15" customHeight="1" x14ac:dyDescent="0.25">
      <c r="A29" s="10" t="s">
        <v>25</v>
      </c>
      <c r="B29" s="18">
        <f>Zone_Site_Means!$I$4*Parameters!$B$4</f>
        <v>1.3251939393939394E-2</v>
      </c>
      <c r="C29" s="18">
        <f>Zone_Site_Means!$AM$4*Parameters!$B$4</f>
        <v>2.315E-2</v>
      </c>
      <c r="D29" s="18">
        <f>Parameters!$G$26</f>
        <v>1E-3</v>
      </c>
      <c r="E29" s="8">
        <f>H5</f>
        <v>13.251939393939393</v>
      </c>
      <c r="F29" s="8">
        <f>W5</f>
        <v>23.15</v>
      </c>
      <c r="G29" s="10" t="str">
        <f t="shared" si="3"/>
        <v>High</v>
      </c>
      <c r="H29" s="10" t="str">
        <f t="shared" si="4"/>
        <v>High</v>
      </c>
      <c r="I29" s="11">
        <f t="shared" si="5"/>
        <v>31.51815988856135</v>
      </c>
    </row>
    <row r="30" spans="1:33" ht="15" customHeight="1" x14ac:dyDescent="0.25">
      <c r="A30" s="10" t="s">
        <v>26</v>
      </c>
      <c r="B30" s="18">
        <f>Zone_Site_Means!$J$4*Parameters!$B$4</f>
        <v>4.7611363636363641E-3</v>
      </c>
      <c r="C30" s="18">
        <f>Zone_Site_Means!$AN$4*Parameters!$B$4</f>
        <v>9.4369999999999992E-3</v>
      </c>
      <c r="D30" s="18">
        <f>Parameters!$G$27</f>
        <v>0.02</v>
      </c>
      <c r="E30" s="8">
        <f>I5</f>
        <v>0.2380568181818182</v>
      </c>
      <c r="F30" s="8">
        <f>X5</f>
        <v>0.47184999999999994</v>
      </c>
      <c r="G30" s="10" t="str">
        <f t="shared" si="3"/>
        <v>Medium</v>
      </c>
      <c r="H30" s="10" t="str">
        <f t="shared" si="4"/>
        <v>Medium</v>
      </c>
      <c r="I30" s="11">
        <f t="shared" si="5"/>
        <v>0.56618979569497419</v>
      </c>
    </row>
    <row r="31" spans="1:33" ht="15" customHeight="1" x14ac:dyDescent="0.25">
      <c r="A31" s="10" t="s">
        <v>27</v>
      </c>
      <c r="B31" s="18">
        <f>Zone_Site_Means!$K$4*Parameters!$B$4</f>
        <v>8.6328181818181807E-3</v>
      </c>
      <c r="C31" s="18">
        <f>Zone_Site_Means!$AO$4*Parameters!$B$4</f>
        <v>1.4618000000000001E-2</v>
      </c>
      <c r="D31" s="18">
        <f>Parameters!$G$28</f>
        <v>0.02</v>
      </c>
      <c r="E31" s="8">
        <f>J5</f>
        <v>0.43164090909090902</v>
      </c>
      <c r="F31" s="8">
        <f>Y5</f>
        <v>0.73089999999999999</v>
      </c>
      <c r="G31" s="10" t="str">
        <f t="shared" si="3"/>
        <v>Medium</v>
      </c>
      <c r="H31" s="10" t="str">
        <f t="shared" si="4"/>
        <v>Medium</v>
      </c>
      <c r="I31" s="11">
        <f t="shared" si="5"/>
        <v>1.0266065051122331</v>
      </c>
    </row>
    <row r="32" spans="1:33" ht="15" customHeight="1" x14ac:dyDescent="0.25">
      <c r="A32" s="10" t="s">
        <v>28</v>
      </c>
      <c r="B32" s="18">
        <f>Zone_Site_Means!$L$4*Parameters!$B$4</f>
        <v>2.0428484848484846E-3</v>
      </c>
      <c r="C32" s="18">
        <f>Zone_Site_Means!$AP$4*Parameters!$B$4</f>
        <v>5.476E-3</v>
      </c>
      <c r="D32" s="18">
        <f>Parameters!$G$29</f>
        <v>0.01</v>
      </c>
      <c r="E32" s="8">
        <f>K5</f>
        <v>0.20428484848484846</v>
      </c>
      <c r="F32" s="8">
        <f>Z5</f>
        <v>0.54759999999999998</v>
      </c>
      <c r="G32" s="10" t="str">
        <f t="shared" si="3"/>
        <v>Medium</v>
      </c>
      <c r="H32" s="10" t="str">
        <f t="shared" si="4"/>
        <v>Medium</v>
      </c>
      <c r="I32" s="11">
        <f t="shared" si="5"/>
        <v>0.48586718713040844</v>
      </c>
    </row>
    <row r="33" spans="1:9" ht="15" customHeight="1" x14ac:dyDescent="0.25">
      <c r="A33" s="10" t="s">
        <v>29</v>
      </c>
      <c r="B33" s="18">
        <f>Zone_Site_Means!$M$4*Parameters!$B$4</f>
        <v>4.0948090909090915E-3</v>
      </c>
      <c r="C33" s="18">
        <f>Zone_Site_Means!$AQ$4*Parameters!$B$4</f>
        <v>1.4612E-2</v>
      </c>
      <c r="D33" s="18">
        <f>Parameters!$G$30</f>
        <v>0.02</v>
      </c>
      <c r="E33" s="8">
        <f>L5</f>
        <v>0.20474045454545456</v>
      </c>
      <c r="F33" s="8">
        <f>AA5</f>
        <v>0.73060000000000003</v>
      </c>
      <c r="G33" s="10" t="str">
        <f t="shared" si="3"/>
        <v>Medium</v>
      </c>
      <c r="H33" s="10" t="str">
        <f t="shared" si="4"/>
        <v>Medium</v>
      </c>
      <c r="I33" s="11">
        <f t="shared" si="5"/>
        <v>0.48695079189477586</v>
      </c>
    </row>
    <row r="34" spans="1:9" ht="15" customHeight="1" x14ac:dyDescent="0.25">
      <c r="A34" s="10" t="s">
        <v>30</v>
      </c>
      <c r="B34" s="18">
        <f>Zone_Site_Means!$N$4*Parameters!$B$4</f>
        <v>2.277300608213574E-3</v>
      </c>
      <c r="C34" s="18">
        <f>Zone_Site_Means!$AR$4*Parameters!$B$4</f>
        <v>6.7489999999999998E-3</v>
      </c>
      <c r="D34" s="18">
        <f>Parameters!$G$31</f>
        <v>4.0000000000000001E-3</v>
      </c>
      <c r="E34" s="8">
        <f>M5</f>
        <v>0.56932515205339351</v>
      </c>
      <c r="F34" s="8">
        <f>AB5</f>
        <v>1.6872499999999999</v>
      </c>
      <c r="G34" s="10" t="str">
        <f t="shared" si="3"/>
        <v>Medium</v>
      </c>
      <c r="H34" s="10" t="str">
        <f t="shared" si="4"/>
        <v>High</v>
      </c>
      <c r="I34" s="11">
        <f t="shared" si="5"/>
        <v>1.3540720824006225</v>
      </c>
    </row>
    <row r="35" spans="1:9" ht="15" customHeight="1" x14ac:dyDescent="0.25">
      <c r="A35" s="10" t="s">
        <v>31</v>
      </c>
      <c r="B35" s="18">
        <f>Zone_Site_Means!$O$4*Parameters!$B$4</f>
        <v>3.92560606060606E-3</v>
      </c>
      <c r="C35" s="18">
        <f>Zone_Site_Means!$AS$4*Parameters!$B$4</f>
        <v>9.4780000000000003E-3</v>
      </c>
      <c r="D35" s="18">
        <f>Parameters!$G$32</f>
        <v>4.0000000000000001E-3</v>
      </c>
      <c r="E35" s="8">
        <f>N5</f>
        <v>0.98140151515151497</v>
      </c>
      <c r="F35" s="8">
        <f>AC5</f>
        <v>2.3694999999999999</v>
      </c>
      <c r="G35" s="10" t="str">
        <f t="shared" si="3"/>
        <v>Medium</v>
      </c>
      <c r="H35" s="10" t="str">
        <f t="shared" si="4"/>
        <v>High</v>
      </c>
      <c r="I35" s="11">
        <f t="shared" si="5"/>
        <v>2.3341466444955339</v>
      </c>
    </row>
    <row r="36" spans="1:9" ht="15" customHeight="1" x14ac:dyDescent="0.25">
      <c r="A36" s="10" t="s">
        <v>32</v>
      </c>
      <c r="B36" s="18">
        <f>Zone_Site_Means!$P$4*Parameters!$B$4</f>
        <v>2.5017575757575756E-3</v>
      </c>
      <c r="C36" s="18">
        <f>Zone_Site_Means!$AT$4*Parameters!$B$4</f>
        <v>6.8460000000000005E-3</v>
      </c>
      <c r="D36" s="18">
        <f>Parameters!$G$33</f>
        <v>3.8E-3</v>
      </c>
      <c r="E36" s="8">
        <f>O5</f>
        <v>0.65835725677830936</v>
      </c>
      <c r="F36" s="8">
        <f>AD5</f>
        <v>1.8015789473684212</v>
      </c>
      <c r="G36" s="10" t="str">
        <f t="shared" si="3"/>
        <v>Medium</v>
      </c>
      <c r="H36" s="10" t="str">
        <f t="shared" si="4"/>
        <v>High</v>
      </c>
      <c r="I36" s="11">
        <f t="shared" si="5"/>
        <v>1.5658243420901274</v>
      </c>
    </row>
    <row r="37" spans="1:9" ht="15" customHeight="1" x14ac:dyDescent="0.25">
      <c r="A37" s="10" t="s">
        <v>33</v>
      </c>
      <c r="B37" s="18">
        <f>Zone_Site_Means!$Q$4*Parameters!$B$4</f>
        <v>4.0036666666666667E-3</v>
      </c>
      <c r="C37" s="18">
        <f>Zone_Site_Means!$AU$4*Parameters!$B$4</f>
        <v>1.0176000000000001E-2</v>
      </c>
      <c r="D37" s="18">
        <f>Parameters!$G$34</f>
        <v>3.8E-3</v>
      </c>
      <c r="E37" s="8">
        <f>P5</f>
        <v>1.0535964912280702</v>
      </c>
      <c r="F37" s="8">
        <f>AE5</f>
        <v>2.6778947368421053</v>
      </c>
      <c r="G37" s="10" t="str">
        <f t="shared" si="3"/>
        <v>High</v>
      </c>
      <c r="H37" s="10" t="str">
        <f t="shared" si="4"/>
        <v>High</v>
      </c>
      <c r="I37" s="11">
        <f t="shared" si="5"/>
        <v>2.5058537985572538</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7"/>
  <sheetViews>
    <sheetView zoomScaleNormal="100" workbookViewId="0"/>
  </sheetViews>
  <sheetFormatPr defaultColWidth="8.7109375" defaultRowHeight="15" x14ac:dyDescent="0.25"/>
  <cols>
    <col min="1" max="1" width="26" style="1" customWidth="1"/>
    <col min="2" max="15" width="11" style="1" customWidth="1"/>
  </cols>
  <sheetData>
    <row r="1" spans="1:15" ht="15.75" customHeight="1" x14ac:dyDescent="0.25">
      <c r="A1" s="9" t="s">
        <v>298</v>
      </c>
    </row>
    <row r="3" spans="1:15" ht="23.25" customHeight="1" x14ac:dyDescent="0.25">
      <c r="A3" s="5" t="s">
        <v>86</v>
      </c>
      <c r="B3" s="5" t="s">
        <v>299</v>
      </c>
      <c r="C3" s="5" t="s">
        <v>300</v>
      </c>
      <c r="D3" s="5" t="s">
        <v>301</v>
      </c>
      <c r="E3" s="5" t="s">
        <v>302</v>
      </c>
      <c r="F3" s="5" t="s">
        <v>303</v>
      </c>
      <c r="G3" s="5" t="s">
        <v>304</v>
      </c>
      <c r="H3" s="5" t="s">
        <v>305</v>
      </c>
      <c r="I3" s="5" t="s">
        <v>306</v>
      </c>
      <c r="J3" s="5" t="s">
        <v>307</v>
      </c>
      <c r="K3" s="5" t="s">
        <v>308</v>
      </c>
      <c r="L3" s="5" t="s">
        <v>309</v>
      </c>
      <c r="M3" s="5" t="s">
        <v>310</v>
      </c>
      <c r="N3" s="5" t="s">
        <v>311</v>
      </c>
      <c r="O3" s="5" t="s">
        <v>312</v>
      </c>
    </row>
    <row r="4" spans="1:15" ht="15" customHeight="1" x14ac:dyDescent="0.25">
      <c r="A4" s="10" t="s">
        <v>20</v>
      </c>
      <c r="B4" s="18">
        <f>Zone_Site_Means!$D$4*Parameters!$B$4</f>
        <v>4.4101515151515154E-3</v>
      </c>
      <c r="C4" s="18">
        <f>Zone_Site_Means!$AH$4*Parameters!$B$4</f>
        <v>1.1138E-2</v>
      </c>
      <c r="D4" s="18">
        <f>Parameters!$J$21</f>
        <v>1E-3</v>
      </c>
      <c r="E4" s="14">
        <f t="shared" ref="E4:E17" si="0">IF(ISNUMBER(D4),IF(D4&gt;0,B4/D4,"n/a"),"–")</f>
        <v>4.4101515151515152</v>
      </c>
      <c r="F4" s="14">
        <f t="shared" ref="F4:F17" si="1">IF(ISNUMBER(D4),IF(D4&gt;0,C4/D4,"n/a"),"–")</f>
        <v>11.138</v>
      </c>
      <c r="G4" s="18">
        <f>Parameters!$K$21</f>
        <v>2.5000000000000001E-2</v>
      </c>
      <c r="H4" s="14">
        <f t="shared" ref="H4:H17" si="2">IF(ISNUMBER(G4),IF(G4&gt;0,B4/G4,"n/a"),"–")</f>
        <v>0.17640606060606059</v>
      </c>
      <c r="I4" s="14">
        <f t="shared" ref="I4:I17" si="3">IF(ISNUMBER(G4),IF(G4&gt;0,C4/G4,"n/a"),"–")</f>
        <v>0.44551999999999997</v>
      </c>
      <c r="J4" s="18" t="str">
        <f>Parameters!$L$21</f>
        <v>–</v>
      </c>
      <c r="K4" s="14" t="str">
        <f t="shared" ref="K4:K17" si="4">IF(ISNUMBER(J4),IF(J4&gt;0,B4/J4,"n/a"),"–")</f>
        <v>–</v>
      </c>
      <c r="L4" s="14" t="str">
        <f t="shared" ref="L4:L17" si="5">IF(ISNUMBER(J4),IF(J4&gt;0,C4/J4,"n/a"),"–")</f>
        <v>–</v>
      </c>
      <c r="M4" s="18">
        <f>Parameters!$M$21</f>
        <v>1</v>
      </c>
      <c r="N4" s="14">
        <f t="shared" ref="N4:N17" si="6">IF(ISNUMBER(M4),IF(M4&gt;0,B4/M4,"n/a"),"–")</f>
        <v>4.4101515151515154E-3</v>
      </c>
      <c r="O4" s="14">
        <f t="shared" ref="O4:O17" si="7">IF(ISNUMBER(M4),IF(M4&gt;0,C4/M4,"n/a"),"–")</f>
        <v>1.1138E-2</v>
      </c>
    </row>
    <row r="5" spans="1:15" ht="15" customHeight="1" x14ac:dyDescent="0.25">
      <c r="A5" s="10" t="s">
        <v>21</v>
      </c>
      <c r="B5" s="18">
        <f>Zone_Site_Means!$E$4*Parameters!$B$4</f>
        <v>5.2183999999999989E-3</v>
      </c>
      <c r="C5" s="18">
        <f>Zone_Site_Means!$AI$4*Parameters!$B$4</f>
        <v>1.5797200000000001E-2</v>
      </c>
      <c r="D5" s="18">
        <f>Parameters!$J$22</f>
        <v>1E-3</v>
      </c>
      <c r="E5" s="14">
        <f t="shared" si="0"/>
        <v>5.218399999999999</v>
      </c>
      <c r="F5" s="14">
        <f t="shared" si="1"/>
        <v>15.7972</v>
      </c>
      <c r="G5" s="18">
        <f>Parameters!$K$22</f>
        <v>0.01</v>
      </c>
      <c r="H5" s="14">
        <f t="shared" si="2"/>
        <v>0.52183999999999986</v>
      </c>
      <c r="I5" s="14">
        <f t="shared" si="3"/>
        <v>1.57972</v>
      </c>
      <c r="J5" s="18" t="str">
        <f>Parameters!$L$22</f>
        <v>–</v>
      </c>
      <c r="K5" s="14" t="str">
        <f t="shared" si="4"/>
        <v>–</v>
      </c>
      <c r="L5" s="14" t="str">
        <f t="shared" si="5"/>
        <v>–</v>
      </c>
      <c r="M5" s="18">
        <f>Parameters!$M$22</f>
        <v>1</v>
      </c>
      <c r="N5" s="14">
        <f t="shared" si="6"/>
        <v>5.2183999999999989E-3</v>
      </c>
      <c r="O5" s="14">
        <f t="shared" si="7"/>
        <v>1.5797200000000001E-2</v>
      </c>
    </row>
    <row r="6" spans="1:15" ht="15" customHeight="1" x14ac:dyDescent="0.25">
      <c r="A6" s="10" t="s">
        <v>22</v>
      </c>
      <c r="B6" s="18">
        <f>Zone_Site_Means!$F$4*Parameters!$B$4</f>
        <v>3.7881515151515156E-3</v>
      </c>
      <c r="C6" s="18">
        <f>Zone_Site_Means!$AJ$4*Parameters!$B$4</f>
        <v>9.5459999999999989E-3</v>
      </c>
      <c r="D6" s="18">
        <f>Parameters!$J$23</f>
        <v>1E-3</v>
      </c>
      <c r="E6" s="14">
        <f t="shared" si="0"/>
        <v>3.7881515151515157</v>
      </c>
      <c r="F6" s="14">
        <f t="shared" si="1"/>
        <v>9.5459999999999994</v>
      </c>
      <c r="G6" s="18">
        <f>Parameters!$K$23</f>
        <v>2.5000000000000001E-2</v>
      </c>
      <c r="H6" s="14">
        <f t="shared" si="2"/>
        <v>0.15152606060606061</v>
      </c>
      <c r="I6" s="14">
        <f t="shared" si="3"/>
        <v>0.38183999999999996</v>
      </c>
      <c r="J6" s="18" t="str">
        <f>Parameters!$L$23</f>
        <v>–</v>
      </c>
      <c r="K6" s="14" t="str">
        <f t="shared" si="4"/>
        <v>–</v>
      </c>
      <c r="L6" s="14" t="str">
        <f t="shared" si="5"/>
        <v>–</v>
      </c>
      <c r="M6" s="18">
        <f>Parameters!$M$23</f>
        <v>1</v>
      </c>
      <c r="N6" s="14">
        <f t="shared" si="6"/>
        <v>3.7881515151515156E-3</v>
      </c>
      <c r="O6" s="14">
        <f t="shared" si="7"/>
        <v>9.5459999999999989E-3</v>
      </c>
    </row>
    <row r="7" spans="1:15" ht="15" customHeight="1" x14ac:dyDescent="0.25">
      <c r="A7" s="10" t="s">
        <v>23</v>
      </c>
      <c r="B7" s="18">
        <f>Zone_Site_Means!$G$4*Parameters!$B$4</f>
        <v>4.7992424242424237E-3</v>
      </c>
      <c r="C7" s="18">
        <f>Zone_Site_Means!$AK$4*Parameters!$B$4</f>
        <v>1.0612E-2</v>
      </c>
      <c r="D7" s="18">
        <f>Parameters!$J$24</f>
        <v>1E-3</v>
      </c>
      <c r="E7" s="14">
        <f t="shared" si="0"/>
        <v>4.7992424242424239</v>
      </c>
      <c r="F7" s="14">
        <f t="shared" si="1"/>
        <v>10.612</v>
      </c>
      <c r="G7" s="18">
        <f>Parameters!$K$24</f>
        <v>2.5000000000000001E-2</v>
      </c>
      <c r="H7" s="14">
        <f t="shared" si="2"/>
        <v>0.19196969696969693</v>
      </c>
      <c r="I7" s="14">
        <f t="shared" si="3"/>
        <v>0.42447999999999997</v>
      </c>
      <c r="J7" s="18" t="str">
        <f>Parameters!$L$24</f>
        <v>–</v>
      </c>
      <c r="K7" s="14" t="str">
        <f t="shared" si="4"/>
        <v>–</v>
      </c>
      <c r="L7" s="14" t="str">
        <f t="shared" si="5"/>
        <v>–</v>
      </c>
      <c r="M7" s="18">
        <f>Parameters!$M$24</f>
        <v>1</v>
      </c>
      <c r="N7" s="14">
        <f t="shared" si="6"/>
        <v>4.7992424242424237E-3</v>
      </c>
      <c r="O7" s="14">
        <f t="shared" si="7"/>
        <v>1.0612E-2</v>
      </c>
    </row>
    <row r="8" spans="1:15" ht="15" customHeight="1" x14ac:dyDescent="0.25">
      <c r="A8" s="10" t="s">
        <v>24</v>
      </c>
      <c r="B8" s="18">
        <f>Zone_Site_Means!$H$4*Parameters!$B$4</f>
        <v>6.2361212121212119E-3</v>
      </c>
      <c r="C8" s="18">
        <f>Zone_Site_Means!$AL$4*Parameters!$B$4</f>
        <v>9.9830000000000006E-3</v>
      </c>
      <c r="D8" s="18">
        <f>Parameters!$J$25</f>
        <v>1E-3</v>
      </c>
      <c r="E8" s="14">
        <f t="shared" si="0"/>
        <v>6.236121212121212</v>
      </c>
      <c r="F8" s="14">
        <f t="shared" si="1"/>
        <v>9.9830000000000005</v>
      </c>
      <c r="G8" s="18">
        <f>Parameters!$K$25</f>
        <v>2.5000000000000001E-2</v>
      </c>
      <c r="H8" s="14">
        <f t="shared" si="2"/>
        <v>0.24944484848484846</v>
      </c>
      <c r="I8" s="14">
        <f t="shared" si="3"/>
        <v>0.39932000000000001</v>
      </c>
      <c r="J8" s="18" t="str">
        <f>Parameters!$L$25</f>
        <v>–</v>
      </c>
      <c r="K8" s="14" t="str">
        <f t="shared" si="4"/>
        <v>–</v>
      </c>
      <c r="L8" s="14" t="str">
        <f t="shared" si="5"/>
        <v>–</v>
      </c>
      <c r="M8" s="18">
        <f>Parameters!$M$25</f>
        <v>1</v>
      </c>
      <c r="N8" s="14">
        <f t="shared" si="6"/>
        <v>6.2361212121212119E-3</v>
      </c>
      <c r="O8" s="14">
        <f t="shared" si="7"/>
        <v>9.9830000000000006E-3</v>
      </c>
    </row>
    <row r="9" spans="1:15" ht="15" customHeight="1" x14ac:dyDescent="0.25">
      <c r="A9" s="10" t="s">
        <v>25</v>
      </c>
      <c r="B9" s="18">
        <f>Zone_Site_Means!$I$4*Parameters!$B$4</f>
        <v>1.3251939393939394E-2</v>
      </c>
      <c r="C9" s="18">
        <f>Zone_Site_Means!$AM$4*Parameters!$B$4</f>
        <v>2.315E-2</v>
      </c>
      <c r="D9" s="18">
        <f>Parameters!$J$26</f>
        <v>1E-3</v>
      </c>
      <c r="E9" s="14">
        <f t="shared" si="0"/>
        <v>13.251939393939393</v>
      </c>
      <c r="F9" s="14">
        <f t="shared" si="1"/>
        <v>23.15</v>
      </c>
      <c r="G9" s="18">
        <f>Parameters!$K$26</f>
        <v>2.5000000000000001E-2</v>
      </c>
      <c r="H9" s="14">
        <f t="shared" si="2"/>
        <v>0.53007757575757575</v>
      </c>
      <c r="I9" s="14">
        <f t="shared" si="3"/>
        <v>0.92599999999999993</v>
      </c>
      <c r="J9" s="18" t="str">
        <f>Parameters!$L$26</f>
        <v>–</v>
      </c>
      <c r="K9" s="14" t="str">
        <f t="shared" si="4"/>
        <v>–</v>
      </c>
      <c r="L9" s="14" t="str">
        <f t="shared" si="5"/>
        <v>–</v>
      </c>
      <c r="M9" s="18">
        <f>Parameters!$M$26</f>
        <v>1</v>
      </c>
      <c r="N9" s="14">
        <f t="shared" si="6"/>
        <v>1.3251939393939394E-2</v>
      </c>
      <c r="O9" s="14">
        <f t="shared" si="7"/>
        <v>2.315E-2</v>
      </c>
    </row>
    <row r="10" spans="1:15" ht="15" customHeight="1" x14ac:dyDescent="0.25">
      <c r="A10" s="10" t="s">
        <v>26</v>
      </c>
      <c r="B10" s="18">
        <f>Zone_Site_Means!$J$4*Parameters!$B$4</f>
        <v>4.7611363636363641E-3</v>
      </c>
      <c r="C10" s="18">
        <f>Zone_Site_Means!$AN$4*Parameters!$B$4</f>
        <v>9.4369999999999992E-3</v>
      </c>
      <c r="D10" s="18" t="str">
        <f>Parameters!$J$27</f>
        <v>–</v>
      </c>
      <c r="E10" s="14" t="str">
        <f t="shared" si="0"/>
        <v>–</v>
      </c>
      <c r="F10" s="14" t="str">
        <f t="shared" si="1"/>
        <v>–</v>
      </c>
      <c r="G10" s="18">
        <f>Parameters!$K$27</f>
        <v>0.02</v>
      </c>
      <c r="H10" s="14">
        <f t="shared" si="2"/>
        <v>0.2380568181818182</v>
      </c>
      <c r="I10" s="14">
        <f t="shared" si="3"/>
        <v>0.47184999999999994</v>
      </c>
      <c r="J10" s="18" t="str">
        <f>Parameters!$L$27</f>
        <v>–</v>
      </c>
      <c r="K10" s="14" t="str">
        <f t="shared" si="4"/>
        <v>–</v>
      </c>
      <c r="L10" s="14" t="str">
        <f t="shared" si="5"/>
        <v>–</v>
      </c>
      <c r="M10" s="18" t="str">
        <f>Parameters!$M$27</f>
        <v>–</v>
      </c>
      <c r="N10" s="14" t="str">
        <f t="shared" si="6"/>
        <v>–</v>
      </c>
      <c r="O10" s="14" t="str">
        <f t="shared" si="7"/>
        <v>–</v>
      </c>
    </row>
    <row r="11" spans="1:15" ht="15" customHeight="1" x14ac:dyDescent="0.25">
      <c r="A11" s="10" t="s">
        <v>27</v>
      </c>
      <c r="B11" s="18">
        <f>Zone_Site_Means!$K$4*Parameters!$B$4</f>
        <v>8.6328181818181807E-3</v>
      </c>
      <c r="C11" s="18">
        <f>Zone_Site_Means!$AO$4*Parameters!$B$4</f>
        <v>1.4618000000000001E-2</v>
      </c>
      <c r="D11" s="18" t="str">
        <f>Parameters!$J$28</f>
        <v>–</v>
      </c>
      <c r="E11" s="14" t="str">
        <f t="shared" si="0"/>
        <v>–</v>
      </c>
      <c r="F11" s="14" t="str">
        <f t="shared" si="1"/>
        <v>–</v>
      </c>
      <c r="G11" s="18">
        <f>Parameters!$K$28</f>
        <v>0.02</v>
      </c>
      <c r="H11" s="14">
        <f t="shared" si="2"/>
        <v>0.43164090909090902</v>
      </c>
      <c r="I11" s="14">
        <f t="shared" si="3"/>
        <v>0.73089999999999999</v>
      </c>
      <c r="J11" s="18" t="str">
        <f>Parameters!$L$28</f>
        <v>–</v>
      </c>
      <c r="K11" s="14" t="str">
        <f t="shared" si="4"/>
        <v>–</v>
      </c>
      <c r="L11" s="14" t="str">
        <f t="shared" si="5"/>
        <v>–</v>
      </c>
      <c r="M11" s="18" t="str">
        <f>Parameters!$M$28</f>
        <v>–</v>
      </c>
      <c r="N11" s="14" t="str">
        <f t="shared" si="6"/>
        <v>–</v>
      </c>
      <c r="O11" s="14" t="str">
        <f t="shared" si="7"/>
        <v>–</v>
      </c>
    </row>
    <row r="12" spans="1:15" ht="15" customHeight="1" x14ac:dyDescent="0.25">
      <c r="A12" s="10" t="s">
        <v>28</v>
      </c>
      <c r="B12" s="18">
        <f>Zone_Site_Means!$L$4*Parameters!$B$4</f>
        <v>2.0428484848484846E-3</v>
      </c>
      <c r="C12" s="18">
        <f>Zone_Site_Means!$AP$4*Parameters!$B$4</f>
        <v>5.476E-3</v>
      </c>
      <c r="D12" s="18" t="str">
        <f>Parameters!$J$29</f>
        <v>–</v>
      </c>
      <c r="E12" s="14" t="str">
        <f t="shared" si="0"/>
        <v>–</v>
      </c>
      <c r="F12" s="14" t="str">
        <f t="shared" si="1"/>
        <v>–</v>
      </c>
      <c r="G12" s="18">
        <f>Parameters!$K$29</f>
        <v>0.02</v>
      </c>
      <c r="H12" s="14">
        <f t="shared" si="2"/>
        <v>0.10214242424242423</v>
      </c>
      <c r="I12" s="14">
        <f t="shared" si="3"/>
        <v>0.27379999999999999</v>
      </c>
      <c r="J12" s="18">
        <f>Parameters!$L$29</f>
        <v>0.01</v>
      </c>
      <c r="K12" s="14">
        <f t="shared" si="4"/>
        <v>0.20428484848484846</v>
      </c>
      <c r="L12" s="14">
        <f t="shared" si="5"/>
        <v>0.54759999999999998</v>
      </c>
      <c r="M12" s="18">
        <f>Parameters!$M$29</f>
        <v>2</v>
      </c>
      <c r="N12" s="14">
        <f t="shared" si="6"/>
        <v>1.0214242424242423E-3</v>
      </c>
      <c r="O12" s="14">
        <f t="shared" si="7"/>
        <v>2.738E-3</v>
      </c>
    </row>
    <row r="13" spans="1:15" ht="15" customHeight="1" x14ac:dyDescent="0.25">
      <c r="A13" s="10" t="s">
        <v>29</v>
      </c>
      <c r="B13" s="18">
        <f>Zone_Site_Means!$M$4*Parameters!$B$4</f>
        <v>4.0948090909090915E-3</v>
      </c>
      <c r="C13" s="18">
        <f>Zone_Site_Means!$AQ$4*Parameters!$B$4</f>
        <v>1.4612E-2</v>
      </c>
      <c r="D13" s="18" t="str">
        <f>Parameters!$J$30</f>
        <v>–</v>
      </c>
      <c r="E13" s="14" t="str">
        <f t="shared" si="0"/>
        <v>–</v>
      </c>
      <c r="F13" s="14" t="str">
        <f t="shared" si="1"/>
        <v>–</v>
      </c>
      <c r="G13" s="18">
        <f>Parameters!$K$30</f>
        <v>0.02</v>
      </c>
      <c r="H13" s="14">
        <f t="shared" si="2"/>
        <v>0.20474045454545456</v>
      </c>
      <c r="I13" s="14">
        <f t="shared" si="3"/>
        <v>0.73060000000000003</v>
      </c>
      <c r="J13" s="18" t="str">
        <f>Parameters!$L$30</f>
        <v>–</v>
      </c>
      <c r="K13" s="14" t="str">
        <f t="shared" si="4"/>
        <v>–</v>
      </c>
      <c r="L13" s="14" t="str">
        <f t="shared" si="5"/>
        <v>–</v>
      </c>
      <c r="M13" s="18" t="str">
        <f>Parameters!$M$30</f>
        <v>–</v>
      </c>
      <c r="N13" s="14" t="str">
        <f t="shared" si="6"/>
        <v>–</v>
      </c>
      <c r="O13" s="14" t="str">
        <f t="shared" si="7"/>
        <v>–</v>
      </c>
    </row>
    <row r="14" spans="1:15" ht="15" customHeight="1" x14ac:dyDescent="0.25">
      <c r="A14" s="10" t="s">
        <v>30</v>
      </c>
      <c r="B14" s="18">
        <f>Zone_Site_Means!$N$4*Parameters!$B$4</f>
        <v>2.277300608213574E-3</v>
      </c>
      <c r="C14" s="18">
        <f>Zone_Site_Means!$AR$4*Parameters!$B$4</f>
        <v>6.7489999999999998E-3</v>
      </c>
      <c r="D14" s="18" t="str">
        <f>Parameters!$J$31</f>
        <v>–</v>
      </c>
      <c r="E14" s="14" t="str">
        <f t="shared" si="0"/>
        <v>–</v>
      </c>
      <c r="F14" s="14" t="str">
        <f t="shared" si="1"/>
        <v>–</v>
      </c>
      <c r="G14" s="18">
        <f>Parameters!$K$31</f>
        <v>0.01</v>
      </c>
      <c r="H14" s="14">
        <f t="shared" si="2"/>
        <v>0.22773006082135741</v>
      </c>
      <c r="I14" s="14">
        <f t="shared" si="3"/>
        <v>0.67489999999999994</v>
      </c>
      <c r="J14" s="18">
        <f>Parameters!$L$31</f>
        <v>4.0000000000000001E-3</v>
      </c>
      <c r="K14" s="14">
        <f t="shared" si="4"/>
        <v>0.56932515205339351</v>
      </c>
      <c r="L14" s="14">
        <f t="shared" si="5"/>
        <v>1.6872499999999999</v>
      </c>
      <c r="M14" s="18">
        <f>Parameters!$M$31</f>
        <v>0.03</v>
      </c>
      <c r="N14" s="14">
        <f t="shared" si="6"/>
        <v>7.5910020273785808E-2</v>
      </c>
      <c r="O14" s="14">
        <f t="shared" si="7"/>
        <v>0.22496666666666668</v>
      </c>
    </row>
    <row r="15" spans="1:15" ht="15" customHeight="1" x14ac:dyDescent="0.25">
      <c r="A15" s="10" t="s">
        <v>31</v>
      </c>
      <c r="B15" s="18">
        <f>Zone_Site_Means!$O$4*Parameters!$B$4</f>
        <v>3.92560606060606E-3</v>
      </c>
      <c r="C15" s="18">
        <f>Zone_Site_Means!$AS$4*Parameters!$B$4</f>
        <v>9.4780000000000003E-3</v>
      </c>
      <c r="D15" s="18">
        <f>Parameters!$J$32</f>
        <v>5.6000000000000001E-2</v>
      </c>
      <c r="E15" s="14">
        <f t="shared" si="0"/>
        <v>7.0100108225108218E-2</v>
      </c>
      <c r="F15" s="14">
        <f t="shared" si="1"/>
        <v>0.16925000000000001</v>
      </c>
      <c r="G15" s="18">
        <f>Parameters!$K$32</f>
        <v>0.01</v>
      </c>
      <c r="H15" s="14">
        <f t="shared" si="2"/>
        <v>0.392560606060606</v>
      </c>
      <c r="I15" s="14">
        <f t="shared" si="3"/>
        <v>0.94779999999999998</v>
      </c>
      <c r="J15" s="18">
        <f>Parameters!$L$32</f>
        <v>4.0000000000000001E-3</v>
      </c>
      <c r="K15" s="14">
        <f t="shared" si="4"/>
        <v>0.98140151515151497</v>
      </c>
      <c r="L15" s="14">
        <f t="shared" si="5"/>
        <v>2.3694999999999999</v>
      </c>
      <c r="M15" s="18">
        <f>Parameters!$M$32</f>
        <v>0.03</v>
      </c>
      <c r="N15" s="14">
        <f t="shared" si="6"/>
        <v>0.13085353535353533</v>
      </c>
      <c r="O15" s="14">
        <f t="shared" si="7"/>
        <v>0.31593333333333334</v>
      </c>
    </row>
    <row r="16" spans="1:15" ht="15" customHeight="1" x14ac:dyDescent="0.25">
      <c r="A16" s="10" t="s">
        <v>32</v>
      </c>
      <c r="B16" s="18">
        <f>Zone_Site_Means!$P$4*Parameters!$B$4</f>
        <v>2.5017575757575756E-3</v>
      </c>
      <c r="C16" s="18">
        <f>Zone_Site_Means!$AT$4*Parameters!$B$4</f>
        <v>6.8460000000000005E-3</v>
      </c>
      <c r="D16" s="18">
        <f>Parameters!$J$33</f>
        <v>3.8E-3</v>
      </c>
      <c r="E16" s="14">
        <f t="shared" si="0"/>
        <v>0.65835725677830936</v>
      </c>
      <c r="F16" s="14">
        <f t="shared" si="1"/>
        <v>1.8015789473684212</v>
      </c>
      <c r="G16" s="18">
        <f>Parameters!$K$33</f>
        <v>1.9999999999999999E-7</v>
      </c>
      <c r="H16" s="14">
        <f t="shared" si="2"/>
        <v>12508.787878787878</v>
      </c>
      <c r="I16" s="14">
        <f t="shared" si="3"/>
        <v>34230.000000000007</v>
      </c>
      <c r="J16" s="18">
        <f>Parameters!$L$33</f>
        <v>0.01</v>
      </c>
      <c r="K16" s="14">
        <f t="shared" si="4"/>
        <v>0.25017575757575755</v>
      </c>
      <c r="L16" s="14">
        <f t="shared" si="5"/>
        <v>0.68459999999999999</v>
      </c>
      <c r="M16" s="18" t="str">
        <f>Parameters!$M$33</f>
        <v>–</v>
      </c>
      <c r="N16" s="14" t="str">
        <f t="shared" si="6"/>
        <v>–</v>
      </c>
      <c r="O16" s="14" t="str">
        <f t="shared" si="7"/>
        <v>–</v>
      </c>
    </row>
    <row r="17" spans="1:15" ht="15" customHeight="1" x14ac:dyDescent="0.25">
      <c r="A17" s="10" t="s">
        <v>33</v>
      </c>
      <c r="B17" s="18">
        <f>Zone_Site_Means!$Q$4*Parameters!$B$4</f>
        <v>4.0036666666666667E-3</v>
      </c>
      <c r="C17" s="18">
        <f>Zone_Site_Means!$AU$4*Parameters!$B$4</f>
        <v>1.0176000000000001E-2</v>
      </c>
      <c r="D17" s="18">
        <f>Parameters!$J$34</f>
        <v>3.8E-3</v>
      </c>
      <c r="E17" s="14">
        <f t="shared" si="0"/>
        <v>1.0535964912280702</v>
      </c>
      <c r="F17" s="14">
        <f t="shared" si="1"/>
        <v>2.6778947368421053</v>
      </c>
      <c r="G17" s="18">
        <f>Parameters!$K$34</f>
        <v>1.9999999999999999E-7</v>
      </c>
      <c r="H17" s="14">
        <f t="shared" si="2"/>
        <v>20018.333333333336</v>
      </c>
      <c r="I17" s="14">
        <f t="shared" si="3"/>
        <v>50880.000000000007</v>
      </c>
      <c r="J17" s="18">
        <f>Parameters!$L$34</f>
        <v>0.01</v>
      </c>
      <c r="K17" s="14">
        <f t="shared" si="4"/>
        <v>0.40036666666666665</v>
      </c>
      <c r="L17" s="14">
        <f t="shared" si="5"/>
        <v>1.0176000000000001</v>
      </c>
      <c r="M17" s="18" t="str">
        <f>Parameters!$M$34</f>
        <v>–</v>
      </c>
      <c r="N17" s="14" t="str">
        <f t="shared" si="6"/>
        <v>–</v>
      </c>
      <c r="O17" s="14" t="str">
        <f t="shared" si="7"/>
        <v>–</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6"/>
  <sheetViews>
    <sheetView zoomScaleNormal="100" workbookViewId="0"/>
  </sheetViews>
  <sheetFormatPr defaultColWidth="8.7109375" defaultRowHeight="15" x14ac:dyDescent="0.25"/>
  <cols>
    <col min="1" max="1" width="28" style="1" customWidth="1"/>
    <col min="2" max="2" width="40" style="1" customWidth="1"/>
    <col min="3" max="3" width="28" style="1" customWidth="1"/>
    <col min="4" max="5" width="12" style="1" customWidth="1"/>
    <col min="6" max="6" width="30" style="1" customWidth="1"/>
  </cols>
  <sheetData>
    <row r="1" spans="1:6" ht="15.75" customHeight="1" x14ac:dyDescent="0.25">
      <c r="A1" s="9" t="s">
        <v>313</v>
      </c>
    </row>
    <row r="3" spans="1:6" ht="15" customHeight="1" x14ac:dyDescent="0.25">
      <c r="A3" s="5" t="s">
        <v>314</v>
      </c>
      <c r="B3" s="5" t="s">
        <v>315</v>
      </c>
      <c r="C3" s="5" t="s">
        <v>316</v>
      </c>
      <c r="D3" s="5" t="s">
        <v>317</v>
      </c>
      <c r="E3" s="5" t="s">
        <v>318</v>
      </c>
      <c r="F3" s="5" t="s">
        <v>319</v>
      </c>
    </row>
    <row r="4" spans="1:6" ht="15" customHeight="1" x14ac:dyDescent="0.25">
      <c r="A4" s="10" t="s">
        <v>320</v>
      </c>
      <c r="B4" s="10" t="s">
        <v>34</v>
      </c>
      <c r="C4" s="10" t="s">
        <v>321</v>
      </c>
      <c r="D4" s="19">
        <v>12.4710635769459</v>
      </c>
      <c r="E4" s="19">
        <v>1.9585873831402E-3</v>
      </c>
      <c r="F4" s="10" t="s">
        <v>322</v>
      </c>
    </row>
    <row r="5" spans="1:6" ht="15" customHeight="1" x14ac:dyDescent="0.25">
      <c r="A5" s="10" t="s">
        <v>320</v>
      </c>
      <c r="B5" s="10" t="s">
        <v>34</v>
      </c>
      <c r="C5" s="10" t="s">
        <v>323</v>
      </c>
      <c r="D5" s="19">
        <v>30.951871657754001</v>
      </c>
      <c r="E5" s="19">
        <v>5.9755986102169199E-4</v>
      </c>
      <c r="F5" s="10" t="s">
        <v>324</v>
      </c>
    </row>
    <row r="6" spans="1:6" ht="15" customHeight="1" x14ac:dyDescent="0.25">
      <c r="A6" s="10" t="s">
        <v>325</v>
      </c>
      <c r="B6" s="10" t="s">
        <v>326</v>
      </c>
      <c r="C6" s="10" t="s">
        <v>327</v>
      </c>
      <c r="D6" s="19">
        <v>0.79604701643433595</v>
      </c>
      <c r="E6" s="19">
        <v>3.0488810375983997E-8</v>
      </c>
      <c r="F6" s="10" t="s">
        <v>328</v>
      </c>
    </row>
    <row r="7" spans="1:6" ht="15" customHeight="1" x14ac:dyDescent="0.25">
      <c r="A7" s="10" t="s">
        <v>329</v>
      </c>
      <c r="B7" s="10" t="s">
        <v>34</v>
      </c>
      <c r="C7" s="10" t="s">
        <v>330</v>
      </c>
      <c r="D7" s="19">
        <v>27</v>
      </c>
      <c r="E7" s="19">
        <v>0.250998270442923</v>
      </c>
      <c r="F7" s="10" t="s">
        <v>331</v>
      </c>
    </row>
    <row r="8" spans="1:6" ht="15" customHeight="1" x14ac:dyDescent="0.25">
      <c r="A8" s="10" t="s">
        <v>329</v>
      </c>
      <c r="B8" s="10" t="s">
        <v>34</v>
      </c>
      <c r="C8" s="10" t="s">
        <v>332</v>
      </c>
      <c r="D8" s="19">
        <v>14</v>
      </c>
      <c r="E8" s="19">
        <v>1.5760167771708699E-3</v>
      </c>
      <c r="F8" s="10" t="s">
        <v>333</v>
      </c>
    </row>
    <row r="9" spans="1:6" ht="15" customHeight="1" x14ac:dyDescent="0.25">
      <c r="A9" s="10" t="s">
        <v>329</v>
      </c>
      <c r="B9" s="10" t="s">
        <v>34</v>
      </c>
      <c r="C9" s="10" t="s">
        <v>334</v>
      </c>
      <c r="D9" s="19">
        <v>24</v>
      </c>
      <c r="E9" s="19">
        <v>1.0346620678097799E-2</v>
      </c>
      <c r="F9" s="10" t="s">
        <v>333</v>
      </c>
    </row>
    <row r="10" spans="1:6" ht="15" customHeight="1" x14ac:dyDescent="0.25">
      <c r="A10" s="10" t="s">
        <v>320</v>
      </c>
      <c r="B10" s="10" t="s">
        <v>21</v>
      </c>
      <c r="C10" s="10" t="s">
        <v>335</v>
      </c>
      <c r="D10" s="19">
        <v>17.359477124183002</v>
      </c>
      <c r="E10" s="19">
        <v>1.6999550505925401E-4</v>
      </c>
      <c r="F10" s="10" t="s">
        <v>322</v>
      </c>
    </row>
    <row r="11" spans="1:6" ht="15" customHeight="1" x14ac:dyDescent="0.25">
      <c r="A11" s="10" t="s">
        <v>320</v>
      </c>
      <c r="B11" s="10" t="s">
        <v>23</v>
      </c>
      <c r="C11" s="10" t="s">
        <v>335</v>
      </c>
      <c r="D11" s="19">
        <v>16.1349970291147</v>
      </c>
      <c r="E11" s="19">
        <v>3.1356668331616102E-4</v>
      </c>
      <c r="F11" s="10" t="s">
        <v>322</v>
      </c>
    </row>
    <row r="12" spans="1:6" ht="15" customHeight="1" x14ac:dyDescent="0.25">
      <c r="A12" s="10" t="s">
        <v>320</v>
      </c>
      <c r="B12" s="10" t="s">
        <v>29</v>
      </c>
      <c r="C12" s="10" t="s">
        <v>335</v>
      </c>
      <c r="D12" s="19">
        <v>7.7123699594703101</v>
      </c>
      <c r="E12" s="19">
        <v>2.1148527879146801E-2</v>
      </c>
      <c r="F12" s="10" t="s">
        <v>322</v>
      </c>
    </row>
    <row r="13" spans="1:6" ht="15" customHeight="1" x14ac:dyDescent="0.25">
      <c r="A13" s="10" t="s">
        <v>320</v>
      </c>
      <c r="B13" s="10" t="s">
        <v>26</v>
      </c>
      <c r="C13" s="10" t="s">
        <v>335</v>
      </c>
      <c r="D13" s="19">
        <v>16.412175738491499</v>
      </c>
      <c r="E13" s="19">
        <v>2.7298659426381602E-4</v>
      </c>
      <c r="F13" s="10" t="s">
        <v>322</v>
      </c>
    </row>
    <row r="14" spans="1:6" ht="15" customHeight="1" x14ac:dyDescent="0.25">
      <c r="A14" s="10" t="s">
        <v>320</v>
      </c>
      <c r="B14" s="10" t="s">
        <v>32</v>
      </c>
      <c r="C14" s="10" t="s">
        <v>335</v>
      </c>
      <c r="D14" s="19">
        <v>4.1204009204009102</v>
      </c>
      <c r="E14" s="19">
        <v>0.12742842300711901</v>
      </c>
      <c r="F14" s="10" t="s">
        <v>331</v>
      </c>
    </row>
    <row r="15" spans="1:6" ht="15" customHeight="1" x14ac:dyDescent="0.25">
      <c r="A15" s="10" t="s">
        <v>320</v>
      </c>
      <c r="B15" s="10" t="s">
        <v>27</v>
      </c>
      <c r="C15" s="10" t="s">
        <v>335</v>
      </c>
      <c r="D15" s="19">
        <v>20.387588550915599</v>
      </c>
      <c r="E15" s="19">
        <v>3.7401704659263601E-5</v>
      </c>
      <c r="F15" s="10" t="s">
        <v>322</v>
      </c>
    </row>
    <row r="16" spans="1:6" ht="15" customHeight="1" x14ac:dyDescent="0.25">
      <c r="A16" s="10" t="s">
        <v>320</v>
      </c>
      <c r="B16" s="10" t="s">
        <v>30</v>
      </c>
      <c r="C16" s="10" t="s">
        <v>335</v>
      </c>
      <c r="D16" s="19">
        <v>5.5493608064694797</v>
      </c>
      <c r="E16" s="19">
        <v>6.2369406565331298E-2</v>
      </c>
      <c r="F16" s="10" t="s">
        <v>331</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68"/>
  <sheetViews>
    <sheetView showGridLines="0" zoomScaleNormal="100" workbookViewId="0"/>
  </sheetViews>
  <sheetFormatPr defaultColWidth="8.7109375" defaultRowHeight="15" x14ac:dyDescent="0.25"/>
  <cols>
    <col min="1" max="1" width="30" customWidth="1"/>
    <col min="2" max="2" width="60" customWidth="1"/>
    <col min="3" max="7" width="14" customWidth="1"/>
  </cols>
  <sheetData>
    <row r="1" spans="1:5" ht="16.5" x14ac:dyDescent="0.25">
      <c r="A1" s="22" t="s">
        <v>336</v>
      </c>
    </row>
    <row r="2" spans="1:5" ht="132" x14ac:dyDescent="0.25">
      <c r="A2" s="23" t="s">
        <v>337</v>
      </c>
    </row>
    <row r="4" spans="1:5" x14ac:dyDescent="0.25">
      <c r="A4" s="24" t="s">
        <v>17</v>
      </c>
      <c r="B4" s="24" t="s">
        <v>18</v>
      </c>
      <c r="C4" s="24" t="s">
        <v>338</v>
      </c>
      <c r="D4" s="24" t="s">
        <v>339</v>
      </c>
      <c r="E4" s="24" t="s">
        <v>340</v>
      </c>
    </row>
    <row r="5" spans="1:5" x14ac:dyDescent="0.25">
      <c r="A5" s="25" t="str">
        <f>Raw_Data!A2</f>
        <v>BWR1</v>
      </c>
      <c r="B5" s="25" t="str">
        <f>Raw_Data!B2</f>
        <v>Up-stream</v>
      </c>
      <c r="C5" s="26">
        <f>Raw_Data!R2</f>
        <v>34.553000000000004</v>
      </c>
      <c r="D5" s="27">
        <f>1+COUNTIF(Raw_Data!$R$2:$R$34,"&lt;"&amp;C5)+(COUNTIF(Raw_Data!$R$2:$R$34,"="&amp;C5)-1)/2</f>
        <v>5</v>
      </c>
      <c r="E5" s="25">
        <f>COUNTIF(Raw_Data!$R$2:$R$34,"="&amp;C5)</f>
        <v>1</v>
      </c>
    </row>
    <row r="6" spans="1:5" x14ac:dyDescent="0.25">
      <c r="A6" s="25" t="str">
        <f>Raw_Data!A3</f>
        <v>BWR2</v>
      </c>
      <c r="B6" s="25" t="str">
        <f>Raw_Data!B3</f>
        <v>Up-stream</v>
      </c>
      <c r="C6" s="26">
        <f>Raw_Data!R3</f>
        <v>30.391000000000002</v>
      </c>
      <c r="D6" s="27">
        <f>1+COUNTIF(Raw_Data!$R$2:$R$34,"&lt;"&amp;C6)+(COUNTIF(Raw_Data!$R$2:$R$34,"="&amp;C6)-1)/2</f>
        <v>4</v>
      </c>
      <c r="E6" s="25">
        <f>COUNTIF(Raw_Data!$R$2:$R$34,"="&amp;C6)</f>
        <v>1</v>
      </c>
    </row>
    <row r="7" spans="1:5" x14ac:dyDescent="0.25">
      <c r="A7" s="25" t="str">
        <f>Raw_Data!A4</f>
        <v>BWR3</v>
      </c>
      <c r="B7" s="25" t="str">
        <f>Raw_Data!B4</f>
        <v>Up-stream</v>
      </c>
      <c r="C7" s="26">
        <f>Raw_Data!R4</f>
        <v>36.054999999999993</v>
      </c>
      <c r="D7" s="27">
        <f>1+COUNTIF(Raw_Data!$R$2:$R$34,"&lt;"&amp;C7)+(COUNTIF(Raw_Data!$R$2:$R$34,"="&amp;C7)-1)/2</f>
        <v>6</v>
      </c>
      <c r="E7" s="25">
        <f>COUNTIF(Raw_Data!$R$2:$R$34,"="&amp;C7)</f>
        <v>1</v>
      </c>
    </row>
    <row r="8" spans="1:5" x14ac:dyDescent="0.25">
      <c r="A8" s="25" t="str">
        <f>Raw_Data!A5</f>
        <v>EWR1</v>
      </c>
      <c r="B8" s="25" t="str">
        <f>Raw_Data!B5</f>
        <v>Up-stream</v>
      </c>
      <c r="C8" s="26">
        <f>Raw_Data!R5</f>
        <v>18.082999999999998</v>
      </c>
      <c r="D8" s="27">
        <f>1+COUNTIF(Raw_Data!$R$2:$R$34,"&lt;"&amp;C8)+(COUNTIF(Raw_Data!$R$2:$R$34,"="&amp;C8)-1)/2</f>
        <v>3</v>
      </c>
      <c r="E8" s="25">
        <f>COUNTIF(Raw_Data!$R$2:$R$34,"="&amp;C8)</f>
        <v>1</v>
      </c>
    </row>
    <row r="9" spans="1:5" x14ac:dyDescent="0.25">
      <c r="A9" s="25" t="str">
        <f>Raw_Data!A6</f>
        <v>EWR2</v>
      </c>
      <c r="B9" s="25" t="str">
        <f>Raw_Data!B6</f>
        <v>Up-stream</v>
      </c>
      <c r="C9" s="26">
        <f>Raw_Data!R6</f>
        <v>17.024000000000001</v>
      </c>
      <c r="D9" s="27">
        <f>1+COUNTIF(Raw_Data!$R$2:$R$34,"&lt;"&amp;C9)+(COUNTIF(Raw_Data!$R$2:$R$34,"="&amp;C9)-1)/2</f>
        <v>1</v>
      </c>
      <c r="E9" s="25">
        <f>COUNTIF(Raw_Data!$R$2:$R$34,"="&amp;C9)</f>
        <v>1</v>
      </c>
    </row>
    <row r="10" spans="1:5" x14ac:dyDescent="0.25">
      <c r="A10" s="25" t="str">
        <f>Raw_Data!A7</f>
        <v>EWR3</v>
      </c>
      <c r="B10" s="25" t="str">
        <f>Raw_Data!B7</f>
        <v>Up-stream</v>
      </c>
      <c r="C10" s="26">
        <f>Raw_Data!R7</f>
        <v>17.597999999999999</v>
      </c>
      <c r="D10" s="27">
        <f>1+COUNTIF(Raw_Data!$R$2:$R$34,"&lt;"&amp;C10)+(COUNTIF(Raw_Data!$R$2:$R$34,"="&amp;C10)-1)/2</f>
        <v>2</v>
      </c>
      <c r="E10" s="25">
        <f>COUNTIF(Raw_Data!$R$2:$R$34,"="&amp;C10)</f>
        <v>1</v>
      </c>
    </row>
    <row r="11" spans="1:5" x14ac:dyDescent="0.25">
      <c r="A11" s="25" t="str">
        <f>Raw_Data!A8</f>
        <v>NZWR1</v>
      </c>
      <c r="B11" s="25" t="str">
        <f>Raw_Data!B8</f>
        <v>Up-stream</v>
      </c>
      <c r="C11" s="26">
        <f>Raw_Data!R8</f>
        <v>84.49</v>
      </c>
      <c r="D11" s="27">
        <f>1+COUNTIF(Raw_Data!$R$2:$R$34,"&lt;"&amp;C11)+(COUNTIF(Raw_Data!$R$2:$R$34,"="&amp;C11)-1)/2</f>
        <v>22</v>
      </c>
      <c r="E11" s="25">
        <f>COUNTIF(Raw_Data!$R$2:$R$34,"="&amp;C11)</f>
        <v>1</v>
      </c>
    </row>
    <row r="12" spans="1:5" x14ac:dyDescent="0.25">
      <c r="A12" s="25" t="str">
        <f>Raw_Data!A9</f>
        <v>NZWR2</v>
      </c>
      <c r="B12" s="25" t="str">
        <f>Raw_Data!B9</f>
        <v>Up-stream</v>
      </c>
      <c r="C12" s="26">
        <f>Raw_Data!R9</f>
        <v>93.039000000000001</v>
      </c>
      <c r="D12" s="27">
        <f>1+COUNTIF(Raw_Data!$R$2:$R$34,"&lt;"&amp;C12)+(COUNTIF(Raw_Data!$R$2:$R$34,"="&amp;C12)-1)/2</f>
        <v>27</v>
      </c>
      <c r="E12" s="25">
        <f>COUNTIF(Raw_Data!$R$2:$R$34,"="&amp;C12)</f>
        <v>1</v>
      </c>
    </row>
    <row r="13" spans="1:5" x14ac:dyDescent="0.25">
      <c r="A13" s="25" t="str">
        <f>Raw_Data!A10</f>
        <v>NZWR3</v>
      </c>
      <c r="B13" s="25" t="str">
        <f>Raw_Data!B10</f>
        <v>Up-stream</v>
      </c>
      <c r="C13" s="26">
        <f>Raw_Data!R10</f>
        <v>88.828000000000003</v>
      </c>
      <c r="D13" s="27">
        <f>1+COUNTIF(Raw_Data!$R$2:$R$34,"&lt;"&amp;C13)+(COUNTIF(Raw_Data!$R$2:$R$34,"="&amp;C13)-1)/2</f>
        <v>25</v>
      </c>
      <c r="E13" s="25">
        <f>COUNTIF(Raw_Data!$R$2:$R$34,"="&amp;C13)</f>
        <v>1</v>
      </c>
    </row>
    <row r="14" spans="1:5" x14ac:dyDescent="0.25">
      <c r="A14" s="25" t="str">
        <f>Raw_Data!A11</f>
        <v>SWR1</v>
      </c>
      <c r="B14" s="25" t="str">
        <f>Raw_Data!B11</f>
        <v>Mid-stream</v>
      </c>
      <c r="C14" s="26">
        <f>Raw_Data!R11</f>
        <v>37.274920071047951</v>
      </c>
      <c r="D14" s="27">
        <f>1+COUNTIF(Raw_Data!$R$2:$R$34,"&lt;"&amp;C14)+(COUNTIF(Raw_Data!$R$2:$R$34,"="&amp;C14)-1)/2</f>
        <v>7</v>
      </c>
      <c r="E14" s="25">
        <f>COUNTIF(Raw_Data!$R$2:$R$34,"="&amp;C14)</f>
        <v>1</v>
      </c>
    </row>
    <row r="15" spans="1:5" x14ac:dyDescent="0.25">
      <c r="A15" s="25" t="str">
        <f>Raw_Data!A12</f>
        <v>SWR2</v>
      </c>
      <c r="B15" s="25" t="str">
        <f>Raw_Data!B12</f>
        <v>Mid-stream</v>
      </c>
      <c r="C15" s="26">
        <f>Raw_Data!R12</f>
        <v>43.72</v>
      </c>
      <c r="D15" s="27">
        <f>1+COUNTIF(Raw_Data!$R$2:$R$34,"&lt;"&amp;C15)+(COUNTIF(Raw_Data!$R$2:$R$34,"="&amp;C15)-1)/2</f>
        <v>9</v>
      </c>
      <c r="E15" s="25">
        <f>COUNTIF(Raw_Data!$R$2:$R$34,"="&amp;C15)</f>
        <v>1</v>
      </c>
    </row>
    <row r="16" spans="1:5" x14ac:dyDescent="0.25">
      <c r="A16" s="25" t="str">
        <f>Raw_Data!A13</f>
        <v>SWR3</v>
      </c>
      <c r="B16" s="25" t="str">
        <f>Raw_Data!B13</f>
        <v>Mid-stream</v>
      </c>
      <c r="C16" s="26">
        <f>Raw_Data!R13</f>
        <v>40.133000000000003</v>
      </c>
      <c r="D16" s="27">
        <f>1+COUNTIF(Raw_Data!$R$2:$R$34,"&lt;"&amp;C16)+(COUNTIF(Raw_Data!$R$2:$R$34,"="&amp;C16)-1)/2</f>
        <v>8</v>
      </c>
      <c r="E16" s="25">
        <f>COUNTIF(Raw_Data!$R$2:$R$34,"="&amp;C16)</f>
        <v>1</v>
      </c>
    </row>
    <row r="17" spans="1:5" x14ac:dyDescent="0.25">
      <c r="A17" s="25" t="str">
        <f>Raw_Data!A14</f>
        <v>NIWR1</v>
      </c>
      <c r="B17" s="25" t="str">
        <f>Raw_Data!B14</f>
        <v>Mid-stream</v>
      </c>
      <c r="C17" s="26">
        <f>Raw_Data!R14</f>
        <v>52.597699999999996</v>
      </c>
      <c r="D17" s="27">
        <f>1+COUNTIF(Raw_Data!$R$2:$R$34,"&lt;"&amp;C17)+(COUNTIF(Raw_Data!$R$2:$R$34,"="&amp;C17)-1)/2</f>
        <v>12</v>
      </c>
      <c r="E17" s="25">
        <f>COUNTIF(Raw_Data!$R$2:$R$34,"="&amp;C17)</f>
        <v>1</v>
      </c>
    </row>
    <row r="18" spans="1:5" x14ac:dyDescent="0.25">
      <c r="A18" s="25" t="str">
        <f>Raw_Data!A15</f>
        <v>NIWR2</v>
      </c>
      <c r="B18" s="25" t="str">
        <f>Raw_Data!B15</f>
        <v>Mid-stream</v>
      </c>
      <c r="C18" s="26">
        <f>Raw_Data!R15</f>
        <v>51.091999999999999</v>
      </c>
      <c r="D18" s="27">
        <f>1+COUNTIF(Raw_Data!$R$2:$R$34,"&lt;"&amp;C18)+(COUNTIF(Raw_Data!$R$2:$R$34,"="&amp;C18)-1)/2</f>
        <v>11</v>
      </c>
      <c r="E18" s="25">
        <f>COUNTIF(Raw_Data!$R$2:$R$34,"="&amp;C18)</f>
        <v>1</v>
      </c>
    </row>
    <row r="19" spans="1:5" x14ac:dyDescent="0.25">
      <c r="A19" s="25" t="str">
        <f>Raw_Data!A16</f>
        <v>NIWR3</v>
      </c>
      <c r="B19" s="25" t="str">
        <f>Raw_Data!B16</f>
        <v>Mid-stream</v>
      </c>
      <c r="C19" s="26">
        <f>Raw_Data!R16</f>
        <v>49.131999999999998</v>
      </c>
      <c r="D19" s="27">
        <f>1+COUNTIF(Raw_Data!$R$2:$R$34,"&lt;"&amp;C19)+(COUNTIF(Raw_Data!$R$2:$R$34,"="&amp;C19)-1)/2</f>
        <v>10</v>
      </c>
      <c r="E19" s="25">
        <f>COUNTIF(Raw_Data!$R$2:$R$34,"="&amp;C19)</f>
        <v>1</v>
      </c>
    </row>
    <row r="20" spans="1:5" x14ac:dyDescent="0.25">
      <c r="A20" s="25" t="str">
        <f>Raw_Data!A17</f>
        <v>NDWR1</v>
      </c>
      <c r="B20" s="25" t="str">
        <f>Raw_Data!B17</f>
        <v>Mid-stream</v>
      </c>
      <c r="C20" s="26">
        <f>Raw_Data!R17</f>
        <v>58.146000000000008</v>
      </c>
      <c r="D20" s="27">
        <f>1+COUNTIF(Raw_Data!$R$2:$R$34,"&lt;"&amp;C20)+(COUNTIF(Raw_Data!$R$2:$R$34,"="&amp;C20)-1)/2</f>
        <v>13</v>
      </c>
      <c r="E20" s="25">
        <f>COUNTIF(Raw_Data!$R$2:$R$34,"="&amp;C20)</f>
        <v>1</v>
      </c>
    </row>
    <row r="21" spans="1:5" x14ac:dyDescent="0.25">
      <c r="A21" s="25" t="str">
        <f>Raw_Data!A18</f>
        <v>NDWR2</v>
      </c>
      <c r="B21" s="25" t="str">
        <f>Raw_Data!B18</f>
        <v>Mid-stream</v>
      </c>
      <c r="C21" s="26">
        <f>Raw_Data!R18</f>
        <v>64.308999999999997</v>
      </c>
      <c r="D21" s="27">
        <f>1+COUNTIF(Raw_Data!$R$2:$R$34,"&lt;"&amp;C21)+(COUNTIF(Raw_Data!$R$2:$R$34,"="&amp;C21)-1)/2</f>
        <v>15</v>
      </c>
      <c r="E21" s="25">
        <f>COUNTIF(Raw_Data!$R$2:$R$34,"="&amp;C21)</f>
        <v>1</v>
      </c>
    </row>
    <row r="22" spans="1:5" x14ac:dyDescent="0.25">
      <c r="A22" s="25" t="str">
        <f>Raw_Data!A19</f>
        <v>NDWR3</v>
      </c>
      <c r="B22" s="25" t="str">
        <f>Raw_Data!B19</f>
        <v>Mid-stream</v>
      </c>
      <c r="C22" s="26">
        <f>Raw_Data!R19</f>
        <v>63.740000000000009</v>
      </c>
      <c r="D22" s="27">
        <f>1+COUNTIF(Raw_Data!$R$2:$R$34,"&lt;"&amp;C22)+(COUNTIF(Raw_Data!$R$2:$R$34,"="&amp;C22)-1)/2</f>
        <v>14</v>
      </c>
      <c r="E22" s="25">
        <f>COUNTIF(Raw_Data!$R$2:$R$34,"="&amp;C22)</f>
        <v>1</v>
      </c>
    </row>
    <row r="23" spans="1:5" x14ac:dyDescent="0.25">
      <c r="A23" s="25" t="str">
        <f>Raw_Data!A20</f>
        <v>WWR1</v>
      </c>
      <c r="B23" s="25" t="str">
        <f>Raw_Data!B20</f>
        <v>Down-stream</v>
      </c>
      <c r="C23" s="26">
        <f>Raw_Data!R20</f>
        <v>67.186500000000009</v>
      </c>
      <c r="D23" s="27">
        <f>1+COUNTIF(Raw_Data!$R$2:$R$34,"&lt;"&amp;C23)+(COUNTIF(Raw_Data!$R$2:$R$34,"="&amp;C23)-1)/2</f>
        <v>17</v>
      </c>
      <c r="E23" s="25">
        <f>COUNTIF(Raw_Data!$R$2:$R$34,"="&amp;C23)</f>
        <v>1</v>
      </c>
    </row>
    <row r="24" spans="1:5" x14ac:dyDescent="0.25">
      <c r="A24" s="25" t="str">
        <f>Raw_Data!A21</f>
        <v>WWR2</v>
      </c>
      <c r="B24" s="25" t="str">
        <f>Raw_Data!B21</f>
        <v>Down-stream</v>
      </c>
      <c r="C24" s="26">
        <f>Raw_Data!R21</f>
        <v>67.934999999999988</v>
      </c>
      <c r="D24" s="27">
        <f>1+COUNTIF(Raw_Data!$R$2:$R$34,"&lt;"&amp;C24)+(COUNTIF(Raw_Data!$R$2:$R$34,"="&amp;C24)-1)/2</f>
        <v>18</v>
      </c>
      <c r="E24" s="25">
        <f>COUNTIF(Raw_Data!$R$2:$R$34,"="&amp;C24)</f>
        <v>1</v>
      </c>
    </row>
    <row r="25" spans="1:5" x14ac:dyDescent="0.25">
      <c r="A25" s="25" t="str">
        <f>Raw_Data!A22</f>
        <v>WWR3</v>
      </c>
      <c r="B25" s="25" t="str">
        <f>Raw_Data!B22</f>
        <v>Down-stream</v>
      </c>
      <c r="C25" s="26">
        <f>Raw_Data!R22</f>
        <v>66.597999999999999</v>
      </c>
      <c r="D25" s="27">
        <f>1+COUNTIF(Raw_Data!$R$2:$R$34,"&lt;"&amp;C25)+(COUNTIF(Raw_Data!$R$2:$R$34,"="&amp;C25)-1)/2</f>
        <v>16</v>
      </c>
      <c r="E25" s="25">
        <f>COUNTIF(Raw_Data!$R$2:$R$34,"="&amp;C25)</f>
        <v>1</v>
      </c>
    </row>
    <row r="26" spans="1:5" x14ac:dyDescent="0.25">
      <c r="A26" s="25" t="str">
        <f>Raw_Data!A23</f>
        <v>NWR1</v>
      </c>
      <c r="B26" s="25" t="str">
        <f>Raw_Data!B23</f>
        <v>Down-stream</v>
      </c>
      <c r="C26" s="26">
        <f>Raw_Data!R23</f>
        <v>72.750999999999991</v>
      </c>
      <c r="D26" s="27">
        <f>1+COUNTIF(Raw_Data!$R$2:$R$34,"&lt;"&amp;C26)+(COUNTIF(Raw_Data!$R$2:$R$34,"="&amp;C26)-1)/2</f>
        <v>20</v>
      </c>
      <c r="E26" s="25">
        <f>COUNTIF(Raw_Data!$R$2:$R$34,"="&amp;C26)</f>
        <v>1</v>
      </c>
    </row>
    <row r="27" spans="1:5" x14ac:dyDescent="0.25">
      <c r="A27" s="25" t="str">
        <f>Raw_Data!A24</f>
        <v>NWR2</v>
      </c>
      <c r="B27" s="25" t="str">
        <f>Raw_Data!B24</f>
        <v>Down-stream</v>
      </c>
      <c r="C27" s="26">
        <f>Raw_Data!R24</f>
        <v>70.539999999999992</v>
      </c>
      <c r="D27" s="27">
        <f>1+COUNTIF(Raw_Data!$R$2:$R$34,"&lt;"&amp;C27)+(COUNTIF(Raw_Data!$R$2:$R$34,"="&amp;C27)-1)/2</f>
        <v>19</v>
      </c>
      <c r="E27" s="25">
        <f>COUNTIF(Raw_Data!$R$2:$R$34,"="&amp;C27)</f>
        <v>1</v>
      </c>
    </row>
    <row r="28" spans="1:5" x14ac:dyDescent="0.25">
      <c r="A28" s="25" t="str">
        <f>Raw_Data!A25</f>
        <v>NWR3</v>
      </c>
      <c r="B28" s="25" t="str">
        <f>Raw_Data!B25</f>
        <v>Down-stream</v>
      </c>
      <c r="C28" s="26">
        <f>Raw_Data!R25</f>
        <v>83.316999999999993</v>
      </c>
      <c r="D28" s="27">
        <f>1+COUNTIF(Raw_Data!$R$2:$R$34,"&lt;"&amp;C28)+(COUNTIF(Raw_Data!$R$2:$R$34,"="&amp;C28)-1)/2</f>
        <v>21</v>
      </c>
      <c r="E28" s="25">
        <f>COUNTIF(Raw_Data!$R$2:$R$34,"="&amp;C28)</f>
        <v>1</v>
      </c>
    </row>
    <row r="29" spans="1:5" x14ac:dyDescent="0.25">
      <c r="A29" s="25" t="str">
        <f>Raw_Data!A26</f>
        <v>HWR1</v>
      </c>
      <c r="B29" s="25" t="str">
        <f>Raw_Data!B26</f>
        <v>Down-stream</v>
      </c>
      <c r="C29" s="26">
        <f>Raw_Data!R26</f>
        <v>84.926999999999992</v>
      </c>
      <c r="D29" s="27">
        <f>1+COUNTIF(Raw_Data!$R$2:$R$34,"&lt;"&amp;C29)+(COUNTIF(Raw_Data!$R$2:$R$34,"="&amp;C29)-1)/2</f>
        <v>23</v>
      </c>
      <c r="E29" s="25">
        <f>COUNTIF(Raw_Data!$R$2:$R$34,"="&amp;C29)</f>
        <v>1</v>
      </c>
    </row>
    <row r="30" spans="1:5" x14ac:dyDescent="0.25">
      <c r="A30" s="25" t="str">
        <f>Raw_Data!A27</f>
        <v>HWR2</v>
      </c>
      <c r="B30" s="25" t="str">
        <f>Raw_Data!B27</f>
        <v>Down-stream</v>
      </c>
      <c r="C30" s="26">
        <f>Raw_Data!R27</f>
        <v>87.346999999999994</v>
      </c>
      <c r="D30" s="27">
        <f>1+COUNTIF(Raw_Data!$R$2:$R$34,"&lt;"&amp;C30)+(COUNTIF(Raw_Data!$R$2:$R$34,"="&amp;C30)-1)/2</f>
        <v>24</v>
      </c>
      <c r="E30" s="25">
        <f>COUNTIF(Raw_Data!$R$2:$R$34,"="&amp;C30)</f>
        <v>1</v>
      </c>
    </row>
    <row r="31" spans="1:5" x14ac:dyDescent="0.25">
      <c r="A31" s="25" t="str">
        <f>Raw_Data!A28</f>
        <v>HWR3</v>
      </c>
      <c r="B31" s="25" t="str">
        <f>Raw_Data!B28</f>
        <v>Down-stream</v>
      </c>
      <c r="C31" s="26">
        <f>Raw_Data!R28</f>
        <v>92.578999999999979</v>
      </c>
      <c r="D31" s="27">
        <f>1+COUNTIF(Raw_Data!$R$2:$R$34,"&lt;"&amp;C31)+(COUNTIF(Raw_Data!$R$2:$R$34,"="&amp;C31)-1)/2</f>
        <v>26</v>
      </c>
      <c r="E31" s="25">
        <f>COUNTIF(Raw_Data!$R$2:$R$34,"="&amp;C31)</f>
        <v>1</v>
      </c>
    </row>
    <row r="32" spans="1:5" x14ac:dyDescent="0.25">
      <c r="A32" s="25" t="str">
        <f>Raw_Data!A29</f>
        <v>CWR1</v>
      </c>
      <c r="B32" s="25" t="str">
        <f>Raw_Data!B29</f>
        <v>Down-stream</v>
      </c>
      <c r="C32" s="26">
        <f>Raw_Data!R29</f>
        <v>96.858999999999995</v>
      </c>
      <c r="D32" s="27">
        <f>1+COUNTIF(Raw_Data!$R$2:$R$34,"&lt;"&amp;C32)+(COUNTIF(Raw_Data!$R$2:$R$34,"="&amp;C32)-1)/2</f>
        <v>28</v>
      </c>
      <c r="E32" s="25">
        <f>COUNTIF(Raw_Data!$R$2:$R$34,"="&amp;C32)</f>
        <v>1</v>
      </c>
    </row>
    <row r="33" spans="1:5" x14ac:dyDescent="0.25">
      <c r="A33" s="25" t="str">
        <f>Raw_Data!A30</f>
        <v>CWR2</v>
      </c>
      <c r="B33" s="25" t="str">
        <f>Raw_Data!B30</f>
        <v>Down-stream</v>
      </c>
      <c r="C33" s="26">
        <f>Raw_Data!R30</f>
        <v>101.733</v>
      </c>
      <c r="D33" s="27">
        <f>1+COUNTIF(Raw_Data!$R$2:$R$34,"&lt;"&amp;C33)+(COUNTIF(Raw_Data!$R$2:$R$34,"="&amp;C33)-1)/2</f>
        <v>29</v>
      </c>
      <c r="E33" s="25">
        <f>COUNTIF(Raw_Data!$R$2:$R$34,"="&amp;C33)</f>
        <v>1</v>
      </c>
    </row>
    <row r="34" spans="1:5" x14ac:dyDescent="0.25">
      <c r="A34" s="25" t="str">
        <f>Raw_Data!A31</f>
        <v>CWR3</v>
      </c>
      <c r="B34" s="25" t="str">
        <f>Raw_Data!B31</f>
        <v>Down-stream</v>
      </c>
      <c r="C34" s="26">
        <f>Raw_Data!R31</f>
        <v>109.85799999999999</v>
      </c>
      <c r="D34" s="27">
        <f>1+COUNTIF(Raw_Data!$R$2:$R$34,"&lt;"&amp;C34)+(COUNTIF(Raw_Data!$R$2:$R$34,"="&amp;C34)-1)/2</f>
        <v>30</v>
      </c>
      <c r="E34" s="25">
        <f>COUNTIF(Raw_Data!$R$2:$R$34,"="&amp;C34)</f>
        <v>1</v>
      </c>
    </row>
    <row r="35" spans="1:5" x14ac:dyDescent="0.25">
      <c r="A35" s="25" t="str">
        <f>Raw_Data!A32</f>
        <v>KWR1</v>
      </c>
      <c r="B35" s="25" t="str">
        <f>Raw_Data!B32</f>
        <v>Down-stream</v>
      </c>
      <c r="C35" s="26">
        <f>Raw_Data!R32</f>
        <v>137.68100000000001</v>
      </c>
      <c r="D35" s="27">
        <f>1+COUNTIF(Raw_Data!$R$2:$R$34,"&lt;"&amp;C35)+(COUNTIF(Raw_Data!$R$2:$R$34,"="&amp;C35)-1)/2</f>
        <v>31</v>
      </c>
      <c r="E35" s="25">
        <f>COUNTIF(Raw_Data!$R$2:$R$34,"="&amp;C35)</f>
        <v>1</v>
      </c>
    </row>
    <row r="36" spans="1:5" x14ac:dyDescent="0.25">
      <c r="A36" s="25" t="str">
        <f>Raw_Data!A33</f>
        <v>KWR2</v>
      </c>
      <c r="B36" s="25" t="str">
        <f>Raw_Data!B33</f>
        <v>Down-stream</v>
      </c>
      <c r="C36" s="26">
        <f>Raw_Data!R33</f>
        <v>143.46019999999999</v>
      </c>
      <c r="D36" s="27">
        <f>1+COUNTIF(Raw_Data!$R$2:$R$34,"&lt;"&amp;C36)+(COUNTIF(Raw_Data!$R$2:$R$34,"="&amp;C36)-1)/2</f>
        <v>32</v>
      </c>
      <c r="E36" s="25">
        <f>COUNTIF(Raw_Data!$R$2:$R$34,"="&amp;C36)</f>
        <v>1</v>
      </c>
    </row>
    <row r="37" spans="1:5" x14ac:dyDescent="0.25">
      <c r="A37" s="25" t="str">
        <f>Raw_Data!A34</f>
        <v>KWR3</v>
      </c>
      <c r="B37" s="25" t="str">
        <f>Raw_Data!B34</f>
        <v>Down-stream</v>
      </c>
      <c r="C37" s="26">
        <f>Raw_Data!R34</f>
        <v>145.173</v>
      </c>
      <c r="D37" s="27">
        <f>1+COUNTIF(Raw_Data!$R$2:$R$34,"&lt;"&amp;C37)+(COUNTIF(Raw_Data!$R$2:$R$34,"="&amp;C37)-1)/2</f>
        <v>33</v>
      </c>
      <c r="E37" s="25">
        <f>COUNTIF(Raw_Data!$R$2:$R$34,"="&amp;C37)</f>
        <v>1</v>
      </c>
    </row>
    <row r="39" spans="1:5" x14ac:dyDescent="0.25">
      <c r="A39" s="28" t="s">
        <v>341</v>
      </c>
    </row>
    <row r="40" spans="1:5" x14ac:dyDescent="0.25">
      <c r="A40" s="24" t="s">
        <v>18</v>
      </c>
      <c r="B40" s="24" t="s">
        <v>87</v>
      </c>
      <c r="C40" s="24" t="s">
        <v>342</v>
      </c>
      <c r="D40" s="24" t="s">
        <v>343</v>
      </c>
    </row>
    <row r="41" spans="1:5" x14ac:dyDescent="0.25">
      <c r="A41" s="25" t="s">
        <v>39</v>
      </c>
      <c r="B41" s="25">
        <f>COUNTIF($B$5:$B$37,"Up-stream")</f>
        <v>9</v>
      </c>
      <c r="C41" s="27">
        <f>SUMIF($B$5:$B$37,"Up-stream",$D$5:$D$37)</f>
        <v>95</v>
      </c>
      <c r="D41" s="26">
        <f>C41^2/B41</f>
        <v>1002.7777777777778</v>
      </c>
    </row>
    <row r="42" spans="1:5" x14ac:dyDescent="0.25">
      <c r="A42" s="25" t="s">
        <v>52</v>
      </c>
      <c r="B42" s="25">
        <f>COUNTIF($B$5:$B$37,"Mid-stream")</f>
        <v>9</v>
      </c>
      <c r="C42" s="27">
        <f>SUMIF($B$5:$B$37,"Mid-stream",$D$5:$D$37)</f>
        <v>99</v>
      </c>
      <c r="D42" s="26">
        <f>C42^2/B42</f>
        <v>1089</v>
      </c>
    </row>
    <row r="43" spans="1:5" x14ac:dyDescent="0.25">
      <c r="A43" s="25" t="s">
        <v>65</v>
      </c>
      <c r="B43" s="25">
        <f>COUNTIF($B$5:$B$37,"Down-stream")</f>
        <v>15</v>
      </c>
      <c r="C43" s="27">
        <f>SUMIF($B$5:$B$37,"Down-stream",$D$5:$D$37)</f>
        <v>367</v>
      </c>
      <c r="D43" s="26">
        <f>C43^2/B43</f>
        <v>8979.2666666666664</v>
      </c>
    </row>
    <row r="45" spans="1:5" x14ac:dyDescent="0.25">
      <c r="A45" s="28" t="s">
        <v>344</v>
      </c>
    </row>
    <row r="46" spans="1:5" x14ac:dyDescent="0.25">
      <c r="A46" s="25" t="s">
        <v>345</v>
      </c>
      <c r="B46" s="25">
        <f>SUM(B41:B43)</f>
        <v>33</v>
      </c>
    </row>
    <row r="47" spans="1:5" x14ac:dyDescent="0.25">
      <c r="A47" s="25" t="s">
        <v>346</v>
      </c>
      <c r="B47" s="25">
        <f>SUMPRODUCT($E$5:$E$37*$E$5:$E$37)-B46</f>
        <v>0</v>
      </c>
    </row>
    <row r="48" spans="1:5" x14ac:dyDescent="0.25">
      <c r="A48" s="25" t="s">
        <v>347</v>
      </c>
      <c r="B48" s="29">
        <f>1-B47/(B46^3-B46)</f>
        <v>1</v>
      </c>
    </row>
    <row r="50" spans="1:7" x14ac:dyDescent="0.25">
      <c r="A50" s="28" t="s">
        <v>348</v>
      </c>
    </row>
    <row r="51" spans="1:7" x14ac:dyDescent="0.25">
      <c r="A51" s="24" t="s">
        <v>314</v>
      </c>
      <c r="B51" s="24" t="s">
        <v>349</v>
      </c>
      <c r="C51" s="24" t="s">
        <v>350</v>
      </c>
      <c r="D51" s="24" t="s">
        <v>351</v>
      </c>
      <c r="E51" s="24" t="s">
        <v>352</v>
      </c>
      <c r="F51" s="24" t="s">
        <v>318</v>
      </c>
      <c r="G51" s="24" t="s">
        <v>353</v>
      </c>
    </row>
    <row r="52" spans="1:7" x14ac:dyDescent="0.25">
      <c r="A52" s="25" t="s">
        <v>354</v>
      </c>
      <c r="B52" s="25">
        <v>3</v>
      </c>
      <c r="C52" s="25">
        <f>B52-1</f>
        <v>2</v>
      </c>
      <c r="D52" s="26">
        <f>(12/($B$46*($B$46+1)))*SUM(D41:D43)-3*($B$46+1)</f>
        <v>16.406892453951258</v>
      </c>
      <c r="E52" s="26">
        <f>D52/$B$48</f>
        <v>16.406892453951258</v>
      </c>
      <c r="F52" s="29">
        <f>CHIDIST(E52,C52)</f>
        <v>2.7370868051727892E-4</v>
      </c>
      <c r="G52" s="25" t="str">
        <f>IF(F52&lt;0.05,"Significant difference (p &lt; 0.05)","No significant difference (p ≥ 0.05)")</f>
        <v>Significant difference (p &lt; 0.05)</v>
      </c>
    </row>
    <row r="54" spans="1:7" ht="108" x14ac:dyDescent="0.25">
      <c r="A54" s="23" t="s">
        <v>355</v>
      </c>
    </row>
    <row r="56" spans="1:7" ht="16.5" x14ac:dyDescent="0.25">
      <c r="A56" s="22" t="s">
        <v>356</v>
      </c>
    </row>
    <row r="58" spans="1:7" x14ac:dyDescent="0.25">
      <c r="A58" s="28" t="s">
        <v>357</v>
      </c>
    </row>
    <row r="59" spans="1:7" ht="38.25" x14ac:dyDescent="0.25">
      <c r="A59" s="28" t="s">
        <v>358</v>
      </c>
      <c r="B59" s="30" t="s">
        <v>359</v>
      </c>
    </row>
    <row r="60" spans="1:7" ht="25.5" x14ac:dyDescent="0.25">
      <c r="A60" s="28" t="s">
        <v>360</v>
      </c>
      <c r="B60" s="30" t="s">
        <v>361</v>
      </c>
    </row>
    <row r="61" spans="1:7" ht="38.25" x14ac:dyDescent="0.25">
      <c r="A61" s="28" t="s">
        <v>362</v>
      </c>
      <c r="B61" s="30" t="s">
        <v>363</v>
      </c>
    </row>
    <row r="62" spans="1:7" x14ac:dyDescent="0.25">
      <c r="A62" s="28" t="s">
        <v>364</v>
      </c>
      <c r="B62" s="30" t="s">
        <v>365</v>
      </c>
    </row>
    <row r="63" spans="1:7" x14ac:dyDescent="0.25">
      <c r="A63" s="28" t="s">
        <v>366</v>
      </c>
      <c r="B63" s="30">
        <f>C52</f>
        <v>2</v>
      </c>
    </row>
    <row r="64" spans="1:7" x14ac:dyDescent="0.25">
      <c r="A64" s="28" t="s">
        <v>367</v>
      </c>
      <c r="B64" s="26">
        <f>E52</f>
        <v>16.406892453951258</v>
      </c>
    </row>
    <row r="65" spans="1:2" x14ac:dyDescent="0.25">
      <c r="A65" s="28" t="s">
        <v>318</v>
      </c>
      <c r="B65" s="29">
        <f>F52</f>
        <v>2.7370868051727892E-4</v>
      </c>
    </row>
    <row r="66" spans="1:2" x14ac:dyDescent="0.25">
      <c r="A66" s="28" t="s">
        <v>368</v>
      </c>
      <c r="B66" s="30" t="s">
        <v>369</v>
      </c>
    </row>
    <row r="67" spans="1:2" x14ac:dyDescent="0.25">
      <c r="A67" s="28" t="s">
        <v>370</v>
      </c>
      <c r="B67" s="30" t="str">
        <f>G52</f>
        <v>Significant difference (p &lt; 0.05)</v>
      </c>
    </row>
    <row r="68" spans="1:2" ht="144" x14ac:dyDescent="0.25">
      <c r="A68" s="23" t="s">
        <v>371</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71"/>
  <sheetViews>
    <sheetView showGridLines="0" zoomScaleNormal="100" workbookViewId="0"/>
  </sheetViews>
  <sheetFormatPr defaultColWidth="8.7109375" defaultRowHeight="15" x14ac:dyDescent="0.25"/>
  <cols>
    <col min="1" max="1" width="34" customWidth="1"/>
    <col min="2" max="7" width="15" customWidth="1"/>
  </cols>
  <sheetData>
    <row r="1" spans="1:4" ht="16.5" x14ac:dyDescent="0.25">
      <c r="A1" s="22" t="s">
        <v>372</v>
      </c>
    </row>
    <row r="2" spans="1:4" ht="192" x14ac:dyDescent="0.25">
      <c r="A2" s="23" t="s">
        <v>373</v>
      </c>
    </row>
    <row r="4" spans="1:4" x14ac:dyDescent="0.25">
      <c r="A4" s="24" t="s">
        <v>17</v>
      </c>
      <c r="B4" s="24" t="s">
        <v>18</v>
      </c>
      <c r="C4" s="24" t="s">
        <v>374</v>
      </c>
      <c r="D4" s="24" t="s">
        <v>375</v>
      </c>
    </row>
    <row r="5" spans="1:4" x14ac:dyDescent="0.25">
      <c r="A5" s="25" t="str">
        <f>Raw_Data!A2</f>
        <v>BWR1</v>
      </c>
      <c r="B5" s="25" t="str">
        <f>Raw_Data!B2</f>
        <v>Up-stream</v>
      </c>
      <c r="C5" s="25" t="s">
        <v>35</v>
      </c>
      <c r="D5" s="26">
        <f>Raw_Data!S2</f>
        <v>21.423999999999999</v>
      </c>
    </row>
    <row r="6" spans="1:4" x14ac:dyDescent="0.25">
      <c r="A6" s="25" t="str">
        <f>Raw_Data!A3</f>
        <v>BWR2</v>
      </c>
      <c r="B6" s="25" t="str">
        <f>Raw_Data!B3</f>
        <v>Up-stream</v>
      </c>
      <c r="C6" s="25" t="s">
        <v>35</v>
      </c>
      <c r="D6" s="26">
        <f>Raw_Data!S3</f>
        <v>18.427</v>
      </c>
    </row>
    <row r="7" spans="1:4" x14ac:dyDescent="0.25">
      <c r="A7" s="25" t="str">
        <f>Raw_Data!A4</f>
        <v>BWR3</v>
      </c>
      <c r="B7" s="25" t="str">
        <f>Raw_Data!B4</f>
        <v>Up-stream</v>
      </c>
      <c r="C7" s="25" t="s">
        <v>35</v>
      </c>
      <c r="D7" s="26">
        <f>Raw_Data!S4</f>
        <v>24.349999999999998</v>
      </c>
    </row>
    <row r="8" spans="1:4" x14ac:dyDescent="0.25">
      <c r="A8" s="25" t="str">
        <f>Raw_Data!A5</f>
        <v>EWR1</v>
      </c>
      <c r="B8" s="25" t="str">
        <f>Raw_Data!B5</f>
        <v>Up-stream</v>
      </c>
      <c r="C8" s="25" t="s">
        <v>35</v>
      </c>
      <c r="D8" s="26">
        <f>Raw_Data!S5</f>
        <v>10.731</v>
      </c>
    </row>
    <row r="9" spans="1:4" x14ac:dyDescent="0.25">
      <c r="A9" s="25" t="str">
        <f>Raw_Data!A6</f>
        <v>EWR2</v>
      </c>
      <c r="B9" s="25" t="str">
        <f>Raw_Data!B6</f>
        <v>Up-stream</v>
      </c>
      <c r="C9" s="25" t="s">
        <v>35</v>
      </c>
      <c r="D9" s="26">
        <f>Raw_Data!S6</f>
        <v>10.559999999999999</v>
      </c>
    </row>
    <row r="10" spans="1:4" x14ac:dyDescent="0.25">
      <c r="A10" s="25" t="str">
        <f>Raw_Data!A7</f>
        <v>EWR3</v>
      </c>
      <c r="B10" s="25" t="str">
        <f>Raw_Data!B7</f>
        <v>Up-stream</v>
      </c>
      <c r="C10" s="25" t="s">
        <v>35</v>
      </c>
      <c r="D10" s="26">
        <f>Raw_Data!S7</f>
        <v>10.838000000000001</v>
      </c>
    </row>
    <row r="11" spans="1:4" x14ac:dyDescent="0.25">
      <c r="A11" s="25" t="str">
        <f>Raw_Data!A8</f>
        <v>NZWR1</v>
      </c>
      <c r="B11" s="25" t="str">
        <f>Raw_Data!B8</f>
        <v>Up-stream</v>
      </c>
      <c r="C11" s="25" t="s">
        <v>35</v>
      </c>
      <c r="D11" s="26">
        <f>Raw_Data!S8</f>
        <v>37.411000000000001</v>
      </c>
    </row>
    <row r="12" spans="1:4" x14ac:dyDescent="0.25">
      <c r="A12" s="25" t="str">
        <f>Raw_Data!A9</f>
        <v>NZWR2</v>
      </c>
      <c r="B12" s="25" t="str">
        <f>Raw_Data!B9</f>
        <v>Up-stream</v>
      </c>
      <c r="C12" s="25" t="s">
        <v>35</v>
      </c>
      <c r="D12" s="26">
        <f>Raw_Data!S9</f>
        <v>44.014999999999993</v>
      </c>
    </row>
    <row r="13" spans="1:4" x14ac:dyDescent="0.25">
      <c r="A13" s="25" t="str">
        <f>Raw_Data!A10</f>
        <v>NZWR3</v>
      </c>
      <c r="B13" s="25" t="str">
        <f>Raw_Data!B10</f>
        <v>Up-stream</v>
      </c>
      <c r="C13" s="25" t="s">
        <v>35</v>
      </c>
      <c r="D13" s="26">
        <f>Raw_Data!S10</f>
        <v>41.050999999999995</v>
      </c>
    </row>
    <row r="14" spans="1:4" x14ac:dyDescent="0.25">
      <c r="A14" s="25" t="str">
        <f>Raw_Data!A11</f>
        <v>SWR1</v>
      </c>
      <c r="B14" s="25" t="str">
        <f>Raw_Data!B11</f>
        <v>Mid-stream</v>
      </c>
      <c r="C14" s="25" t="s">
        <v>35</v>
      </c>
      <c r="D14" s="26">
        <f>Raw_Data!S11</f>
        <v>23.509999999999998</v>
      </c>
    </row>
    <row r="15" spans="1:4" x14ac:dyDescent="0.25">
      <c r="A15" s="25" t="str">
        <f>Raw_Data!A12</f>
        <v>SWR2</v>
      </c>
      <c r="B15" s="25" t="str">
        <f>Raw_Data!B12</f>
        <v>Mid-stream</v>
      </c>
      <c r="C15" s="25" t="s">
        <v>35</v>
      </c>
      <c r="D15" s="26">
        <f>Raw_Data!S12</f>
        <v>30.558</v>
      </c>
    </row>
    <row r="16" spans="1:4" x14ac:dyDescent="0.25">
      <c r="A16" s="25" t="str">
        <f>Raw_Data!A13</f>
        <v>SWR3</v>
      </c>
      <c r="B16" s="25" t="str">
        <f>Raw_Data!B13</f>
        <v>Mid-stream</v>
      </c>
      <c r="C16" s="25" t="s">
        <v>35</v>
      </c>
      <c r="D16" s="26">
        <f>Raw_Data!S13</f>
        <v>24.377000000000002</v>
      </c>
    </row>
    <row r="17" spans="1:4" x14ac:dyDescent="0.25">
      <c r="A17" s="25" t="str">
        <f>Raw_Data!A14</f>
        <v>NIWR1</v>
      </c>
      <c r="B17" s="25" t="str">
        <f>Raw_Data!B14</f>
        <v>Mid-stream</v>
      </c>
      <c r="C17" s="25" t="s">
        <v>35</v>
      </c>
      <c r="D17" s="26">
        <f>Raw_Data!S14</f>
        <v>30.106999999999999</v>
      </c>
    </row>
    <row r="18" spans="1:4" x14ac:dyDescent="0.25">
      <c r="A18" s="25" t="str">
        <f>Raw_Data!A15</f>
        <v>NIWR2</v>
      </c>
      <c r="B18" s="25" t="str">
        <f>Raw_Data!B15</f>
        <v>Mid-stream</v>
      </c>
      <c r="C18" s="25" t="s">
        <v>35</v>
      </c>
      <c r="D18" s="26">
        <f>Raw_Data!S15</f>
        <v>31.714000000000002</v>
      </c>
    </row>
    <row r="19" spans="1:4" x14ac:dyDescent="0.25">
      <c r="A19" s="25" t="str">
        <f>Raw_Data!A16</f>
        <v>NIWR3</v>
      </c>
      <c r="B19" s="25" t="str">
        <f>Raw_Data!B16</f>
        <v>Mid-stream</v>
      </c>
      <c r="C19" s="25" t="s">
        <v>35</v>
      </c>
      <c r="D19" s="26">
        <f>Raw_Data!S16</f>
        <v>30.758000000000003</v>
      </c>
    </row>
    <row r="20" spans="1:4" x14ac:dyDescent="0.25">
      <c r="A20" s="25" t="str">
        <f>Raw_Data!A17</f>
        <v>NDWR1</v>
      </c>
      <c r="B20" s="25" t="str">
        <f>Raw_Data!B17</f>
        <v>Mid-stream</v>
      </c>
      <c r="C20" s="25" t="s">
        <v>35</v>
      </c>
      <c r="D20" s="26">
        <f>Raw_Data!S17</f>
        <v>33.941000000000003</v>
      </c>
    </row>
    <row r="21" spans="1:4" x14ac:dyDescent="0.25">
      <c r="A21" s="25" t="str">
        <f>Raw_Data!A18</f>
        <v>NDWR2</v>
      </c>
      <c r="B21" s="25" t="str">
        <f>Raw_Data!B18</f>
        <v>Mid-stream</v>
      </c>
      <c r="C21" s="25" t="s">
        <v>35</v>
      </c>
      <c r="D21" s="26">
        <f>Raw_Data!S18</f>
        <v>35.375</v>
      </c>
    </row>
    <row r="22" spans="1:4" x14ac:dyDescent="0.25">
      <c r="A22" s="25" t="str">
        <f>Raw_Data!A19</f>
        <v>NDWR3</v>
      </c>
      <c r="B22" s="25" t="str">
        <f>Raw_Data!B19</f>
        <v>Mid-stream</v>
      </c>
      <c r="C22" s="25" t="s">
        <v>35</v>
      </c>
      <c r="D22" s="26">
        <f>Raw_Data!S19</f>
        <v>37.274000000000001</v>
      </c>
    </row>
    <row r="23" spans="1:4" x14ac:dyDescent="0.25">
      <c r="A23" s="25" t="str">
        <f>Raw_Data!A20</f>
        <v>WWR1</v>
      </c>
      <c r="B23" s="25" t="str">
        <f>Raw_Data!B20</f>
        <v>Down-stream</v>
      </c>
      <c r="C23" s="25" t="s">
        <v>35</v>
      </c>
      <c r="D23" s="26">
        <f>Raw_Data!S20</f>
        <v>38.315000000000005</v>
      </c>
    </row>
    <row r="24" spans="1:4" x14ac:dyDescent="0.25">
      <c r="A24" s="25" t="str">
        <f>Raw_Data!A21</f>
        <v>WWR2</v>
      </c>
      <c r="B24" s="25" t="str">
        <f>Raw_Data!B21</f>
        <v>Down-stream</v>
      </c>
      <c r="C24" s="25" t="s">
        <v>35</v>
      </c>
      <c r="D24" s="26">
        <f>Raw_Data!S21</f>
        <v>37.142000000000003</v>
      </c>
    </row>
    <row r="25" spans="1:4" x14ac:dyDescent="0.25">
      <c r="A25" s="25" t="str">
        <f>Raw_Data!A22</f>
        <v>WWR3</v>
      </c>
      <c r="B25" s="25" t="str">
        <f>Raw_Data!B22</f>
        <v>Down-stream</v>
      </c>
      <c r="C25" s="25" t="s">
        <v>35</v>
      </c>
      <c r="D25" s="26">
        <f>Raw_Data!S22</f>
        <v>36.332000000000001</v>
      </c>
    </row>
    <row r="26" spans="1:4" x14ac:dyDescent="0.25">
      <c r="A26" s="25" t="str">
        <f>Raw_Data!A23</f>
        <v>NWR1</v>
      </c>
      <c r="B26" s="25" t="str">
        <f>Raw_Data!B23</f>
        <v>Down-stream</v>
      </c>
      <c r="C26" s="25" t="s">
        <v>35</v>
      </c>
      <c r="D26" s="26">
        <f>Raw_Data!S23</f>
        <v>39.427</v>
      </c>
    </row>
    <row r="27" spans="1:4" x14ac:dyDescent="0.25">
      <c r="A27" s="25" t="str">
        <f>Raw_Data!A24</f>
        <v>NWR2</v>
      </c>
      <c r="B27" s="25" t="str">
        <f>Raw_Data!B24</f>
        <v>Down-stream</v>
      </c>
      <c r="C27" s="25" t="s">
        <v>35</v>
      </c>
      <c r="D27" s="26">
        <f>Raw_Data!S24</f>
        <v>38.061</v>
      </c>
    </row>
    <row r="28" spans="1:4" x14ac:dyDescent="0.25">
      <c r="A28" s="25" t="str">
        <f>Raw_Data!A25</f>
        <v>NWR3</v>
      </c>
      <c r="B28" s="25" t="str">
        <f>Raw_Data!B25</f>
        <v>Down-stream</v>
      </c>
      <c r="C28" s="25" t="s">
        <v>35</v>
      </c>
      <c r="D28" s="26">
        <f>Raw_Data!S25</f>
        <v>42.53</v>
      </c>
    </row>
    <row r="29" spans="1:4" x14ac:dyDescent="0.25">
      <c r="A29" s="25" t="str">
        <f>Raw_Data!A26</f>
        <v>HWR1</v>
      </c>
      <c r="B29" s="25" t="str">
        <f>Raw_Data!B26</f>
        <v>Down-stream</v>
      </c>
      <c r="C29" s="25" t="s">
        <v>35</v>
      </c>
      <c r="D29" s="26">
        <f>Raw_Data!S26</f>
        <v>45.109000000000002</v>
      </c>
    </row>
    <row r="30" spans="1:4" x14ac:dyDescent="0.25">
      <c r="A30" s="25" t="str">
        <f>Raw_Data!A27</f>
        <v>HWR2</v>
      </c>
      <c r="B30" s="25" t="str">
        <f>Raw_Data!B27</f>
        <v>Down-stream</v>
      </c>
      <c r="C30" s="25" t="s">
        <v>35</v>
      </c>
      <c r="D30" s="26">
        <f>Raw_Data!S27</f>
        <v>42.791000000000004</v>
      </c>
    </row>
    <row r="31" spans="1:4" x14ac:dyDescent="0.25">
      <c r="A31" s="25" t="str">
        <f>Raw_Data!A28</f>
        <v>HWR3</v>
      </c>
      <c r="B31" s="25" t="str">
        <f>Raw_Data!B28</f>
        <v>Down-stream</v>
      </c>
      <c r="C31" s="25" t="s">
        <v>35</v>
      </c>
      <c r="D31" s="26">
        <f>Raw_Data!S28</f>
        <v>50.061</v>
      </c>
    </row>
    <row r="32" spans="1:4" x14ac:dyDescent="0.25">
      <c r="A32" s="25" t="str">
        <f>Raw_Data!A29</f>
        <v>CWR1</v>
      </c>
      <c r="B32" s="25" t="str">
        <f>Raw_Data!B29</f>
        <v>Down-stream</v>
      </c>
      <c r="C32" s="25" t="s">
        <v>35</v>
      </c>
      <c r="D32" s="26">
        <f>Raw_Data!S29</f>
        <v>53.213999999999999</v>
      </c>
    </row>
    <row r="33" spans="1:4" x14ac:dyDescent="0.25">
      <c r="A33" s="25" t="str">
        <f>Raw_Data!A30</f>
        <v>CWR2</v>
      </c>
      <c r="B33" s="25" t="str">
        <f>Raw_Data!B30</f>
        <v>Down-stream</v>
      </c>
      <c r="C33" s="25" t="s">
        <v>35</v>
      </c>
      <c r="D33" s="26">
        <f>Raw_Data!S30</f>
        <v>53.686000000000007</v>
      </c>
    </row>
    <row r="34" spans="1:4" x14ac:dyDescent="0.25">
      <c r="A34" s="25" t="str">
        <f>Raw_Data!A31</f>
        <v>CWR3</v>
      </c>
      <c r="B34" s="25" t="str">
        <f>Raw_Data!B31</f>
        <v>Down-stream</v>
      </c>
      <c r="C34" s="25" t="s">
        <v>35</v>
      </c>
      <c r="D34" s="26">
        <f>Raw_Data!S31</f>
        <v>56.5</v>
      </c>
    </row>
    <row r="35" spans="1:4" x14ac:dyDescent="0.25">
      <c r="A35" s="25" t="str">
        <f>Raw_Data!A32</f>
        <v>KWR1</v>
      </c>
      <c r="B35" s="25" t="str">
        <f>Raw_Data!B32</f>
        <v>Down-stream</v>
      </c>
      <c r="C35" s="25" t="s">
        <v>35</v>
      </c>
      <c r="D35" s="26">
        <f>Raw_Data!S32</f>
        <v>66.786000000000001</v>
      </c>
    </row>
    <row r="36" spans="1:4" x14ac:dyDescent="0.25">
      <c r="A36" s="25" t="str">
        <f>Raw_Data!A33</f>
        <v>KWR2</v>
      </c>
      <c r="B36" s="25" t="str">
        <f>Raw_Data!B33</f>
        <v>Down-stream</v>
      </c>
      <c r="C36" s="25" t="s">
        <v>35</v>
      </c>
      <c r="D36" s="26">
        <f>Raw_Data!S33</f>
        <v>73.594200000000001</v>
      </c>
    </row>
    <row r="37" spans="1:4" x14ac:dyDescent="0.25">
      <c r="A37" s="25" t="str">
        <f>Raw_Data!A34</f>
        <v>KWR3</v>
      </c>
      <c r="B37" s="25" t="str">
        <f>Raw_Data!B34</f>
        <v>Down-stream</v>
      </c>
      <c r="C37" s="25" t="s">
        <v>35</v>
      </c>
      <c r="D37" s="26">
        <f>Raw_Data!S34</f>
        <v>74.263000000000005</v>
      </c>
    </row>
    <row r="38" spans="1:4" x14ac:dyDescent="0.25">
      <c r="A38" s="25" t="str">
        <f>Raw_Data!A2</f>
        <v>BWR1</v>
      </c>
      <c r="B38" s="25" t="str">
        <f>Raw_Data!B2</f>
        <v>Up-stream</v>
      </c>
      <c r="C38" s="25" t="s">
        <v>36</v>
      </c>
      <c r="D38" s="26">
        <f>Raw_Data!T2</f>
        <v>9.036999999999999</v>
      </c>
    </row>
    <row r="39" spans="1:4" x14ac:dyDescent="0.25">
      <c r="A39" s="25" t="str">
        <f>Raw_Data!A3</f>
        <v>BWR2</v>
      </c>
      <c r="B39" s="25" t="str">
        <f>Raw_Data!B3</f>
        <v>Up-stream</v>
      </c>
      <c r="C39" s="25" t="s">
        <v>36</v>
      </c>
      <c r="D39" s="26">
        <f>Raw_Data!T3</f>
        <v>7.2059999999999995</v>
      </c>
    </row>
    <row r="40" spans="1:4" x14ac:dyDescent="0.25">
      <c r="A40" s="25" t="str">
        <f>Raw_Data!A4</f>
        <v>BWR3</v>
      </c>
      <c r="B40" s="25" t="str">
        <f>Raw_Data!B4</f>
        <v>Up-stream</v>
      </c>
      <c r="C40" s="25" t="s">
        <v>36</v>
      </c>
      <c r="D40" s="26">
        <f>Raw_Data!T4</f>
        <v>7.375</v>
      </c>
    </row>
    <row r="41" spans="1:4" x14ac:dyDescent="0.25">
      <c r="A41" s="25" t="str">
        <f>Raw_Data!A5</f>
        <v>EWR1</v>
      </c>
      <c r="B41" s="25" t="str">
        <f>Raw_Data!B5</f>
        <v>Up-stream</v>
      </c>
      <c r="C41" s="25" t="s">
        <v>36</v>
      </c>
      <c r="D41" s="26">
        <f>Raw_Data!T5</f>
        <v>5.3520000000000003</v>
      </c>
    </row>
    <row r="42" spans="1:4" x14ac:dyDescent="0.25">
      <c r="A42" s="25" t="str">
        <f>Raw_Data!A6</f>
        <v>EWR2</v>
      </c>
      <c r="B42" s="25" t="str">
        <f>Raw_Data!B6</f>
        <v>Up-stream</v>
      </c>
      <c r="C42" s="25" t="s">
        <v>36</v>
      </c>
      <c r="D42" s="26">
        <f>Raw_Data!T6</f>
        <v>4.4640000000000004</v>
      </c>
    </row>
    <row r="43" spans="1:4" x14ac:dyDescent="0.25">
      <c r="A43" s="25" t="str">
        <f>Raw_Data!A7</f>
        <v>EWR3</v>
      </c>
      <c r="B43" s="25" t="str">
        <f>Raw_Data!B7</f>
        <v>Up-stream</v>
      </c>
      <c r="C43" s="25" t="s">
        <v>36</v>
      </c>
      <c r="D43" s="26">
        <f>Raw_Data!T7</f>
        <v>4.76</v>
      </c>
    </row>
    <row r="44" spans="1:4" x14ac:dyDescent="0.25">
      <c r="A44" s="25" t="str">
        <f>Raw_Data!A8</f>
        <v>NZWR1</v>
      </c>
      <c r="B44" s="25" t="str">
        <f>Raw_Data!B8</f>
        <v>Up-stream</v>
      </c>
      <c r="C44" s="25" t="s">
        <v>36</v>
      </c>
      <c r="D44" s="26">
        <f>Raw_Data!T8</f>
        <v>25.405000000000001</v>
      </c>
    </row>
    <row r="45" spans="1:4" x14ac:dyDescent="0.25">
      <c r="A45" s="25" t="str">
        <f>Raw_Data!A9</f>
        <v>NZWR2</v>
      </c>
      <c r="B45" s="25" t="str">
        <f>Raw_Data!B9</f>
        <v>Up-stream</v>
      </c>
      <c r="C45" s="25" t="s">
        <v>36</v>
      </c>
      <c r="D45" s="26">
        <f>Raw_Data!T9</f>
        <v>25.406999999999996</v>
      </c>
    </row>
    <row r="46" spans="1:4" x14ac:dyDescent="0.25">
      <c r="A46" s="25" t="str">
        <f>Raw_Data!A10</f>
        <v>NZWR3</v>
      </c>
      <c r="B46" s="25" t="str">
        <f>Raw_Data!B10</f>
        <v>Up-stream</v>
      </c>
      <c r="C46" s="25" t="s">
        <v>36</v>
      </c>
      <c r="D46" s="26">
        <f>Raw_Data!T10</f>
        <v>23.212</v>
      </c>
    </row>
    <row r="47" spans="1:4" x14ac:dyDescent="0.25">
      <c r="A47" s="25" t="str">
        <f>Raw_Data!A11</f>
        <v>SWR1</v>
      </c>
      <c r="B47" s="25" t="str">
        <f>Raw_Data!B11</f>
        <v>Mid-stream</v>
      </c>
      <c r="C47" s="25" t="s">
        <v>36</v>
      </c>
      <c r="D47" s="26">
        <f>Raw_Data!T11</f>
        <v>7.4030000000000005</v>
      </c>
    </row>
    <row r="48" spans="1:4" x14ac:dyDescent="0.25">
      <c r="A48" s="25" t="str">
        <f>Raw_Data!A12</f>
        <v>SWR2</v>
      </c>
      <c r="B48" s="25" t="str">
        <f>Raw_Data!B12</f>
        <v>Mid-stream</v>
      </c>
      <c r="C48" s="25" t="s">
        <v>36</v>
      </c>
      <c r="D48" s="26">
        <f>Raw_Data!T12</f>
        <v>7.3320000000000007</v>
      </c>
    </row>
    <row r="49" spans="1:4" x14ac:dyDescent="0.25">
      <c r="A49" s="25" t="str">
        <f>Raw_Data!A13</f>
        <v>SWR3</v>
      </c>
      <c r="B49" s="25" t="str">
        <f>Raw_Data!B13</f>
        <v>Mid-stream</v>
      </c>
      <c r="C49" s="25" t="s">
        <v>36</v>
      </c>
      <c r="D49" s="26">
        <f>Raw_Data!T13</f>
        <v>10.993</v>
      </c>
    </row>
    <row r="50" spans="1:4" x14ac:dyDescent="0.25">
      <c r="A50" s="25" t="str">
        <f>Raw_Data!A14</f>
        <v>NIWR1</v>
      </c>
      <c r="B50" s="25" t="str">
        <f>Raw_Data!B14</f>
        <v>Mid-stream</v>
      </c>
      <c r="C50" s="25" t="s">
        <v>36</v>
      </c>
      <c r="D50" s="26">
        <f>Raw_Data!T14</f>
        <v>15.343700000000002</v>
      </c>
    </row>
    <row r="51" spans="1:4" x14ac:dyDescent="0.25">
      <c r="A51" s="25" t="str">
        <f>Raw_Data!A15</f>
        <v>NIWR2</v>
      </c>
      <c r="B51" s="25" t="str">
        <f>Raw_Data!B15</f>
        <v>Mid-stream</v>
      </c>
      <c r="C51" s="25" t="s">
        <v>36</v>
      </c>
      <c r="D51" s="26">
        <f>Raw_Data!T15</f>
        <v>11.635999999999999</v>
      </c>
    </row>
    <row r="52" spans="1:4" x14ac:dyDescent="0.25">
      <c r="A52" s="25" t="str">
        <f>Raw_Data!A16</f>
        <v>NIWR3</v>
      </c>
      <c r="B52" s="25" t="str">
        <f>Raw_Data!B16</f>
        <v>Mid-stream</v>
      </c>
      <c r="C52" s="25" t="s">
        <v>36</v>
      </c>
      <c r="D52" s="26">
        <f>Raw_Data!T16</f>
        <v>11.802999999999999</v>
      </c>
    </row>
    <row r="53" spans="1:4" x14ac:dyDescent="0.25">
      <c r="A53" s="25" t="str">
        <f>Raw_Data!A17</f>
        <v>NDWR1</v>
      </c>
      <c r="B53" s="25" t="str">
        <f>Raw_Data!B17</f>
        <v>Mid-stream</v>
      </c>
      <c r="C53" s="25" t="s">
        <v>36</v>
      </c>
      <c r="D53" s="26">
        <f>Raw_Data!T17</f>
        <v>14.763</v>
      </c>
    </row>
    <row r="54" spans="1:4" x14ac:dyDescent="0.25">
      <c r="A54" s="25" t="str">
        <f>Raw_Data!A18</f>
        <v>NDWR2</v>
      </c>
      <c r="B54" s="25" t="str">
        <f>Raw_Data!B18</f>
        <v>Mid-stream</v>
      </c>
      <c r="C54" s="25" t="s">
        <v>36</v>
      </c>
      <c r="D54" s="26">
        <f>Raw_Data!T18</f>
        <v>18.321999999999999</v>
      </c>
    </row>
    <row r="55" spans="1:4" x14ac:dyDescent="0.25">
      <c r="A55" s="25" t="str">
        <f>Raw_Data!A19</f>
        <v>NDWR3</v>
      </c>
      <c r="B55" s="25" t="str">
        <f>Raw_Data!B19</f>
        <v>Mid-stream</v>
      </c>
      <c r="C55" s="25" t="s">
        <v>36</v>
      </c>
      <c r="D55" s="26">
        <f>Raw_Data!T19</f>
        <v>16.687000000000001</v>
      </c>
    </row>
    <row r="56" spans="1:4" x14ac:dyDescent="0.25">
      <c r="A56" s="25" t="str">
        <f>Raw_Data!A20</f>
        <v>WWR1</v>
      </c>
      <c r="B56" s="25" t="str">
        <f>Raw_Data!B20</f>
        <v>Down-stream</v>
      </c>
      <c r="C56" s="25" t="s">
        <v>36</v>
      </c>
      <c r="D56" s="26">
        <f>Raw_Data!T20</f>
        <v>21.192500000000003</v>
      </c>
    </row>
    <row r="57" spans="1:4" x14ac:dyDescent="0.25">
      <c r="A57" s="25" t="str">
        <f>Raw_Data!A21</f>
        <v>WWR2</v>
      </c>
      <c r="B57" s="25" t="str">
        <f>Raw_Data!B21</f>
        <v>Down-stream</v>
      </c>
      <c r="C57" s="25" t="s">
        <v>36</v>
      </c>
      <c r="D57" s="26">
        <f>Raw_Data!T21</f>
        <v>23.297999999999998</v>
      </c>
    </row>
    <row r="58" spans="1:4" x14ac:dyDescent="0.25">
      <c r="A58" s="25" t="str">
        <f>Raw_Data!A22</f>
        <v>WWR3</v>
      </c>
      <c r="B58" s="25" t="str">
        <f>Raw_Data!B22</f>
        <v>Down-stream</v>
      </c>
      <c r="C58" s="25" t="s">
        <v>36</v>
      </c>
      <c r="D58" s="26">
        <f>Raw_Data!T22</f>
        <v>22.596</v>
      </c>
    </row>
    <row r="59" spans="1:4" x14ac:dyDescent="0.25">
      <c r="A59" s="25" t="str">
        <f>Raw_Data!A23</f>
        <v>NWR1</v>
      </c>
      <c r="B59" s="25" t="str">
        <f>Raw_Data!B23</f>
        <v>Down-stream</v>
      </c>
      <c r="C59" s="25" t="s">
        <v>36</v>
      </c>
      <c r="D59" s="26">
        <f>Raw_Data!T23</f>
        <v>17.960999999999999</v>
      </c>
    </row>
    <row r="60" spans="1:4" x14ac:dyDescent="0.25">
      <c r="A60" s="25" t="str">
        <f>Raw_Data!A24</f>
        <v>NWR2</v>
      </c>
      <c r="B60" s="25" t="str">
        <f>Raw_Data!B24</f>
        <v>Down-stream</v>
      </c>
      <c r="C60" s="25" t="s">
        <v>36</v>
      </c>
      <c r="D60" s="26">
        <f>Raw_Data!T24</f>
        <v>19.253999999999998</v>
      </c>
    </row>
    <row r="61" spans="1:4" x14ac:dyDescent="0.25">
      <c r="A61" s="25" t="str">
        <f>Raw_Data!A25</f>
        <v>NWR3</v>
      </c>
      <c r="B61" s="25" t="str">
        <f>Raw_Data!B25</f>
        <v>Down-stream</v>
      </c>
      <c r="C61" s="25" t="s">
        <v>36</v>
      </c>
      <c r="D61" s="26">
        <f>Raw_Data!T25</f>
        <v>26</v>
      </c>
    </row>
    <row r="62" spans="1:4" x14ac:dyDescent="0.25">
      <c r="A62" s="25" t="str">
        <f>Raw_Data!A26</f>
        <v>HWR1</v>
      </c>
      <c r="B62" s="25" t="str">
        <f>Raw_Data!B26</f>
        <v>Down-stream</v>
      </c>
      <c r="C62" s="25" t="s">
        <v>36</v>
      </c>
      <c r="D62" s="26">
        <f>Raw_Data!T26</f>
        <v>23.482000000000003</v>
      </c>
    </row>
    <row r="63" spans="1:4" x14ac:dyDescent="0.25">
      <c r="A63" s="25" t="str">
        <f>Raw_Data!A27</f>
        <v>HWR2</v>
      </c>
      <c r="B63" s="25" t="str">
        <f>Raw_Data!B27</f>
        <v>Down-stream</v>
      </c>
      <c r="C63" s="25" t="s">
        <v>36</v>
      </c>
      <c r="D63" s="26">
        <f>Raw_Data!T27</f>
        <v>29.027000000000001</v>
      </c>
    </row>
    <row r="64" spans="1:4" x14ac:dyDescent="0.25">
      <c r="A64" s="25" t="str">
        <f>Raw_Data!A28</f>
        <v>HWR3</v>
      </c>
      <c r="B64" s="25" t="str">
        <f>Raw_Data!B28</f>
        <v>Down-stream</v>
      </c>
      <c r="C64" s="25" t="s">
        <v>36</v>
      </c>
      <c r="D64" s="26">
        <f>Raw_Data!T28</f>
        <v>27.161999999999995</v>
      </c>
    </row>
    <row r="65" spans="1:4" x14ac:dyDescent="0.25">
      <c r="A65" s="25" t="str">
        <f>Raw_Data!A29</f>
        <v>CWR1</v>
      </c>
      <c r="B65" s="25" t="str">
        <f>Raw_Data!B29</f>
        <v>Down-stream</v>
      </c>
      <c r="C65" s="25" t="s">
        <v>36</v>
      </c>
      <c r="D65" s="26">
        <f>Raw_Data!T29</f>
        <v>26.346000000000004</v>
      </c>
    </row>
    <row r="66" spans="1:4" x14ac:dyDescent="0.25">
      <c r="A66" s="25" t="str">
        <f>Raw_Data!A30</f>
        <v>CWR2</v>
      </c>
      <c r="B66" s="25" t="str">
        <f>Raw_Data!B30</f>
        <v>Down-stream</v>
      </c>
      <c r="C66" s="25" t="s">
        <v>36</v>
      </c>
      <c r="D66" s="26">
        <f>Raw_Data!T30</f>
        <v>27.194000000000003</v>
      </c>
    </row>
    <row r="67" spans="1:4" x14ac:dyDescent="0.25">
      <c r="A67" s="25" t="str">
        <f>Raw_Data!A31</f>
        <v>CWR3</v>
      </c>
      <c r="B67" s="25" t="str">
        <f>Raw_Data!B31</f>
        <v>Down-stream</v>
      </c>
      <c r="C67" s="25" t="s">
        <v>36</v>
      </c>
      <c r="D67" s="26">
        <f>Raw_Data!T31</f>
        <v>32.420999999999999</v>
      </c>
    </row>
    <row r="68" spans="1:4" x14ac:dyDescent="0.25">
      <c r="A68" s="25" t="str">
        <f>Raw_Data!A32</f>
        <v>KWR1</v>
      </c>
      <c r="B68" s="25" t="str">
        <f>Raw_Data!B32</f>
        <v>Down-stream</v>
      </c>
      <c r="C68" s="25" t="s">
        <v>36</v>
      </c>
      <c r="D68" s="26">
        <f>Raw_Data!T32</f>
        <v>43.715000000000003</v>
      </c>
    </row>
    <row r="69" spans="1:4" x14ac:dyDescent="0.25">
      <c r="A69" s="25" t="str">
        <f>Raw_Data!A33</f>
        <v>KWR2</v>
      </c>
      <c r="B69" s="25" t="str">
        <f>Raw_Data!B33</f>
        <v>Down-stream</v>
      </c>
      <c r="C69" s="25" t="s">
        <v>36</v>
      </c>
      <c r="D69" s="26">
        <f>Raw_Data!T33</f>
        <v>37.491999999999997</v>
      </c>
    </row>
    <row r="70" spans="1:4" x14ac:dyDescent="0.25">
      <c r="A70" s="25" t="str">
        <f>Raw_Data!A34</f>
        <v>KWR3</v>
      </c>
      <c r="B70" s="25" t="str">
        <f>Raw_Data!B34</f>
        <v>Down-stream</v>
      </c>
      <c r="C70" s="25" t="s">
        <v>36</v>
      </c>
      <c r="D70" s="26">
        <f>Raw_Data!T34</f>
        <v>40.902000000000001</v>
      </c>
    </row>
    <row r="71" spans="1:4" x14ac:dyDescent="0.25">
      <c r="A71" s="25" t="str">
        <f>Raw_Data!A2</f>
        <v>BWR1</v>
      </c>
      <c r="B71" s="25" t="str">
        <f>Raw_Data!B2</f>
        <v>Up-stream</v>
      </c>
      <c r="C71" s="25" t="s">
        <v>37</v>
      </c>
      <c r="D71" s="26">
        <f>Raw_Data!U2</f>
        <v>1.9530000000000001</v>
      </c>
    </row>
    <row r="72" spans="1:4" x14ac:dyDescent="0.25">
      <c r="A72" s="25" t="str">
        <f>Raw_Data!A3</f>
        <v>BWR2</v>
      </c>
      <c r="B72" s="25" t="str">
        <f>Raw_Data!B3</f>
        <v>Up-stream</v>
      </c>
      <c r="C72" s="25" t="s">
        <v>37</v>
      </c>
      <c r="D72" s="26">
        <f>Raw_Data!U3</f>
        <v>2.0419999999999998</v>
      </c>
    </row>
    <row r="73" spans="1:4" x14ac:dyDescent="0.25">
      <c r="A73" s="25" t="str">
        <f>Raw_Data!A4</f>
        <v>BWR3</v>
      </c>
      <c r="B73" s="25" t="str">
        <f>Raw_Data!B4</f>
        <v>Up-stream</v>
      </c>
      <c r="C73" s="25" t="s">
        <v>37</v>
      </c>
      <c r="D73" s="26">
        <f>Raw_Data!U4</f>
        <v>1.7949999999999999</v>
      </c>
    </row>
    <row r="74" spans="1:4" x14ac:dyDescent="0.25">
      <c r="A74" s="25" t="str">
        <f>Raw_Data!A5</f>
        <v>EWR1</v>
      </c>
      <c r="B74" s="25" t="str">
        <f>Raw_Data!B5</f>
        <v>Up-stream</v>
      </c>
      <c r="C74" s="25" t="s">
        <v>37</v>
      </c>
      <c r="D74" s="26">
        <f>Raw_Data!U5</f>
        <v>1</v>
      </c>
    </row>
    <row r="75" spans="1:4" x14ac:dyDescent="0.25">
      <c r="A75" s="25" t="str">
        <f>Raw_Data!A6</f>
        <v>EWR2</v>
      </c>
      <c r="B75" s="25" t="str">
        <f>Raw_Data!B6</f>
        <v>Up-stream</v>
      </c>
      <c r="C75" s="25" t="s">
        <v>37</v>
      </c>
      <c r="D75" s="26">
        <f>Raw_Data!U6</f>
        <v>1</v>
      </c>
    </row>
    <row r="76" spans="1:4" x14ac:dyDescent="0.25">
      <c r="A76" s="25" t="str">
        <f>Raw_Data!A7</f>
        <v>EWR3</v>
      </c>
      <c r="B76" s="25" t="str">
        <f>Raw_Data!B7</f>
        <v>Up-stream</v>
      </c>
      <c r="C76" s="25" t="s">
        <v>37</v>
      </c>
      <c r="D76" s="26">
        <f>Raw_Data!U7</f>
        <v>1</v>
      </c>
    </row>
    <row r="77" spans="1:4" x14ac:dyDescent="0.25">
      <c r="A77" s="25" t="str">
        <f>Raw_Data!A8</f>
        <v>NZWR1</v>
      </c>
      <c r="B77" s="25" t="str">
        <f>Raw_Data!B8</f>
        <v>Up-stream</v>
      </c>
      <c r="C77" s="25" t="s">
        <v>37</v>
      </c>
      <c r="D77" s="26">
        <f>Raw_Data!U8</f>
        <v>8.9480000000000004</v>
      </c>
    </row>
    <row r="78" spans="1:4" x14ac:dyDescent="0.25">
      <c r="A78" s="25" t="str">
        <f>Raw_Data!A9</f>
        <v>NZWR2</v>
      </c>
      <c r="B78" s="25" t="str">
        <f>Raw_Data!B9</f>
        <v>Up-stream</v>
      </c>
      <c r="C78" s="25" t="s">
        <v>37</v>
      </c>
      <c r="D78" s="26">
        <f>Raw_Data!U9</f>
        <v>11.093999999999999</v>
      </c>
    </row>
    <row r="79" spans="1:4" x14ac:dyDescent="0.25">
      <c r="A79" s="25" t="str">
        <f>Raw_Data!A10</f>
        <v>NZWR3</v>
      </c>
      <c r="B79" s="25" t="str">
        <f>Raw_Data!B10</f>
        <v>Up-stream</v>
      </c>
      <c r="C79" s="25" t="s">
        <v>37</v>
      </c>
      <c r="D79" s="26">
        <f>Raw_Data!U10</f>
        <v>12.064</v>
      </c>
    </row>
    <row r="80" spans="1:4" x14ac:dyDescent="0.25">
      <c r="A80" s="25" t="str">
        <f>Raw_Data!A11</f>
        <v>SWR1</v>
      </c>
      <c r="B80" s="25" t="str">
        <f>Raw_Data!B11</f>
        <v>Mid-stream</v>
      </c>
      <c r="C80" s="25" t="s">
        <v>37</v>
      </c>
      <c r="D80" s="26">
        <f>Raw_Data!U11</f>
        <v>5.3619200710479573</v>
      </c>
    </row>
    <row r="81" spans="1:4" x14ac:dyDescent="0.25">
      <c r="A81" s="25" t="str">
        <f>Raw_Data!A12</f>
        <v>SWR2</v>
      </c>
      <c r="B81" s="25" t="str">
        <f>Raw_Data!B12</f>
        <v>Mid-stream</v>
      </c>
      <c r="C81" s="25" t="s">
        <v>37</v>
      </c>
      <c r="D81" s="26">
        <f>Raw_Data!U12</f>
        <v>4.83</v>
      </c>
    </row>
    <row r="82" spans="1:4" x14ac:dyDescent="0.25">
      <c r="A82" s="25" t="str">
        <f>Raw_Data!A13</f>
        <v>SWR3</v>
      </c>
      <c r="B82" s="25" t="str">
        <f>Raw_Data!B13</f>
        <v>Mid-stream</v>
      </c>
      <c r="C82" s="25" t="s">
        <v>37</v>
      </c>
      <c r="D82" s="26">
        <f>Raw_Data!U13</f>
        <v>3.7629999999999999</v>
      </c>
    </row>
    <row r="83" spans="1:4" x14ac:dyDescent="0.25">
      <c r="A83" s="25" t="str">
        <f>Raw_Data!A14</f>
        <v>NIWR1</v>
      </c>
      <c r="B83" s="25" t="str">
        <f>Raw_Data!B14</f>
        <v>Mid-stream</v>
      </c>
      <c r="C83" s="25" t="s">
        <v>37</v>
      </c>
      <c r="D83" s="26">
        <f>Raw_Data!U14</f>
        <v>2.9369999999999998</v>
      </c>
    </row>
    <row r="84" spans="1:4" x14ac:dyDescent="0.25">
      <c r="A84" s="25" t="str">
        <f>Raw_Data!A15</f>
        <v>NIWR2</v>
      </c>
      <c r="B84" s="25" t="str">
        <f>Raw_Data!B15</f>
        <v>Mid-stream</v>
      </c>
      <c r="C84" s="25" t="s">
        <v>37</v>
      </c>
      <c r="D84" s="26">
        <f>Raw_Data!U15</f>
        <v>2.4939999999999998</v>
      </c>
    </row>
    <row r="85" spans="1:4" x14ac:dyDescent="0.25">
      <c r="A85" s="25" t="str">
        <f>Raw_Data!A16</f>
        <v>NIWR3</v>
      </c>
      <c r="B85" s="25" t="str">
        <f>Raw_Data!B16</f>
        <v>Mid-stream</v>
      </c>
      <c r="C85" s="25" t="s">
        <v>37</v>
      </c>
      <c r="D85" s="26">
        <f>Raw_Data!U16</f>
        <v>1.8640000000000001</v>
      </c>
    </row>
    <row r="86" spans="1:4" x14ac:dyDescent="0.25">
      <c r="A86" s="25" t="str">
        <f>Raw_Data!A17</f>
        <v>NDWR1</v>
      </c>
      <c r="B86" s="25" t="str">
        <f>Raw_Data!B17</f>
        <v>Mid-stream</v>
      </c>
      <c r="C86" s="25" t="s">
        <v>37</v>
      </c>
      <c r="D86" s="26">
        <f>Raw_Data!U17</f>
        <v>5.23</v>
      </c>
    </row>
    <row r="87" spans="1:4" x14ac:dyDescent="0.25">
      <c r="A87" s="25" t="str">
        <f>Raw_Data!A18</f>
        <v>NDWR2</v>
      </c>
      <c r="B87" s="25" t="str">
        <f>Raw_Data!B18</f>
        <v>Mid-stream</v>
      </c>
      <c r="C87" s="25" t="s">
        <v>37</v>
      </c>
      <c r="D87" s="26">
        <f>Raw_Data!U18</f>
        <v>4.9809999999999999</v>
      </c>
    </row>
    <row r="88" spans="1:4" x14ac:dyDescent="0.25">
      <c r="A88" s="25" t="str">
        <f>Raw_Data!A19</f>
        <v>NDWR3</v>
      </c>
      <c r="B88" s="25" t="str">
        <f>Raw_Data!B19</f>
        <v>Mid-stream</v>
      </c>
      <c r="C88" s="25" t="s">
        <v>37</v>
      </c>
      <c r="D88" s="26">
        <f>Raw_Data!U19</f>
        <v>4.617</v>
      </c>
    </row>
    <row r="89" spans="1:4" x14ac:dyDescent="0.25">
      <c r="A89" s="25" t="str">
        <f>Raw_Data!A20</f>
        <v>WWR1</v>
      </c>
      <c r="B89" s="25" t="str">
        <f>Raw_Data!B20</f>
        <v>Down-stream</v>
      </c>
      <c r="C89" s="25" t="s">
        <v>37</v>
      </c>
      <c r="D89" s="26">
        <f>Raw_Data!U20</f>
        <v>3.4769999999999999</v>
      </c>
    </row>
    <row r="90" spans="1:4" x14ac:dyDescent="0.25">
      <c r="A90" s="25" t="str">
        <f>Raw_Data!A21</f>
        <v>WWR2</v>
      </c>
      <c r="B90" s="25" t="str">
        <f>Raw_Data!B21</f>
        <v>Down-stream</v>
      </c>
      <c r="C90" s="25" t="s">
        <v>37</v>
      </c>
      <c r="D90" s="26">
        <f>Raw_Data!U21</f>
        <v>4.07</v>
      </c>
    </row>
    <row r="91" spans="1:4" x14ac:dyDescent="0.25">
      <c r="A91" s="25" t="str">
        <f>Raw_Data!A22</f>
        <v>WWR3</v>
      </c>
      <c r="B91" s="25" t="str">
        <f>Raw_Data!B22</f>
        <v>Down-stream</v>
      </c>
      <c r="C91" s="25" t="s">
        <v>37</v>
      </c>
      <c r="D91" s="26">
        <f>Raw_Data!U22</f>
        <v>5.202</v>
      </c>
    </row>
    <row r="92" spans="1:4" x14ac:dyDescent="0.25">
      <c r="A92" s="25" t="str">
        <f>Raw_Data!A23</f>
        <v>NWR1</v>
      </c>
      <c r="B92" s="25" t="str">
        <f>Raw_Data!B23</f>
        <v>Down-stream</v>
      </c>
      <c r="C92" s="25" t="s">
        <v>37</v>
      </c>
      <c r="D92" s="26">
        <f>Raw_Data!U23</f>
        <v>6.98</v>
      </c>
    </row>
    <row r="93" spans="1:4" x14ac:dyDescent="0.25">
      <c r="A93" s="25" t="str">
        <f>Raw_Data!A24</f>
        <v>NWR2</v>
      </c>
      <c r="B93" s="25" t="str">
        <f>Raw_Data!B24</f>
        <v>Down-stream</v>
      </c>
      <c r="C93" s="25" t="s">
        <v>37</v>
      </c>
      <c r="D93" s="26">
        <f>Raw_Data!U24</f>
        <v>4.7629999999999999</v>
      </c>
    </row>
    <row r="94" spans="1:4" x14ac:dyDescent="0.25">
      <c r="A94" s="25" t="str">
        <f>Raw_Data!A25</f>
        <v>NWR3</v>
      </c>
      <c r="B94" s="25" t="str">
        <f>Raw_Data!B25</f>
        <v>Down-stream</v>
      </c>
      <c r="C94" s="25" t="s">
        <v>37</v>
      </c>
      <c r="D94" s="26">
        <f>Raw_Data!U25</f>
        <v>5.6779999999999999</v>
      </c>
    </row>
    <row r="95" spans="1:4" x14ac:dyDescent="0.25">
      <c r="A95" s="25" t="str">
        <f>Raw_Data!A26</f>
        <v>HWR1</v>
      </c>
      <c r="B95" s="25" t="str">
        <f>Raw_Data!B26</f>
        <v>Down-stream</v>
      </c>
      <c r="C95" s="25" t="s">
        <v>37</v>
      </c>
      <c r="D95" s="26">
        <f>Raw_Data!U26</f>
        <v>8.1069999999999993</v>
      </c>
    </row>
    <row r="96" spans="1:4" x14ac:dyDescent="0.25">
      <c r="A96" s="25" t="str">
        <f>Raw_Data!A27</f>
        <v>HWR2</v>
      </c>
      <c r="B96" s="25" t="str">
        <f>Raw_Data!B27</f>
        <v>Down-stream</v>
      </c>
      <c r="C96" s="25" t="s">
        <v>37</v>
      </c>
      <c r="D96" s="26">
        <f>Raw_Data!U27</f>
        <v>8.16</v>
      </c>
    </row>
    <row r="97" spans="1:7" x14ac:dyDescent="0.25">
      <c r="A97" s="25" t="str">
        <f>Raw_Data!A28</f>
        <v>HWR3</v>
      </c>
      <c r="B97" s="25" t="str">
        <f>Raw_Data!B28</f>
        <v>Down-stream</v>
      </c>
      <c r="C97" s="25" t="s">
        <v>37</v>
      </c>
      <c r="D97" s="26">
        <f>Raw_Data!U28</f>
        <v>6.8790000000000004</v>
      </c>
    </row>
    <row r="98" spans="1:7" x14ac:dyDescent="0.25">
      <c r="A98" s="25" t="str">
        <f>Raw_Data!A29</f>
        <v>CWR1</v>
      </c>
      <c r="B98" s="25" t="str">
        <f>Raw_Data!B29</f>
        <v>Down-stream</v>
      </c>
      <c r="C98" s="25" t="s">
        <v>37</v>
      </c>
      <c r="D98" s="26">
        <f>Raw_Data!U29</f>
        <v>8.9619999999999997</v>
      </c>
    </row>
    <row r="99" spans="1:7" x14ac:dyDescent="0.25">
      <c r="A99" s="25" t="str">
        <f>Raw_Data!A30</f>
        <v>CWR2</v>
      </c>
      <c r="B99" s="25" t="str">
        <f>Raw_Data!B30</f>
        <v>Down-stream</v>
      </c>
      <c r="C99" s="25" t="s">
        <v>37</v>
      </c>
      <c r="D99" s="26">
        <f>Raw_Data!U30</f>
        <v>10.291</v>
      </c>
    </row>
    <row r="100" spans="1:7" x14ac:dyDescent="0.25">
      <c r="A100" s="25" t="str">
        <f>Raw_Data!A31</f>
        <v>CWR3</v>
      </c>
      <c r="B100" s="25" t="str">
        <f>Raw_Data!B31</f>
        <v>Down-stream</v>
      </c>
      <c r="C100" s="25" t="s">
        <v>37</v>
      </c>
      <c r="D100" s="26">
        <f>Raw_Data!U31</f>
        <v>9.6669999999999998</v>
      </c>
    </row>
    <row r="101" spans="1:7" x14ac:dyDescent="0.25">
      <c r="A101" s="25" t="str">
        <f>Raw_Data!A32</f>
        <v>KWR1</v>
      </c>
      <c r="B101" s="25" t="str">
        <f>Raw_Data!B32</f>
        <v>Down-stream</v>
      </c>
      <c r="C101" s="25" t="s">
        <v>37</v>
      </c>
      <c r="D101" s="26">
        <f>Raw_Data!U32</f>
        <v>13.907</v>
      </c>
    </row>
    <row r="102" spans="1:7" x14ac:dyDescent="0.25">
      <c r="A102" s="25" t="str">
        <f>Raw_Data!A33</f>
        <v>KWR2</v>
      </c>
      <c r="B102" s="25" t="str">
        <f>Raw_Data!B33</f>
        <v>Down-stream</v>
      </c>
      <c r="C102" s="25" t="s">
        <v>37</v>
      </c>
      <c r="D102" s="26">
        <f>Raw_Data!U33</f>
        <v>15.352</v>
      </c>
    </row>
    <row r="103" spans="1:7" x14ac:dyDescent="0.25">
      <c r="A103" s="25" t="str">
        <f>Raw_Data!A34</f>
        <v>KWR3</v>
      </c>
      <c r="B103" s="25" t="str">
        <f>Raw_Data!B34</f>
        <v>Down-stream</v>
      </c>
      <c r="C103" s="25" t="s">
        <v>37</v>
      </c>
      <c r="D103" s="26">
        <f>Raw_Data!U34</f>
        <v>16.227</v>
      </c>
    </row>
    <row r="105" spans="1:7" x14ac:dyDescent="0.25">
      <c r="A105" s="28" t="s">
        <v>376</v>
      </c>
    </row>
    <row r="106" spans="1:7" x14ac:dyDescent="0.25">
      <c r="A106" s="24" t="s">
        <v>377</v>
      </c>
      <c r="B106" s="24" t="s">
        <v>35</v>
      </c>
      <c r="C106" s="24" t="s">
        <v>36</v>
      </c>
      <c r="D106" s="24" t="s">
        <v>37</v>
      </c>
      <c r="E106" s="24" t="s">
        <v>378</v>
      </c>
      <c r="F106" s="24" t="s">
        <v>379</v>
      </c>
      <c r="G106" s="24" t="s">
        <v>380</v>
      </c>
    </row>
    <row r="107" spans="1:7" x14ac:dyDescent="0.25">
      <c r="A107" s="28" t="s">
        <v>39</v>
      </c>
      <c r="B107" s="26">
        <f t="shared" ref="B107:D109" si="0">SUMIFS($D$5:$D$103,$B$5:$B$103,$A107,$C$5:$C$103,B$106)</f>
        <v>218.80699999999996</v>
      </c>
      <c r="C107" s="26">
        <f t="shared" si="0"/>
        <v>112.218</v>
      </c>
      <c r="D107" s="26">
        <f t="shared" si="0"/>
        <v>40.896000000000001</v>
      </c>
      <c r="E107" s="31">
        <f>SUM(B107:D107)</f>
        <v>371.92099999999999</v>
      </c>
      <c r="F107" s="28">
        <f>COUNTIFS($B$5:$B$103,$A107)/3</f>
        <v>9</v>
      </c>
      <c r="G107" s="26">
        <f>(B107^2+C107^2+D107^2)/F107</f>
        <v>6904.6517321111087</v>
      </c>
    </row>
    <row r="108" spans="1:7" x14ac:dyDescent="0.25">
      <c r="A108" s="28" t="s">
        <v>52</v>
      </c>
      <c r="B108" s="26">
        <f t="shared" si="0"/>
        <v>277.61400000000003</v>
      </c>
      <c r="C108" s="26">
        <f t="shared" si="0"/>
        <v>114.28270000000001</v>
      </c>
      <c r="D108" s="26">
        <f t="shared" si="0"/>
        <v>36.077920071047956</v>
      </c>
      <c r="E108" s="31">
        <f>SUM(B108:D108)</f>
        <v>427.97462007104798</v>
      </c>
      <c r="F108" s="28">
        <f>COUNTIFS($B$5:$B$103,$A108)/3</f>
        <v>9</v>
      </c>
      <c r="G108" s="26">
        <f>(B108^2+C108^2+D108^2)/F108</f>
        <v>10159.076092438107</v>
      </c>
    </row>
    <row r="109" spans="1:7" x14ac:dyDescent="0.25">
      <c r="A109" s="28" t="s">
        <v>65</v>
      </c>
      <c r="B109" s="26">
        <f t="shared" si="0"/>
        <v>747.81119999999999</v>
      </c>
      <c r="C109" s="26">
        <f t="shared" si="0"/>
        <v>418.04250000000002</v>
      </c>
      <c r="D109" s="26">
        <f t="shared" si="0"/>
        <v>127.72199999999999</v>
      </c>
      <c r="E109" s="31">
        <f>SUM(B109:D109)</f>
        <v>1293.5757000000001</v>
      </c>
      <c r="F109" s="28">
        <f>COUNTIFS($B$5:$B$103,$A109)/3</f>
        <v>15</v>
      </c>
      <c r="G109" s="26">
        <f>(B109^2+C109^2+D109^2)/F109</f>
        <v>50019.602129045998</v>
      </c>
    </row>
    <row r="110" spans="1:7" x14ac:dyDescent="0.25">
      <c r="A110" s="28" t="s">
        <v>381</v>
      </c>
      <c r="B110" s="31">
        <f>SUM(B107:B109)</f>
        <v>1244.2321999999999</v>
      </c>
      <c r="C110" s="31">
        <f>SUM(C107:C109)</f>
        <v>644.54320000000007</v>
      </c>
      <c r="D110" s="31">
        <f>SUM(D107:D109)</f>
        <v>204.69592007104796</v>
      </c>
      <c r="E110" s="31">
        <f>SUM(B110:D110)</f>
        <v>2093.471320071048</v>
      </c>
    </row>
    <row r="111" spans="1:7" x14ac:dyDescent="0.25">
      <c r="A111" s="28" t="s">
        <v>382</v>
      </c>
      <c r="B111" s="28">
        <f>COUNTIFS($C$5:$C$103,B$106)</f>
        <v>33</v>
      </c>
      <c r="C111" s="28">
        <f>COUNTIFS($C$5:$C$103,C$106)</f>
        <v>33</v>
      </c>
      <c r="D111" s="28">
        <f>COUNTIFS($C$5:$C$103,D$106)</f>
        <v>33</v>
      </c>
    </row>
    <row r="113" spans="1:2" x14ac:dyDescent="0.25">
      <c r="A113" s="28" t="s">
        <v>383</v>
      </c>
    </row>
    <row r="114" spans="1:2" x14ac:dyDescent="0.25">
      <c r="A114" s="25" t="s">
        <v>384</v>
      </c>
      <c r="B114" s="25">
        <v>3</v>
      </c>
    </row>
    <row r="115" spans="1:2" x14ac:dyDescent="0.25">
      <c r="A115" s="25" t="s">
        <v>385</v>
      </c>
      <c r="B115" s="25">
        <v>3</v>
      </c>
    </row>
    <row r="116" spans="1:2" x14ac:dyDescent="0.25">
      <c r="A116" s="25" t="s">
        <v>386</v>
      </c>
      <c r="B116" s="25">
        <f>COUNT($D$5:$D$103)</f>
        <v>99</v>
      </c>
    </row>
    <row r="117" spans="1:2" x14ac:dyDescent="0.25">
      <c r="A117" s="25" t="s">
        <v>387</v>
      </c>
      <c r="B117" s="26">
        <f>SUM($D$5:$D$103)</f>
        <v>2093.4713200710476</v>
      </c>
    </row>
    <row r="118" spans="1:2" x14ac:dyDescent="0.25">
      <c r="A118" s="25" t="s">
        <v>388</v>
      </c>
      <c r="B118" s="26">
        <f>B117^2/B116</f>
        <v>44268.910787474888</v>
      </c>
    </row>
    <row r="119" spans="1:2" x14ac:dyDescent="0.25">
      <c r="A119" s="25" t="s">
        <v>389</v>
      </c>
      <c r="B119" s="26">
        <f>SUMSQ($D$5:$D$103)</f>
        <v>73109.079913428286</v>
      </c>
    </row>
    <row r="121" spans="1:2" x14ac:dyDescent="0.25">
      <c r="A121" s="28" t="s">
        <v>390</v>
      </c>
    </row>
    <row r="122" spans="1:2" x14ac:dyDescent="0.25">
      <c r="A122" s="25" t="s">
        <v>391</v>
      </c>
      <c r="B122" s="26">
        <f>B119-B118</f>
        <v>28840.169125953398</v>
      </c>
    </row>
    <row r="123" spans="1:2" x14ac:dyDescent="0.25">
      <c r="A123" s="25" t="s">
        <v>392</v>
      </c>
      <c r="B123" s="26">
        <f>SUMPRODUCT(E107:E109,E107:E109,1/(F107:F109*B115))-B118</f>
        <v>4823.32479194185</v>
      </c>
    </row>
    <row r="124" spans="1:2" x14ac:dyDescent="0.25">
      <c r="A124" s="25" t="s">
        <v>393</v>
      </c>
      <c r="B124" s="26">
        <f>SUMSQ(B110:D110)/(B116/B115)-B118</f>
        <v>16502.30508758004</v>
      </c>
    </row>
    <row r="125" spans="1:2" x14ac:dyDescent="0.25">
      <c r="A125" s="25" t="s">
        <v>394</v>
      </c>
      <c r="B125" s="26">
        <f>SUM(G107:G109)-B118</f>
        <v>22814.419166120322</v>
      </c>
    </row>
    <row r="126" spans="1:2" x14ac:dyDescent="0.25">
      <c r="A126" s="25" t="s">
        <v>395</v>
      </c>
      <c r="B126" s="26">
        <f>B125-B123-B124</f>
        <v>1488.7892865984322</v>
      </c>
    </row>
    <row r="127" spans="1:2" x14ac:dyDescent="0.25">
      <c r="A127" s="25" t="s">
        <v>396</v>
      </c>
      <c r="B127" s="26">
        <f>B122-B125</f>
        <v>6025.749959833076</v>
      </c>
    </row>
    <row r="129" spans="1:7" x14ac:dyDescent="0.25">
      <c r="A129" s="28" t="s">
        <v>397</v>
      </c>
    </row>
    <row r="130" spans="1:7" x14ac:dyDescent="0.25">
      <c r="A130" s="24" t="s">
        <v>398</v>
      </c>
      <c r="B130" s="24" t="s">
        <v>399</v>
      </c>
      <c r="C130" s="24" t="s">
        <v>400</v>
      </c>
      <c r="D130" s="24" t="s">
        <v>401</v>
      </c>
      <c r="E130" s="24" t="s">
        <v>402</v>
      </c>
      <c r="F130" s="24" t="s">
        <v>318</v>
      </c>
      <c r="G130" s="24" t="s">
        <v>403</v>
      </c>
    </row>
    <row r="131" spans="1:7" x14ac:dyDescent="0.25">
      <c r="A131" s="28" t="s">
        <v>404</v>
      </c>
      <c r="B131" s="26">
        <f>B123</f>
        <v>4823.32479194185</v>
      </c>
      <c r="C131" s="25">
        <f>B114-1</f>
        <v>2</v>
      </c>
      <c r="D131" s="26">
        <f>B131/C131</f>
        <v>2411.662395970925</v>
      </c>
      <c r="E131" s="26">
        <f>D131/D134</f>
        <v>36.020348850219449</v>
      </c>
      <c r="F131" s="29">
        <f>_xlfn.F.DIST.RT(E131,C131,C134)</f>
        <v>3.2197950173423476E-12</v>
      </c>
      <c r="G131" s="25" t="str">
        <f>IF(F131&lt;0.05,"Significant (p &lt; 0.05)","Not significant (p ≥ 0.05)")</f>
        <v>Significant (p &lt; 0.05)</v>
      </c>
    </row>
    <row r="132" spans="1:7" x14ac:dyDescent="0.25">
      <c r="A132" s="28" t="s">
        <v>405</v>
      </c>
      <c r="B132" s="26">
        <f>B124</f>
        <v>16502.30508758004</v>
      </c>
      <c r="C132" s="25">
        <f>B115-1</f>
        <v>2</v>
      </c>
      <c r="D132" s="26">
        <f>B132/C132</f>
        <v>8251.15254379002</v>
      </c>
      <c r="E132" s="26">
        <f>D132/D134</f>
        <v>123.238390887642</v>
      </c>
      <c r="F132" s="29">
        <f>_xlfn.F.DIST.RT(E132,C132,C134)</f>
        <v>1.6901815415532511E-26</v>
      </c>
      <c r="G132" s="25" t="str">
        <f>IF(F132&lt;0.05,"Significant (p &lt; 0.05)","Not significant (p ≥ 0.05)")</f>
        <v>Significant (p &lt; 0.05)</v>
      </c>
    </row>
    <row r="133" spans="1:7" x14ac:dyDescent="0.25">
      <c r="A133" s="28" t="s">
        <v>406</v>
      </c>
      <c r="B133" s="26">
        <f>B126</f>
        <v>1488.7892865984322</v>
      </c>
      <c r="C133" s="25">
        <f>(B114-1)*(B115-1)</f>
        <v>4</v>
      </c>
      <c r="D133" s="26">
        <f>B133/C133</f>
        <v>372.19732164960806</v>
      </c>
      <c r="E133" s="26">
        <f>D133/D134</f>
        <v>5.5591020489991703</v>
      </c>
      <c r="F133" s="29">
        <f>_xlfn.F.DIST.RT(E133,C133,C134)</f>
        <v>4.7996135305612789E-4</v>
      </c>
      <c r="G133" s="25" t="str">
        <f>IF(F133&lt;0.05,"Significant (p &lt; 0.05)","Not significant (p ≥ 0.05)")</f>
        <v>Significant (p &lt; 0.05)</v>
      </c>
    </row>
    <row r="134" spans="1:7" x14ac:dyDescent="0.25">
      <c r="A134" s="25" t="s">
        <v>407</v>
      </c>
      <c r="B134" s="26">
        <f>B127</f>
        <v>6025.749959833076</v>
      </c>
      <c r="C134" s="25">
        <f>B116-B114*B115</f>
        <v>90</v>
      </c>
      <c r="D134" s="26">
        <f>B134/C134</f>
        <v>66.952777331478629</v>
      </c>
      <c r="E134" s="25"/>
      <c r="F134" s="25"/>
      <c r="G134" s="25"/>
    </row>
    <row r="135" spans="1:7" x14ac:dyDescent="0.25">
      <c r="A135" s="25" t="s">
        <v>408</v>
      </c>
      <c r="B135" s="26">
        <f>B122</f>
        <v>28840.169125953398</v>
      </c>
      <c r="C135" s="25">
        <f>B116-1</f>
        <v>98</v>
      </c>
      <c r="D135" s="25"/>
      <c r="E135" s="25"/>
      <c r="F135" s="25"/>
      <c r="G135" s="25"/>
    </row>
    <row r="137" spans="1:7" ht="16.5" x14ac:dyDescent="0.25">
      <c r="A137" s="22" t="s">
        <v>356</v>
      </c>
    </row>
    <row r="139" spans="1:7" x14ac:dyDescent="0.25">
      <c r="A139" s="28" t="s">
        <v>409</v>
      </c>
    </row>
    <row r="140" spans="1:7" ht="140.25" x14ac:dyDescent="0.25">
      <c r="A140" s="28" t="s">
        <v>358</v>
      </c>
      <c r="B140" s="30" t="s">
        <v>410</v>
      </c>
    </row>
    <row r="141" spans="1:7" ht="76.5" x14ac:dyDescent="0.25">
      <c r="A141" s="28" t="s">
        <v>360</v>
      </c>
      <c r="B141" s="30" t="s">
        <v>411</v>
      </c>
    </row>
    <row r="142" spans="1:7" ht="102" x14ac:dyDescent="0.25">
      <c r="A142" s="28" t="s">
        <v>362</v>
      </c>
      <c r="B142" s="30" t="s">
        <v>412</v>
      </c>
    </row>
    <row r="143" spans="1:7" x14ac:dyDescent="0.25">
      <c r="A143" s="28" t="s">
        <v>364</v>
      </c>
      <c r="B143" s="30" t="s">
        <v>365</v>
      </c>
    </row>
    <row r="144" spans="1:7" x14ac:dyDescent="0.25">
      <c r="A144" s="28" t="s">
        <v>366</v>
      </c>
      <c r="B144" s="30" t="str">
        <f>C131&amp;", "&amp;C134</f>
        <v>2, 90</v>
      </c>
    </row>
    <row r="145" spans="1:2" x14ac:dyDescent="0.25">
      <c r="A145" s="28" t="s">
        <v>367</v>
      </c>
      <c r="B145" s="26">
        <f>E131</f>
        <v>36.020348850219449</v>
      </c>
    </row>
    <row r="146" spans="1:2" x14ac:dyDescent="0.25">
      <c r="A146" s="28" t="s">
        <v>318</v>
      </c>
      <c r="B146" s="29">
        <f>F131</f>
        <v>3.2197950173423476E-12</v>
      </c>
    </row>
    <row r="147" spans="1:2" ht="51" x14ac:dyDescent="0.25">
      <c r="A147" s="28" t="s">
        <v>368</v>
      </c>
      <c r="B147" s="30" t="s">
        <v>369</v>
      </c>
    </row>
    <row r="148" spans="1:2" ht="25.5" x14ac:dyDescent="0.25">
      <c r="A148" s="28" t="s">
        <v>370</v>
      </c>
      <c r="B148" s="30" t="str">
        <f>G131</f>
        <v>Significant (p &lt; 0.05)</v>
      </c>
    </row>
    <row r="150" spans="1:2" x14ac:dyDescent="0.25">
      <c r="A150" s="28" t="s">
        <v>413</v>
      </c>
    </row>
    <row r="151" spans="1:2" ht="165.75" x14ac:dyDescent="0.25">
      <c r="A151" s="28" t="s">
        <v>358</v>
      </c>
      <c r="B151" s="30" t="s">
        <v>414</v>
      </c>
    </row>
    <row r="152" spans="1:2" ht="76.5" x14ac:dyDescent="0.25">
      <c r="A152" s="28" t="s">
        <v>360</v>
      </c>
      <c r="B152" s="30" t="s">
        <v>415</v>
      </c>
    </row>
    <row r="153" spans="1:2" ht="102" x14ac:dyDescent="0.25">
      <c r="A153" s="28" t="s">
        <v>362</v>
      </c>
      <c r="B153" s="30" t="s">
        <v>412</v>
      </c>
    </row>
    <row r="154" spans="1:2" x14ac:dyDescent="0.25">
      <c r="A154" s="28" t="s">
        <v>364</v>
      </c>
      <c r="B154" s="30" t="s">
        <v>365</v>
      </c>
    </row>
    <row r="155" spans="1:2" x14ac:dyDescent="0.25">
      <c r="A155" s="28" t="s">
        <v>366</v>
      </c>
      <c r="B155" s="30" t="str">
        <f>C132&amp;", "&amp;C134</f>
        <v>2, 90</v>
      </c>
    </row>
    <row r="156" spans="1:2" x14ac:dyDescent="0.25">
      <c r="A156" s="28" t="s">
        <v>367</v>
      </c>
      <c r="B156" s="26">
        <f>E132</f>
        <v>123.238390887642</v>
      </c>
    </row>
    <row r="157" spans="1:2" x14ac:dyDescent="0.25">
      <c r="A157" s="28" t="s">
        <v>318</v>
      </c>
      <c r="B157" s="29">
        <f>F132</f>
        <v>1.6901815415532511E-26</v>
      </c>
    </row>
    <row r="158" spans="1:2" ht="51" x14ac:dyDescent="0.25">
      <c r="A158" s="28" t="s">
        <v>368</v>
      </c>
      <c r="B158" s="30" t="s">
        <v>369</v>
      </c>
    </row>
    <row r="159" spans="1:2" ht="25.5" x14ac:dyDescent="0.25">
      <c r="A159" s="28" t="s">
        <v>370</v>
      </c>
      <c r="B159" s="30" t="str">
        <f>G132</f>
        <v>Significant (p &lt; 0.05)</v>
      </c>
    </row>
    <row r="161" spans="1:2" x14ac:dyDescent="0.25">
      <c r="A161" s="28" t="s">
        <v>416</v>
      </c>
    </row>
    <row r="162" spans="1:2" ht="178.5" x14ac:dyDescent="0.25">
      <c r="A162" s="28" t="s">
        <v>358</v>
      </c>
      <c r="B162" s="30" t="s">
        <v>417</v>
      </c>
    </row>
    <row r="163" spans="1:2" ht="127.5" x14ac:dyDescent="0.25">
      <c r="A163" s="28" t="s">
        <v>360</v>
      </c>
      <c r="B163" s="30" t="s">
        <v>418</v>
      </c>
    </row>
    <row r="164" spans="1:2" ht="114.75" x14ac:dyDescent="0.25">
      <c r="A164" s="28" t="s">
        <v>362</v>
      </c>
      <c r="B164" s="30" t="s">
        <v>419</v>
      </c>
    </row>
    <row r="165" spans="1:2" x14ac:dyDescent="0.25">
      <c r="A165" s="28" t="s">
        <v>364</v>
      </c>
      <c r="B165" s="30" t="s">
        <v>365</v>
      </c>
    </row>
    <row r="166" spans="1:2" x14ac:dyDescent="0.25">
      <c r="A166" s="28" t="s">
        <v>366</v>
      </c>
      <c r="B166" s="30" t="str">
        <f>C133&amp;", "&amp;C134</f>
        <v>4, 90</v>
      </c>
    </row>
    <row r="167" spans="1:2" x14ac:dyDescent="0.25">
      <c r="A167" s="28" t="s">
        <v>367</v>
      </c>
      <c r="B167" s="26">
        <f>E133</f>
        <v>5.5591020489991703</v>
      </c>
    </row>
    <row r="168" spans="1:2" x14ac:dyDescent="0.25">
      <c r="A168" s="28" t="s">
        <v>318</v>
      </c>
      <c r="B168" s="29">
        <f>F133</f>
        <v>4.7996135305612789E-4</v>
      </c>
    </row>
    <row r="169" spans="1:2" ht="51" x14ac:dyDescent="0.25">
      <c r="A169" s="28" t="s">
        <v>368</v>
      </c>
      <c r="B169" s="30" t="s">
        <v>369</v>
      </c>
    </row>
    <row r="170" spans="1:2" ht="25.5" x14ac:dyDescent="0.25">
      <c r="A170" s="28" t="s">
        <v>370</v>
      </c>
      <c r="B170" s="30" t="str">
        <f>G133</f>
        <v>Significant (p &lt; 0.05)</v>
      </c>
    </row>
    <row r="171" spans="1:2" ht="168" x14ac:dyDescent="0.25">
      <c r="A171" s="23" t="s">
        <v>420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Raw_Data</vt:lpstr>
      <vt:lpstr>Descriptive_Stats</vt:lpstr>
      <vt:lpstr>Zone_Site_Means</vt:lpstr>
      <vt:lpstr>Diagnostic_Ratios</vt:lpstr>
      <vt:lpstr>Parameters</vt:lpstr>
      <vt:lpstr>Health_Risk</vt:lpstr>
      <vt:lpstr>Health_Summary</vt:lpstr>
      <vt:lpstr>Eco_Risk</vt:lpstr>
      <vt:lpstr>Guideline_Comparison</vt:lpstr>
      <vt:lpstr>Statistics</vt:lpstr>
      <vt:lpstr>Kruskal-Wallis Test</vt:lpstr>
      <vt:lpstr>Two-Way ANOVA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Md. Ashikur Rahman</cp:lastModifiedBy>
  <cp:revision>0</cp:revision>
  <dcterms:created xsi:type="dcterms:W3CDTF">2026-09-18T01:52:39Z</dcterms:created>
  <dcterms:modified xsi:type="dcterms:W3CDTF">2026-09-22T03:08:13Z</dcterms:modified>
  <dc:language>en-US</dc:language>
</cp:coreProperties>
</file>