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X:\Fisheries\THESIS\Data New\Claude anova Edit\"/>
    </mc:Choice>
  </mc:AlternateContent>
  <xr:revisionPtr revIDLastSave="0" documentId="13_ncr:1_{D57658D5-14F9-4CCC-A9C3-F7D384DADC33}" xr6:coauthVersionLast="47" xr6:coauthVersionMax="47" xr10:uidLastSave="{00000000-0000-0000-0000-000000000000}"/>
  <bookViews>
    <workbookView xWindow="-120" yWindow="-120" windowWidth="29040" windowHeight="15720" tabRatio="500" firstSheet="5" activeTab="9" xr2:uid="{00000000-000D-0000-FFFF-FFFF00000000}"/>
  </bookViews>
  <sheets>
    <sheet name="Read Me" sheetId="1" r:id="rId1"/>
    <sheet name="Raw Data" sheetId="2" r:id="rId2"/>
    <sheet name="Descriptive Stats" sheetId="3" r:id="rId3"/>
    <sheet name="Group Mean Concentrations" sheetId="4" r:id="rId4"/>
    <sheet name="Exposure &amp; Toxicity Inputs" sheetId="5" r:id="rId5"/>
    <sheet name="Risk Assessment" sheetId="6" r:id="rId6"/>
    <sheet name="Summary (Table 4.5)" sheetId="7" r:id="rId7"/>
    <sheet name="Table 4.4 (SumOCP by group)" sheetId="8" r:id="rId8"/>
    <sheet name="Kruskal-Wallis Test" sheetId="9" r:id="rId9"/>
    <sheet name="Two-Way ANOVA" sheetId="10" r:id="rId10"/>
  </sheet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3" l="1"/>
  <c r="C19" i="3"/>
  <c r="C20" i="3"/>
  <c r="C21" i="3"/>
  <c r="C22" i="3"/>
  <c r="E22" i="3"/>
  <c r="D22" i="3"/>
  <c r="E21" i="3"/>
  <c r="D21" i="3"/>
  <c r="E20" i="3"/>
  <c r="D20" i="3"/>
  <c r="E19" i="3"/>
  <c r="D19" i="3"/>
  <c r="E18" i="3"/>
  <c r="D18" i="3"/>
  <c r="F18" i="3"/>
  <c r="F19" i="3"/>
  <c r="F20" i="3"/>
  <c r="F21" i="3"/>
  <c r="F22" i="3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4" i="2"/>
  <c r="B19" i="3" s="1"/>
  <c r="B20" i="3" l="1"/>
  <c r="B21" i="3"/>
  <c r="B22" i="3"/>
  <c r="B4" i="3"/>
  <c r="B55" i="10"/>
  <c r="B44" i="10"/>
  <c r="C34" i="10"/>
  <c r="C33" i="10"/>
  <c r="B66" i="10" s="1"/>
  <c r="C32" i="10"/>
  <c r="C31" i="10"/>
  <c r="D10" i="10"/>
  <c r="C10" i="10"/>
  <c r="B10" i="10"/>
  <c r="F8" i="10"/>
  <c r="F7" i="10"/>
  <c r="F6" i="10"/>
  <c r="C53" i="9"/>
  <c r="B75" i="9" s="1"/>
  <c r="C52" i="9"/>
  <c r="B64" i="9" s="1"/>
  <c r="B46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C9" i="9"/>
  <c r="B9" i="9"/>
  <c r="A9" i="9"/>
  <c r="C8" i="9"/>
  <c r="B41" i="9" s="1"/>
  <c r="B8" i="9"/>
  <c r="A8" i="9"/>
  <c r="C7" i="9"/>
  <c r="B7" i="9"/>
  <c r="A7" i="9"/>
  <c r="C6" i="9"/>
  <c r="B6" i="9"/>
  <c r="A6" i="9"/>
  <c r="C5" i="9"/>
  <c r="B5" i="9"/>
  <c r="A5" i="9"/>
  <c r="C9" i="5"/>
  <c r="B9" i="5"/>
  <c r="C8" i="5"/>
  <c r="B8" i="5"/>
  <c r="H17" i="4"/>
  <c r="O39" i="6" s="1"/>
  <c r="G17" i="4"/>
  <c r="L19" i="6" s="1"/>
  <c r="F17" i="4"/>
  <c r="K39" i="6" s="1"/>
  <c r="E17" i="4"/>
  <c r="I19" i="6" s="1"/>
  <c r="D17" i="4"/>
  <c r="G39" i="6" s="1"/>
  <c r="C17" i="4"/>
  <c r="D39" i="6" s="1"/>
  <c r="B17" i="4"/>
  <c r="C19" i="6" s="1"/>
  <c r="H16" i="4"/>
  <c r="G16" i="4"/>
  <c r="M38" i="6" s="1"/>
  <c r="F16" i="4"/>
  <c r="J38" i="6" s="1"/>
  <c r="E16" i="4"/>
  <c r="I38" i="6" s="1"/>
  <c r="D16" i="4"/>
  <c r="C16" i="4"/>
  <c r="E38" i="6" s="1"/>
  <c r="B16" i="4"/>
  <c r="B18" i="6" s="1"/>
  <c r="H15" i="4"/>
  <c r="O37" i="6" s="1"/>
  <c r="G15" i="4"/>
  <c r="M37" i="6" s="1"/>
  <c r="F15" i="4"/>
  <c r="K17" i="6" s="1"/>
  <c r="E15" i="4"/>
  <c r="H37" i="6" s="1"/>
  <c r="D15" i="4"/>
  <c r="G17" i="6" s="1"/>
  <c r="C15" i="4"/>
  <c r="B15" i="4"/>
  <c r="C37" i="6" s="1"/>
  <c r="H14" i="4"/>
  <c r="N36" i="6" s="1"/>
  <c r="G14" i="4"/>
  <c r="M36" i="6" s="1"/>
  <c r="F14" i="4"/>
  <c r="K36" i="6" s="1"/>
  <c r="E14" i="4"/>
  <c r="H16" i="6" s="1"/>
  <c r="D14" i="4"/>
  <c r="F16" i="6" s="1"/>
  <c r="C14" i="4"/>
  <c r="E36" i="6" s="1"/>
  <c r="B14" i="4"/>
  <c r="C36" i="6" s="1"/>
  <c r="H13" i="4"/>
  <c r="O15" i="6" s="1"/>
  <c r="G13" i="4"/>
  <c r="M15" i="6" s="1"/>
  <c r="F13" i="4"/>
  <c r="K15" i="6" s="1"/>
  <c r="E13" i="4"/>
  <c r="H15" i="6" s="1"/>
  <c r="D13" i="4"/>
  <c r="G15" i="6" s="1"/>
  <c r="C13" i="4"/>
  <c r="D15" i="6" s="1"/>
  <c r="B13" i="4"/>
  <c r="B15" i="6" s="1"/>
  <c r="H12" i="4"/>
  <c r="G12" i="4"/>
  <c r="L34" i="6" s="1"/>
  <c r="F12" i="4"/>
  <c r="J14" i="6" s="1"/>
  <c r="E12" i="4"/>
  <c r="I34" i="6" s="1"/>
  <c r="D12" i="4"/>
  <c r="C12" i="4"/>
  <c r="D34" i="6" s="1"/>
  <c r="B12" i="4"/>
  <c r="C14" i="6" s="1"/>
  <c r="H11" i="4"/>
  <c r="G11" i="4"/>
  <c r="L13" i="6" s="1"/>
  <c r="F11" i="4"/>
  <c r="J13" i="6" s="1"/>
  <c r="E11" i="4"/>
  <c r="H13" i="6" s="1"/>
  <c r="D11" i="4"/>
  <c r="F33" i="6" s="1"/>
  <c r="C11" i="4"/>
  <c r="E33" i="6" s="1"/>
  <c r="B11" i="4"/>
  <c r="B33" i="6" s="1"/>
  <c r="H10" i="4"/>
  <c r="N12" i="6" s="1"/>
  <c r="G10" i="4"/>
  <c r="M32" i="6" s="1"/>
  <c r="F10" i="4"/>
  <c r="K12" i="6" s="1"/>
  <c r="E10" i="4"/>
  <c r="H32" i="6" s="1"/>
  <c r="D10" i="4"/>
  <c r="G12" i="6" s="1"/>
  <c r="C10" i="4"/>
  <c r="D12" i="6" s="1"/>
  <c r="B10" i="4"/>
  <c r="B12" i="6" s="1"/>
  <c r="H9" i="4"/>
  <c r="O11" i="6" s="1"/>
  <c r="G9" i="4"/>
  <c r="L11" i="6" s="1"/>
  <c r="F9" i="4"/>
  <c r="J31" i="6" s="1"/>
  <c r="E9" i="4"/>
  <c r="D9" i="4"/>
  <c r="F31" i="6" s="1"/>
  <c r="C9" i="4"/>
  <c r="D11" i="6" s="1"/>
  <c r="B9" i="4"/>
  <c r="C31" i="6" s="1"/>
  <c r="H8" i="4"/>
  <c r="N30" i="6" s="1"/>
  <c r="G8" i="4"/>
  <c r="L30" i="6" s="1"/>
  <c r="F8" i="4"/>
  <c r="K10" i="6" s="1"/>
  <c r="E8" i="4"/>
  <c r="I30" i="6" s="1"/>
  <c r="D8" i="4"/>
  <c r="F10" i="6" s="1"/>
  <c r="C8" i="4"/>
  <c r="B8" i="4"/>
  <c r="B10" i="6" s="1"/>
  <c r="H7" i="4"/>
  <c r="N29" i="6" s="1"/>
  <c r="G7" i="4"/>
  <c r="F7" i="4"/>
  <c r="J29" i="6" s="1"/>
  <c r="E7" i="4"/>
  <c r="H9" i="6" s="1"/>
  <c r="D7" i="4"/>
  <c r="G29" i="6" s="1"/>
  <c r="C7" i="4"/>
  <c r="D29" i="6" s="1"/>
  <c r="B7" i="4"/>
  <c r="B29" i="6" s="1"/>
  <c r="H6" i="4"/>
  <c r="O8" i="6" s="1"/>
  <c r="G6" i="4"/>
  <c r="M28" i="6" s="1"/>
  <c r="F6" i="4"/>
  <c r="J8" i="6" s="1"/>
  <c r="E6" i="4"/>
  <c r="D6" i="4"/>
  <c r="F8" i="6" s="1"/>
  <c r="C6" i="4"/>
  <c r="D28" i="6" s="1"/>
  <c r="B6" i="4"/>
  <c r="H5" i="4"/>
  <c r="N27" i="6" s="1"/>
  <c r="G5" i="4"/>
  <c r="L7" i="6" s="1"/>
  <c r="F5" i="4"/>
  <c r="K27" i="6" s="1"/>
  <c r="E5" i="4"/>
  <c r="H27" i="6" s="1"/>
  <c r="D5" i="4"/>
  <c r="F27" i="6" s="1"/>
  <c r="C5" i="4"/>
  <c r="E7" i="6" s="1"/>
  <c r="B5" i="4"/>
  <c r="B7" i="6" s="1"/>
  <c r="H4" i="4"/>
  <c r="N6" i="6" s="1"/>
  <c r="G4" i="4"/>
  <c r="F4" i="4"/>
  <c r="J6" i="6" s="1"/>
  <c r="E4" i="4"/>
  <c r="H26" i="6" s="1"/>
  <c r="D4" i="4"/>
  <c r="G26" i="6" s="1"/>
  <c r="C4" i="4"/>
  <c r="D26" i="6" s="1"/>
  <c r="B4" i="4"/>
  <c r="B6" i="6" s="1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R30" i="2"/>
  <c r="D31" i="9" s="1"/>
  <c r="R29" i="2"/>
  <c r="R28" i="2"/>
  <c r="D29" i="9" s="1"/>
  <c r="R27" i="2"/>
  <c r="D28" i="9" s="1"/>
  <c r="R26" i="2"/>
  <c r="D27" i="9" s="1"/>
  <c r="R25" i="2"/>
  <c r="D26" i="9" s="1"/>
  <c r="R24" i="2"/>
  <c r="D25" i="9" s="1"/>
  <c r="R23" i="2"/>
  <c r="D24" i="9" s="1"/>
  <c r="R22" i="2"/>
  <c r="D23" i="9" s="1"/>
  <c r="R21" i="2"/>
  <c r="D22" i="9" s="1"/>
  <c r="R20" i="2"/>
  <c r="D21" i="9" s="1"/>
  <c r="R19" i="2"/>
  <c r="R18" i="2"/>
  <c r="D19" i="9" s="1"/>
  <c r="R17" i="2"/>
  <c r="D18" i="9" s="1"/>
  <c r="R16" i="2"/>
  <c r="R15" i="2"/>
  <c r="D16" i="9" s="1"/>
  <c r="R14" i="2"/>
  <c r="R13" i="2"/>
  <c r="D14" i="9" s="1"/>
  <c r="R12" i="2"/>
  <c r="R11" i="2"/>
  <c r="D12" i="9" s="1"/>
  <c r="R10" i="2"/>
  <c r="D11" i="9" s="1"/>
  <c r="R9" i="2"/>
  <c r="D10" i="9" s="1"/>
  <c r="R8" i="2"/>
  <c r="D9" i="9" s="1"/>
  <c r="R7" i="2"/>
  <c r="R6" i="2"/>
  <c r="D7" i="9" s="1"/>
  <c r="R5" i="2"/>
  <c r="R4" i="2"/>
  <c r="D5" i="9" l="1"/>
  <c r="B18" i="3"/>
  <c r="B7" i="10"/>
  <c r="M17" i="6"/>
  <c r="D18" i="6"/>
  <c r="O27" i="6"/>
  <c r="K28" i="6"/>
  <c r="O28" i="6"/>
  <c r="K30" i="6"/>
  <c r="J7" i="6"/>
  <c r="G31" i="6"/>
  <c r="G8" i="6"/>
  <c r="G32" i="6"/>
  <c r="F9" i="6"/>
  <c r="M34" i="6"/>
  <c r="N11" i="6"/>
  <c r="H36" i="6"/>
  <c r="L12" i="6"/>
  <c r="B37" i="6"/>
  <c r="I13" i="6"/>
  <c r="J39" i="6"/>
  <c r="B9" i="6"/>
  <c r="B13" i="6"/>
  <c r="K18" i="6"/>
  <c r="L31" i="6"/>
  <c r="I36" i="6"/>
  <c r="C9" i="6"/>
  <c r="G13" i="6"/>
  <c r="F19" i="6"/>
  <c r="N28" i="6"/>
  <c r="F32" i="6"/>
  <c r="O36" i="6"/>
  <c r="E19" i="4"/>
  <c r="J9" i="6"/>
  <c r="H14" i="6"/>
  <c r="J19" i="6"/>
  <c r="H29" i="6"/>
  <c r="N32" i="6"/>
  <c r="I37" i="6"/>
  <c r="G10" i="6"/>
  <c r="L14" i="6"/>
  <c r="N19" i="6"/>
  <c r="I29" i="6"/>
  <c r="C33" i="6"/>
  <c r="N37" i="6"/>
  <c r="K14" i="6"/>
  <c r="H10" i="6"/>
  <c r="D16" i="6"/>
  <c r="D27" i="6"/>
  <c r="K29" i="6"/>
  <c r="H33" i="6"/>
  <c r="G19" i="6"/>
  <c r="D38" i="6"/>
  <c r="B11" i="6"/>
  <c r="E16" i="6"/>
  <c r="E27" i="6"/>
  <c r="B30" i="6"/>
  <c r="B34" i="6"/>
  <c r="H38" i="6"/>
  <c r="E11" i="6"/>
  <c r="G16" i="6"/>
  <c r="L27" i="6"/>
  <c r="F30" i="6"/>
  <c r="J34" i="6"/>
  <c r="K38" i="6"/>
  <c r="I7" i="6"/>
  <c r="F11" i="6"/>
  <c r="M27" i="6"/>
  <c r="J30" i="6"/>
  <c r="K34" i="6"/>
  <c r="E39" i="6"/>
  <c r="N7" i="6"/>
  <c r="N17" i="6"/>
  <c r="F28" i="6"/>
  <c r="D31" i="6"/>
  <c r="D36" i="6"/>
  <c r="C6" i="6"/>
  <c r="D6" i="6"/>
  <c r="J26" i="6"/>
  <c r="C19" i="4"/>
  <c r="E26" i="6"/>
  <c r="C26" i="6"/>
  <c r="D17" i="9"/>
  <c r="E17" i="9" s="1"/>
  <c r="F28" i="9"/>
  <c r="B20" i="4"/>
  <c r="F10" i="9"/>
  <c r="F24" i="9"/>
  <c r="F12" i="9"/>
  <c r="G20" i="4"/>
  <c r="B26" i="6"/>
  <c r="F19" i="9"/>
  <c r="E19" i="9"/>
  <c r="F31" i="9"/>
  <c r="E31" i="9"/>
  <c r="F21" i="9"/>
  <c r="E21" i="9"/>
  <c r="F11" i="9"/>
  <c r="E11" i="9"/>
  <c r="F7" i="9"/>
  <c r="E7" i="9"/>
  <c r="F23" i="9"/>
  <c r="E23" i="9"/>
  <c r="F25" i="9"/>
  <c r="E25" i="9"/>
  <c r="F27" i="9"/>
  <c r="E27" i="9"/>
  <c r="F9" i="9"/>
  <c r="D33" i="6"/>
  <c r="E9" i="9"/>
  <c r="C7" i="10"/>
  <c r="K7" i="6"/>
  <c r="E9" i="6"/>
  <c r="L10" i="6"/>
  <c r="C12" i="6"/>
  <c r="C15" i="6"/>
  <c r="O17" i="6"/>
  <c r="G27" i="6"/>
  <c r="G30" i="6"/>
  <c r="F37" i="6"/>
  <c r="O14" i="6"/>
  <c r="N14" i="6"/>
  <c r="E28" i="9"/>
  <c r="M26" i="6"/>
  <c r="L26" i="6"/>
  <c r="I28" i="6"/>
  <c r="H28" i="6"/>
  <c r="E30" i="6"/>
  <c r="D30" i="6"/>
  <c r="O31" i="6"/>
  <c r="N31" i="6"/>
  <c r="K33" i="6"/>
  <c r="J33" i="6"/>
  <c r="F19" i="4"/>
  <c r="H6" i="6"/>
  <c r="M7" i="6"/>
  <c r="M10" i="6"/>
  <c r="K13" i="6"/>
  <c r="E15" i="6"/>
  <c r="L16" i="6"/>
  <c r="C18" i="6"/>
  <c r="B32" i="6"/>
  <c r="G33" i="6"/>
  <c r="N34" i="6"/>
  <c r="G37" i="6"/>
  <c r="L38" i="6"/>
  <c r="D15" i="9"/>
  <c r="B17" i="10"/>
  <c r="B19" i="4"/>
  <c r="E26" i="9"/>
  <c r="H19" i="4"/>
  <c r="D17" i="6"/>
  <c r="E37" i="6"/>
  <c r="D37" i="6"/>
  <c r="N18" i="6"/>
  <c r="O38" i="6"/>
  <c r="N38" i="6"/>
  <c r="G19" i="4"/>
  <c r="I6" i="6"/>
  <c r="G9" i="6"/>
  <c r="O10" i="6"/>
  <c r="H12" i="6"/>
  <c r="M13" i="6"/>
  <c r="F15" i="6"/>
  <c r="M16" i="6"/>
  <c r="K19" i="6"/>
  <c r="C29" i="6"/>
  <c r="C32" i="6"/>
  <c r="O34" i="6"/>
  <c r="B39" i="6"/>
  <c r="B37" i="9"/>
  <c r="B36" i="9"/>
  <c r="B35" i="9"/>
  <c r="I11" i="6"/>
  <c r="H11" i="6"/>
  <c r="I31" i="6"/>
  <c r="K31" i="6"/>
  <c r="E18" i="9"/>
  <c r="D32" i="6"/>
  <c r="E12" i="6"/>
  <c r="N33" i="6"/>
  <c r="O13" i="6"/>
  <c r="K6" i="6"/>
  <c r="D8" i="6"/>
  <c r="I9" i="6"/>
  <c r="I12" i="6"/>
  <c r="N13" i="6"/>
  <c r="O16" i="6"/>
  <c r="H18" i="6"/>
  <c r="M19" i="6"/>
  <c r="F26" i="6"/>
  <c r="E32" i="6"/>
  <c r="L33" i="6"/>
  <c r="J37" i="6"/>
  <c r="C39" i="6"/>
  <c r="F18" i="9"/>
  <c r="F26" i="9"/>
  <c r="M9" i="6"/>
  <c r="L9" i="6"/>
  <c r="D6" i="9"/>
  <c r="L28" i="6"/>
  <c r="M8" i="6"/>
  <c r="C20" i="4"/>
  <c r="B5" i="8" s="1"/>
  <c r="L6" i="6"/>
  <c r="E8" i="6"/>
  <c r="C11" i="6"/>
  <c r="D14" i="6"/>
  <c r="I15" i="6"/>
  <c r="B17" i="6"/>
  <c r="I18" i="6"/>
  <c r="M30" i="6"/>
  <c r="M33" i="6"/>
  <c r="K37" i="6"/>
  <c r="F5" i="9"/>
  <c r="D13" i="9"/>
  <c r="F29" i="9"/>
  <c r="C8" i="6"/>
  <c r="B8" i="6"/>
  <c r="M6" i="6"/>
  <c r="N9" i="6"/>
  <c r="E14" i="6"/>
  <c r="J15" i="6"/>
  <c r="C17" i="6"/>
  <c r="I26" i="6"/>
  <c r="B28" i="6"/>
  <c r="O33" i="6"/>
  <c r="F39" i="6"/>
  <c r="E5" i="9"/>
  <c r="E29" i="9"/>
  <c r="D6" i="10"/>
  <c r="F38" i="6"/>
  <c r="G18" i="6"/>
  <c r="F18" i="6"/>
  <c r="E14" i="9"/>
  <c r="E16" i="9"/>
  <c r="J12" i="6"/>
  <c r="K32" i="6"/>
  <c r="F14" i="6"/>
  <c r="G34" i="6"/>
  <c r="L37" i="6"/>
  <c r="L17" i="6"/>
  <c r="H39" i="6"/>
  <c r="H19" i="6"/>
  <c r="H20" i="4"/>
  <c r="O6" i="6"/>
  <c r="H8" i="6"/>
  <c r="O9" i="6"/>
  <c r="M12" i="6"/>
  <c r="G14" i="6"/>
  <c r="N15" i="6"/>
  <c r="E17" i="6"/>
  <c r="L18" i="6"/>
  <c r="C28" i="6"/>
  <c r="I32" i="6"/>
  <c r="F16" i="9"/>
  <c r="E13" i="6"/>
  <c r="D13" i="6"/>
  <c r="D8" i="10"/>
  <c r="D30" i="9"/>
  <c r="B6" i="10"/>
  <c r="D8" i="9"/>
  <c r="H7" i="6"/>
  <c r="I27" i="6"/>
  <c r="N10" i="6"/>
  <c r="O30" i="6"/>
  <c r="B36" i="6"/>
  <c r="B16" i="6"/>
  <c r="E10" i="9"/>
  <c r="E22" i="9"/>
  <c r="I8" i="6"/>
  <c r="C10" i="6"/>
  <c r="J11" i="6"/>
  <c r="O12" i="6"/>
  <c r="F17" i="6"/>
  <c r="M18" i="6"/>
  <c r="N26" i="6"/>
  <c r="E28" i="6"/>
  <c r="L29" i="6"/>
  <c r="E31" i="6"/>
  <c r="J32" i="6"/>
  <c r="C34" i="6"/>
  <c r="I39" i="6"/>
  <c r="G6" i="6"/>
  <c r="F6" i="6"/>
  <c r="H30" i="6"/>
  <c r="I10" i="6"/>
  <c r="D19" i="4"/>
  <c r="F7" i="6"/>
  <c r="K8" i="6"/>
  <c r="D10" i="6"/>
  <c r="K11" i="6"/>
  <c r="I14" i="6"/>
  <c r="C16" i="6"/>
  <c r="J17" i="6"/>
  <c r="O18" i="6"/>
  <c r="O26" i="6"/>
  <c r="M29" i="6"/>
  <c r="E34" i="6"/>
  <c r="L36" i="6"/>
  <c r="B43" i="9"/>
  <c r="C8" i="10"/>
  <c r="J36" i="6"/>
  <c r="K16" i="6"/>
  <c r="J16" i="6"/>
  <c r="B27" i="6"/>
  <c r="C7" i="6"/>
  <c r="D20" i="9"/>
  <c r="D7" i="10"/>
  <c r="D9" i="6"/>
  <c r="E29" i="6"/>
  <c r="E12" i="9"/>
  <c r="E24" i="9"/>
  <c r="I16" i="6"/>
  <c r="E18" i="6"/>
  <c r="O19" i="6"/>
  <c r="I33" i="6"/>
  <c r="M31" i="6"/>
  <c r="G7" i="6"/>
  <c r="L8" i="6"/>
  <c r="E10" i="6"/>
  <c r="M11" i="6"/>
  <c r="F13" i="6"/>
  <c r="B19" i="6"/>
  <c r="C27" i="6"/>
  <c r="J28" i="6"/>
  <c r="O29" i="6"/>
  <c r="H31" i="6"/>
  <c r="O32" i="6"/>
  <c r="F34" i="6"/>
  <c r="G38" i="6"/>
  <c r="N39" i="6"/>
  <c r="F14" i="9"/>
  <c r="F22" i="9"/>
  <c r="D20" i="4"/>
  <c r="E6" i="6"/>
  <c r="O7" i="6"/>
  <c r="K9" i="6"/>
  <c r="G11" i="6"/>
  <c r="C13" i="6"/>
  <c r="M14" i="6"/>
  <c r="K26" i="6"/>
  <c r="G28" i="6"/>
  <c r="C30" i="6"/>
  <c r="E20" i="4"/>
  <c r="D7" i="6"/>
  <c r="N8" i="6"/>
  <c r="J10" i="6"/>
  <c r="F12" i="6"/>
  <c r="B14" i="6"/>
  <c r="L15" i="6"/>
  <c r="H17" i="6"/>
  <c r="D19" i="6"/>
  <c r="J27" i="6"/>
  <c r="F29" i="6"/>
  <c r="B31" i="6"/>
  <c r="L32" i="6"/>
  <c r="H34" i="6"/>
  <c r="F36" i="6"/>
  <c r="B38" i="6"/>
  <c r="L39" i="6"/>
  <c r="B42" i="9"/>
  <c r="F20" i="4"/>
  <c r="I17" i="6"/>
  <c r="E19" i="6"/>
  <c r="G36" i="6"/>
  <c r="C38" i="6"/>
  <c r="M39" i="6"/>
  <c r="B8" i="10"/>
  <c r="B16" i="10"/>
  <c r="C35" i="10" s="1"/>
  <c r="N16" i="6"/>
  <c r="J18" i="6"/>
  <c r="C6" i="10"/>
  <c r="B19" i="10"/>
  <c r="B7" i="8" l="1"/>
  <c r="F17" i="9"/>
  <c r="B9" i="8"/>
  <c r="K40" i="6"/>
  <c r="D13" i="7" s="1"/>
  <c r="J40" i="6"/>
  <c r="D12" i="7" s="1"/>
  <c r="B4" i="8"/>
  <c r="D40" i="6"/>
  <c r="D6" i="7" s="1"/>
  <c r="N20" i="6"/>
  <c r="C16" i="7" s="1"/>
  <c r="H40" i="6"/>
  <c r="D10" i="7" s="1"/>
  <c r="E40" i="6"/>
  <c r="D7" i="7" s="1"/>
  <c r="J20" i="6"/>
  <c r="C12" i="7" s="1"/>
  <c r="B20" i="6"/>
  <c r="C4" i="7" s="1"/>
  <c r="B40" i="6"/>
  <c r="D4" i="7" s="1"/>
  <c r="O40" i="6"/>
  <c r="D17" i="7" s="1"/>
  <c r="C20" i="6"/>
  <c r="C5" i="7" s="1"/>
  <c r="G40" i="6"/>
  <c r="D9" i="7" s="1"/>
  <c r="E8" i="10"/>
  <c r="E7" i="10"/>
  <c r="C9" i="10"/>
  <c r="D9" i="10"/>
  <c r="E20" i="9"/>
  <c r="F20" i="9"/>
  <c r="F20" i="6"/>
  <c r="C8" i="7" s="1"/>
  <c r="B9" i="10"/>
  <c r="E6" i="10"/>
  <c r="F13" i="9"/>
  <c r="E13" i="9"/>
  <c r="L20" i="6"/>
  <c r="C14" i="7" s="1"/>
  <c r="G20" i="6"/>
  <c r="C9" i="7" s="1"/>
  <c r="E30" i="9"/>
  <c r="C37" i="9" s="1"/>
  <c r="D37" i="9" s="1"/>
  <c r="F30" i="9"/>
  <c r="K20" i="6"/>
  <c r="C13" i="7" s="1"/>
  <c r="L40" i="6"/>
  <c r="D14" i="7" s="1"/>
  <c r="I40" i="6"/>
  <c r="D11" i="7" s="1"/>
  <c r="C40" i="6"/>
  <c r="D5" i="7" s="1"/>
  <c r="E6" i="9"/>
  <c r="F6" i="9"/>
  <c r="I20" i="6"/>
  <c r="C11" i="7" s="1"/>
  <c r="B18" i="10"/>
  <c r="B22" i="10" s="1"/>
  <c r="M40" i="6"/>
  <c r="D15" i="7" s="1"/>
  <c r="F40" i="6"/>
  <c r="D8" i="7" s="1"/>
  <c r="F15" i="9"/>
  <c r="E15" i="9"/>
  <c r="C36" i="9" s="1"/>
  <c r="D36" i="9" s="1"/>
  <c r="H20" i="6"/>
  <c r="C10" i="7" s="1"/>
  <c r="E20" i="6"/>
  <c r="C7" i="7" s="1"/>
  <c r="B8" i="8"/>
  <c r="E8" i="9"/>
  <c r="C41" i="9" s="1"/>
  <c r="D41" i="9" s="1"/>
  <c r="F8" i="9"/>
  <c r="O20" i="6"/>
  <c r="C17" i="7" s="1"/>
  <c r="D20" i="6"/>
  <c r="C6" i="7" s="1"/>
  <c r="B6" i="8"/>
  <c r="N40" i="6"/>
  <c r="D16" i="7" s="1"/>
  <c r="M20" i="6"/>
  <c r="C15" i="7" s="1"/>
  <c r="E9" i="10" l="1"/>
  <c r="C35" i="9"/>
  <c r="D35" i="9" s="1"/>
  <c r="D52" i="9" s="1"/>
  <c r="C43" i="9"/>
  <c r="D43" i="9" s="1"/>
  <c r="B47" i="9"/>
  <c r="B48" i="9" s="1"/>
  <c r="B35" i="10"/>
  <c r="B25" i="10"/>
  <c r="B27" i="10" s="1"/>
  <c r="B34" i="10" s="1"/>
  <c r="D34" i="10" s="1"/>
  <c r="B24" i="10"/>
  <c r="B32" i="10" s="1"/>
  <c r="D32" i="10" s="1"/>
  <c r="B23" i="10"/>
  <c r="B31" i="10" s="1"/>
  <c r="D31" i="10" s="1"/>
  <c r="C42" i="9"/>
  <c r="D42" i="9" s="1"/>
  <c r="D53" i="9" s="1"/>
  <c r="E53" i="9" l="1"/>
  <c r="E31" i="10"/>
  <c r="E32" i="10"/>
  <c r="B26" i="10"/>
  <c r="B33" i="10" s="1"/>
  <c r="D33" i="10" s="1"/>
  <c r="E33" i="10" s="1"/>
  <c r="E52" i="9"/>
  <c r="B65" i="9" l="1"/>
  <c r="F52" i="9"/>
  <c r="B67" i="10"/>
  <c r="F33" i="10"/>
  <c r="F31" i="10"/>
  <c r="B45" i="10"/>
  <c r="F32" i="10"/>
  <c r="B56" i="10"/>
  <c r="B76" i="9"/>
  <c r="F53" i="9"/>
  <c r="G53" i="9" l="1"/>
  <c r="B79" i="9" s="1"/>
  <c r="B77" i="9"/>
  <c r="B11" i="8"/>
  <c r="B57" i="10"/>
  <c r="G32" i="10"/>
  <c r="B59" i="10" s="1"/>
  <c r="G31" i="10"/>
  <c r="B48" i="10" s="1"/>
  <c r="B46" i="10"/>
  <c r="B68" i="10"/>
  <c r="G33" i="10"/>
  <c r="B70" i="10" s="1"/>
  <c r="G52" i="9"/>
  <c r="B68" i="9" s="1"/>
  <c r="B66" i="9"/>
  <c r="B10" i="8"/>
</calcChain>
</file>

<file path=xl/sharedStrings.xml><?xml version="1.0" encoding="utf-8"?>
<sst xmlns="http://schemas.openxmlformats.org/spreadsheetml/2006/main" count="530" uniqueCount="228">
  <si>
    <t>Halda River OCP — Fish Contamination &amp; Human Health Risk: Calculation Workbook</t>
  </si>
  <si>
    <t>This workbook reproduces, with live formulas, every calculation reported in</t>
  </si>
  <si>
    <t>'Halda_OCP_Fish_Risk_Results.docx' (Sections 4.1–4.6).</t>
  </si>
  <si>
    <t>Sheet guide:</t>
  </si>
  <si>
    <t xml:space="preserve">  1. Raw Data — the 27-sample × 14-compound concentration matrix (µg/kg ww), plus per-sample ΣOCP.</t>
  </si>
  <si>
    <t xml:space="preserve">  2. Descriptive Stats — Table 4.3 (mean, SD, range, detection frequency per compound) + overall ΣOCP.</t>
  </si>
  <si>
    <t xml:space="preserve">  3. Group Mean Concentrations — mean concentration of each compound, by zone, by species and overall.</t>
  </si>
  <si>
    <t xml:space="preserve">  4. Table 4.4 (SumOCP by group) — Table 4.4 (ΣOCP mean ± SD by zone/species), linked to the KW test below.</t>
  </si>
  <si>
    <t xml:space="preserve">  5. Kruskal-Wallis Test — full rank-based H-test workings for the zone and species comparisons.</t>
  </si>
  <si>
    <t xml:space="preserve">  6. Exposure &amp; Toxicity Inputs — Table 4.1 (BW, IR, EF, ED, AT) and Table 4.2 (RfD, CSF per compound).</t>
  </si>
  <si>
    <t xml:space="preserve">  7. Risk Assessment — full THQ and CR matrix (compound × grouping × consumer), with HI = ΣTHQ.</t>
  </si>
  <si>
    <t xml:space="preserve">  8. Summary (Table 4.5) — Table 4.5, HI and CR by zone/species/overall, adult and child.</t>
  </si>
  <si>
    <t>Colour key: blue text = hardcoded input (raw data or literature-sourced parameter);</t>
  </si>
  <si>
    <t>black text = live formula. Change any blue cell and every dependent value recalculates.</t>
  </si>
  <si>
    <t>Formulas used:</t>
  </si>
  <si>
    <t xml:space="preserve">  EDI = (C × IR × EF × ED) / (BW × AT)</t>
  </si>
  <si>
    <t xml:space="preserve">  THQ = EDI / RfD        HI = ΣTHQ        CR = EDI(carcinogenic) × CSF</t>
  </si>
  <si>
    <t xml:space="preserve">  Kruskal-Wallis: H = (12/(N(N+1)))·Σ(R²/n) − 3(N+1), tie-corrected by C = 1 − T/(N³−N)</t>
  </si>
  <si>
    <t>Note: the pie-chart chemical-class split (Figure 4.2) is a simple grouped-percentage</t>
  </si>
  <si>
    <t>breakdown of Table 4.3 and is not reproduced as a separate sheet; every numeric result</t>
  </si>
  <si>
    <t>in Sections 4.3–4.5 of the report, including both Kruskal–Wallis tests, is formula-driven here.</t>
  </si>
  <si>
    <t>Table — OCP concentrations in Halda River fish muscle (µg/kg wet weight)</t>
  </si>
  <si>
    <t>Sample ID</t>
  </si>
  <si>
    <t>Zone</t>
  </si>
  <si>
    <t>Species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</si>
  <si>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</si>
  <si>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</si>
  <si>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</si>
  <si>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</si>
  <si>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</si>
  <si>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</si>
  <si>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</si>
  <si>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</si>
  <si>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</si>
  <si>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</si>
  <si>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</si>
  <si>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</si>
  <si>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</si>
  <si>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</si>
  <si>
    <t>ΣOCP (µg/kg ww)</t>
  </si>
  <si>
    <t>RUR1</t>
  </si>
  <si>
    <t>Up-stream</t>
  </si>
  <si>
    <t>Rui</t>
  </si>
  <si>
    <t>RUR2</t>
  </si>
  <si>
    <t>RUR3</t>
  </si>
  <si>
    <t>CUR1</t>
  </si>
  <si>
    <t>Catla</t>
  </si>
  <si>
    <t>CUR2</t>
  </si>
  <si>
    <t>CUR3</t>
  </si>
  <si>
    <t>MUR1</t>
  </si>
  <si>
    <t>Mrigal</t>
  </si>
  <si>
    <t>MUR2</t>
  </si>
  <si>
    <t>MUR3</t>
  </si>
  <si>
    <t>RMR1</t>
  </si>
  <si>
    <t>Mid-stream</t>
  </si>
  <si>
    <t>RMR2</t>
  </si>
  <si>
    <t>RMR3</t>
  </si>
  <si>
    <t>CMR1</t>
  </si>
  <si>
    <t>CMR2</t>
  </si>
  <si>
    <t>CMR3</t>
  </si>
  <si>
    <t>MMR1</t>
  </si>
  <si>
    <t>MMR2</t>
  </si>
  <si>
    <t>MMR3</t>
  </si>
  <si>
    <t>RDR1</t>
  </si>
  <si>
    <t>Down-stream</t>
  </si>
  <si>
    <t>RDR2</t>
  </si>
  <si>
    <t>RDR3</t>
  </si>
  <si>
    <t>CDR1</t>
  </si>
  <si>
    <t>CDR2</t>
  </si>
  <si>
    <t>CDR3</t>
  </si>
  <si>
    <t>MDR1</t>
  </si>
  <si>
    <t>MDR2</t>
  </si>
  <si>
    <t>MDR3</t>
  </si>
  <si>
    <t>Source: user-provided Fish.xlsx. A value of 0 denotes a concentration below the analytical detection limit (retained as zero; no substitution applied).</t>
  </si>
  <si>
    <t>Table 4.3 — Descriptive statistics for individual OCPs in fish muscle (µg/kg ww, n = 27)</t>
  </si>
  <si>
    <t>Compound</t>
  </si>
  <si>
    <t>Mean (µg/kg ww)</t>
  </si>
  <si>
    <t>SD</t>
  </si>
  <si>
    <t>Min (µg/kg ww)</t>
  </si>
  <si>
    <t>Max (µg/kg ww)</t>
  </si>
  <si>
    <t>Detection frequency (%)</t>
  </si>
  <si>
    <t>n</t>
  </si>
  <si>
    <t>ΣOCP (sum of all 14 congeners)</t>
  </si>
  <si>
    <t>Mean OCP concentration (µg/kg ww) by zone, species and overall — feeds Table 4.4 and the risk calculations</t>
  </si>
  <si>
    <t>Overall</t>
  </si>
  <si>
    <t>ΣOCP — Mean (µg/kg ww)</t>
  </si>
  <si>
    <t>ΣOCP — SD</t>
  </si>
  <si>
    <t>Table 4.1 — Exposure parameters used in the risk calculation</t>
  </si>
  <si>
    <t>Parameter</t>
  </si>
  <si>
    <t>Adult</t>
  </si>
  <si>
    <t>Child</t>
  </si>
  <si>
    <t>Source / basis</t>
  </si>
  <si>
    <t>Body weight, BW (kg)</t>
  </si>
  <si>
    <t>USEPA Exposure Factors Handbook (2011) default</t>
  </si>
  <si>
    <t>Fish ingestion rate, IR (g/day)</t>
  </si>
  <si>
    <t>Bangladesh national per-capita fish consumption, ≈27 kg/capita/yr (FAO/DoF statistics, 2023); child assumed 50% of adult portion in the absence of an age-disaggregated national survey</t>
  </si>
  <si>
    <t>Exposure frequency, EF (days/yr)</t>
  </si>
  <si>
    <t>USEPA (1989) default</t>
  </si>
  <si>
    <t>Exposure duration, ED (yr)</t>
  </si>
  <si>
    <t>USEPA (1989) default lifetime / childhood exposure duration</t>
  </si>
  <si>
    <t>Averaging time, AT — non-carcinogenic (days)</t>
  </si>
  <si>
    <t>USEPA (1989); AT = ED × 365</t>
  </si>
  <si>
    <t>Averaging time, AT — carcinogenic (days)</t>
  </si>
  <si>
    <t>USEPA (1989), lifetime (70 yr) for both adult and child</t>
  </si>
  <si>
    <t>Table 4.2 — Oral reference doses (RfD) and cancer slope factors (CSF) applied</t>
  </si>
  <si>
    <t>RfD (mg/kg-day)</t>
  </si>
  <si>
    <t>CSF (mg/kg-day)⁻¹</t>
  </si>
  <si>
    <t>RfD basis</t>
  </si>
  <si>
    <t>CSF basis</t>
  </si>
  <si>
    <t>USEPA IRIS (DDT)</t>
  </si>
  <si>
    <t>Surrogate: DDT (IRIS)</t>
  </si>
  <si>
    <t>RfD surrogate: γ-HCH (IRIS)</t>
  </si>
  <si>
    <t>IRIS/Cal-EPA</t>
  </si>
  <si>
    <t>Cal-EPA</t>
  </si>
  <si>
    <t>USEPA IRIS</t>
  </si>
  <si>
    <t>not classified</t>
  </si>
  <si>
    <t>Not classified</t>
  </si>
  <si>
    <t>Where a compound-specific chronic RfD is not listed on IRIS, the value of the closest structural congener was applied as a conservative surrogate (see basis columns). Cross-check against the current USEPA IRIS database (epa.gov/iris) before final submission.</t>
  </si>
  <si>
    <t>Target Hazard Quotient (THQ), Hazard Index (HI) and Cancer Risk (CR), by grouping and consumer</t>
  </si>
  <si>
    <t>EDI = (C × IR × EF × ED) / (BW × AT)   |   THQ = EDI / RfD   |   HI = ΣTHQ   |   CR = EDI(carcinogenic) × CSF</t>
  </si>
  <si>
    <t>THQ by compound (dimensionless)</t>
  </si>
  <si>
    <t>Hazard Index, HI = ΣTHQ</t>
  </si>
  <si>
    <t>Cancer Risk contribution by compound (incremental lifetime CR)</t>
  </si>
  <si>
    <t>Cancer Risk, CR = ΣEDI(carc) × CSF</t>
  </si>
  <si>
    <t>δ-HCH has no classified CSF and is excluded from the CR sum (contributes 0). USEPA acceptable CR range: 10⁻⁶–10⁻⁴.</t>
  </si>
  <si>
    <t>Table 4.5 — Hazard Index (HI) and incremental lifetime Cancer Risk (CR) by zone and species, for adult and child consumers</t>
  </si>
  <si>
    <t>Grouping</t>
  </si>
  <si>
    <t>Consumer</t>
  </si>
  <si>
    <t>HI (ΣTHQ)</t>
  </si>
  <si>
    <t>Cancer Risk (CR)</t>
  </si>
  <si>
    <t>HI below 1 indicates no appreciable non-carcinogenic hazard. USEPA acceptable CR range is 10⁻⁶–10⁻⁴. All values are computed live from Raw Data via Group Mean Concentrations, Exposure &amp; Toxicity Inputs, and Risk Assessment.</t>
  </si>
  <si>
    <t>Table 4.4 — Mean ± SD ΣOCP concentration (µg/kg ww) by zone and by species (n = 9 each)</t>
  </si>
  <si>
    <t>Mean ± SD (µg/kg ww)</t>
  </si>
  <si>
    <t>Zone comparison</t>
  </si>
  <si>
    <t>Species comparison</t>
  </si>
  <si>
    <t>Kruskal–Wallis H test — ΣOCP concentration by zone and by species</t>
  </si>
  <si>
    <t>Non-parametric one-way ANOVA on ranks. H = (12/(N(N+1))) · Σ(R_g²/n_g) − 3(N+1), tie-corrected: H_c = H / (1 − T/(N³−N)), where T = Σ(t³−t) over tied-value groups. p-value from the χ² distribution with df = (number of groups − 1).</t>
  </si>
  <si>
    <t>Rank (ties averaged)</t>
  </si>
  <si>
    <t>Tie count, t</t>
  </si>
  <si>
    <t>Sum of ranks, R</t>
  </si>
  <si>
    <t>R² / n</t>
  </si>
  <si>
    <t>Tie correction (applies to both tests; based on ΣOCP tie structure)</t>
  </si>
  <si>
    <t>N (total samples)</t>
  </si>
  <si>
    <t>T = Σ(t³ − t) = Σt² − N</t>
  </si>
  <si>
    <t>Tie-correction factor, C = 1 − T/(N³−N)</t>
  </si>
  <si>
    <t>Results</t>
  </si>
  <si>
    <t>Test</t>
  </si>
  <si>
    <t>k (groups)</t>
  </si>
  <si>
    <t>df = k−1</t>
  </si>
  <si>
    <t>H (raw)</t>
  </si>
  <si>
    <t>H (tie-corrected)</t>
  </si>
  <si>
    <t>p-value</t>
  </si>
  <si>
    <t>Conclusion (α = 0.05)</t>
  </si>
  <si>
    <t>Zone (Up/Mid/Down-stream)</t>
  </si>
  <si>
    <t>Species (Catla/Rui/Mrigal)</t>
  </si>
  <si>
    <t>Test statistic is computed on ΣOCP (per-sample total of all 14 OCP congeners). Matches the report's Table 4.4 values: Zone H = 17.51, p = 0.0002; Species H = 4.98, p = 0.083.</t>
  </si>
  <si>
    <t>Hypothesis Testing Details</t>
  </si>
  <si>
    <t>Hypothesis testing summary — Zone effect on ΣOCP (Up-stream / Mid-stream / Down-stream)</t>
  </si>
  <si>
    <t>Null hypothesis (H0)</t>
  </si>
  <si>
    <t>H0: The distribution of ΣOCP concentration in fish muscle is the same across the three river zones (Up-, Mid-, Down-stream); i.e., the population medians of ΣOCP are equal across zones.</t>
  </si>
  <si>
    <t>Alternative hypothesis (H1)</t>
  </si>
  <si>
    <t>H1: At least one zone differs from the others in the distribution (median) of ΣOCP concentration.</t>
  </si>
  <si>
    <t>Type of test (tail)</t>
  </si>
  <si>
    <t>One-tailed (upper tail) — the Kruskal-Wallis statistic H follows a chi-square distribution and only large H values (right tail) indicate a significant group difference.</t>
  </si>
  <si>
    <t>Significance level (α)</t>
  </si>
  <si>
    <t>0.05 (5%)</t>
  </si>
  <si>
    <t>Degrees of freedom</t>
  </si>
  <si>
    <t>Test statistic</t>
  </si>
  <si>
    <t>Decision rule</t>
  </si>
  <si>
    <t>Reject H0 if p-value &lt; α; otherwise fail to reject H0.</t>
  </si>
  <si>
    <t>Conclusion</t>
  </si>
  <si>
    <t>Hypothesis testing summary — Species effect on ΣOCP (Catla / Rui / Mrigal)</t>
  </si>
  <si>
    <t>H0: The distribution of ΣOCP concentration in fish muscle is the same across the three species (Catla, Rui, Mrigal); i.e., the population medians of ΣOCP are equal across species.</t>
  </si>
  <si>
    <t>H1: At least one species differs from the others in the distribution (median) of ΣOCP concentration.</t>
  </si>
  <si>
    <t>One-tailed (upper tail) — only large H values (right tail of the chi-square distribution) indicate a significant group difference.</t>
  </si>
  <si>
    <t>Note: The Kruskal-Wallis H test is the non-parametric analogue of one-way ANOVA and is used here because ΣOCP concentrations are not normally distributed (many non-detects/zeros). H is compared against the chi-square distribution with df = k − 1 (k = number of groups); the test is inherently one-tailed because only large rank-sum dispersion (large H) provides evidence against H0.</t>
  </si>
  <si>
    <t>Two-Way ANOVA — ΣOCP by Zone and Species</t>
  </si>
  <si>
    <t>Fixed-effects, fully-crossed, balanced two-way ANOVA (a = 3 zones × b = 3 species, n = 3 replicates per cell, N = 27). Tests the main effect of Zone, the main effect of Species, and their interaction on ΣOCP concentration (µg/kg ww) in fish muscle. SS = sum of squares, MS = mean square, F = MS(effect)/MS(error), p from F.DIST.RT(F, df_effect, df_error).</t>
  </si>
  <si>
    <t>Cell sums and counts (Zone × Species)</t>
  </si>
  <si>
    <t>Zone \ Species</t>
  </si>
  <si>
    <t>Zone total (T_i.)</t>
  </si>
  <si>
    <t>n_i.</t>
  </si>
  <si>
    <t>Species total (T.j)</t>
  </si>
  <si>
    <t>n.j (per species)</t>
  </si>
  <si>
    <t>Design constants</t>
  </si>
  <si>
    <t>a (zones)</t>
  </si>
  <si>
    <t>b (species)</t>
  </si>
  <si>
    <t>n (replicates per cell)</t>
  </si>
  <si>
    <t>N (total observations)</t>
  </si>
  <si>
    <t>Grand total (ΣX)</t>
  </si>
  <si>
    <t>Correction factor, CF = (ΣX)²/N</t>
  </si>
  <si>
    <t>ΣX² (sum of squared raw values)</t>
  </si>
  <si>
    <t>Sum-of-squares decomposition</t>
  </si>
  <si>
    <t>SS_Total = ΣX² − CF</t>
  </si>
  <si>
    <t>SS_Zone = Σ(T_i.²)/(b·n) − CF</t>
  </si>
  <si>
    <t>SS_Species = Σ(T.j²)/(a·n) − CF</t>
  </si>
  <si>
    <t>SS_Cells = Σ(cell sum²)/n − CF</t>
  </si>
  <si>
    <t>SS_Zone×Species = SS_Cells − SS_Zone − SS_Species</t>
  </si>
  <si>
    <t>SS_Error = SS_Total − SS_Cells</t>
  </si>
  <si>
    <t>ANOVA Table</t>
  </si>
  <si>
    <t>Source of variation</t>
  </si>
  <si>
    <t>SS</t>
  </si>
  <si>
    <t>df</t>
  </si>
  <si>
    <t>MS</t>
  </si>
  <si>
    <t>F</t>
  </si>
  <si>
    <t>Significant (α = 0.05)?</t>
  </si>
  <si>
    <t>Zone (main effect)</t>
  </si>
  <si>
    <t>Species (main effect)</t>
  </si>
  <si>
    <t>Zone × Species (interaction)</t>
  </si>
  <si>
    <t>Error (within cells)</t>
  </si>
  <si>
    <t>Total</t>
  </si>
  <si>
    <t>Hypothesis testing summary — Main effect of Zone on ΣOCP</t>
  </si>
  <si>
    <t>H0: The mean ΣOCP concentration in fish muscle does not differ among the three river zones (µ_Up = µ_Mid = µ_Down); Zone has no effect on ΣOCP.</t>
  </si>
  <si>
    <t>H1: The mean ΣOCP concentration differs among at least one pair of zones.</t>
  </si>
  <si>
    <t>One-tailed (upper/right tail) — the F-statistic is compared against the right tail of the F-distribution; only large F values indicate a significant effect.</t>
  </si>
  <si>
    <t>Hypothesis testing summary — Main effect of Species on ΣOCP</t>
  </si>
  <si>
    <t>H0: The mean ΣOCP concentration in fish muscle does not differ among the three species (µ_Catla = µ_Rui = µ_Mrigal); Species has no effect on ΣOCP.</t>
  </si>
  <si>
    <t>H1: The mean ΣOCP concentration differs among at least one pair of species.</t>
  </si>
  <si>
    <t>One-tailed (upper/right tail) — only large F values (right tail of the F-distribution) indicate a significant effect.</t>
  </si>
  <si>
    <t>Hypothesis testing summary — Zone × Species interaction effect on ΣOCP</t>
  </si>
  <si>
    <t>H0: There is no interaction between Zone and Species; the effect of Zone on ΣOCP is the same across all species (and vice versa).</t>
  </si>
  <si>
    <t>H1: There is an interaction between Zone and Species; the effect of Zone on ΣOCP differs depending on species.</t>
  </si>
  <si>
    <t>One-tailed (upper/right tail) — only large F values (right tail of the F-distribution) indicate a significant interaction.</t>
  </si>
  <si>
    <t>Method: two-way fixed-effects ANOVA with replication, balanced design (n = 3 per cell). Assumptions: approximate normality of residuals and homogeneity of variance across cells; given the non-normal, zero-inflated nature of OCP data (see the non-parametric Kruskal-Wallis test on the other sheet), this ANOVA should be interpreted alongside the Kruskal-Wallis results rather than in place of them.</t>
  </si>
  <si>
    <t>ΣDDT</t>
  </si>
  <si>
    <t>ΣHCH</t>
  </si>
  <si>
    <t>ΣDRN</t>
  </si>
  <si>
    <t>ΣHPT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</si>
</sst>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E+00"/>
    <numFmt numFmtId="167" formatCode="0.0000"/>
  </numFmts>
  <fonts count="10" x14ac:knownFonts="1">
    <font>
      <sz val="11"/>
      <color theme="1"/>
      <name val="Calibri"/>
      <family val="2"/>
      <charset val="1"/>
    </font>
    <font>
      <b/>
      <sz val="15"/>
      <color rgb="FF1F4E7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3"/>
      <color rgb="FF1F4E78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7F7F7F"/>
      <name val="Arial"/>
      <family val="2"/>
    </font>
    <font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164" fontId="6" fillId="0" borderId="1" xfId="0" applyNumberFormat="1" applyFont="1" applyBorder="1" applyAlignment="1"/>
    <xf numFmtId="164" fontId="7" fillId="0" borderId="1" xfId="0" applyNumberFormat="1" applyFont="1" applyBorder="1" applyAlignment="1"/>
    <xf numFmtId="0" fontId="8" fillId="0" borderId="0" xfId="0" applyFont="1" applyAlignment="1"/>
    <xf numFmtId="0" fontId="7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3" borderId="1" xfId="0" applyFont="1" applyFill="1" applyBorder="1" applyAlignment="1"/>
    <xf numFmtId="2" fontId="3" fillId="3" borderId="1" xfId="0" applyNumberFormat="1" applyFont="1" applyFill="1" applyBorder="1" applyAlignment="1"/>
    <xf numFmtId="0" fontId="7" fillId="0" borderId="1" xfId="0" applyFont="1" applyBorder="1" applyAlignment="1"/>
    <xf numFmtId="2" fontId="7" fillId="0" borderId="1" xfId="0" applyNumberFormat="1" applyFont="1" applyBorder="1" applyAlignment="1"/>
    <xf numFmtId="0" fontId="3" fillId="0" borderId="1" xfId="0" applyFont="1" applyBorder="1" applyAlignment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/>
    <xf numFmtId="166" fontId="6" fillId="0" borderId="1" xfId="0" applyNumberFormat="1" applyFont="1" applyBorder="1" applyAlignment="1"/>
    <xf numFmtId="2" fontId="6" fillId="0" borderId="1" xfId="0" applyNumberFormat="1" applyFont="1" applyBorder="1" applyAlignment="1"/>
    <xf numFmtId="167" fontId="7" fillId="0" borderId="1" xfId="0" applyNumberFormat="1" applyFont="1" applyBorder="1" applyAlignment="1"/>
    <xf numFmtId="164" fontId="3" fillId="3" borderId="1" xfId="0" applyNumberFormat="1" applyFont="1" applyFill="1" applyBorder="1" applyAlignment="1"/>
    <xf numFmtId="11" fontId="7" fillId="0" borderId="1" xfId="0" applyNumberFormat="1" applyFont="1" applyBorder="1" applyAlignment="1"/>
    <xf numFmtId="11" fontId="3" fillId="3" borderId="1" xfId="0" applyNumberFormat="1" applyFont="1" applyFill="1" applyBorder="1" applyAlignment="1"/>
    <xf numFmtId="0" fontId="7" fillId="0" borderId="0" xfId="0" applyFont="1" applyAlignment="1"/>
    <xf numFmtId="165" fontId="7" fillId="0" borderId="1" xfId="0" applyNumberFormat="1" applyFont="1" applyBorder="1" applyAlignment="1"/>
    <xf numFmtId="1" fontId="0" fillId="0" borderId="0" xfId="0" applyNumberFormat="1" applyAlignment="1"/>
    <xf numFmtId="167" fontId="0" fillId="0" borderId="0" xfId="0" applyNumberFormat="1" applyAlignment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2" fontId="2" fillId="0" borderId="0" xfId="0" applyNumberFormat="1" applyFont="1"/>
    <xf numFmtId="167" fontId="2" fillId="0" borderId="0" xfId="0" applyNumberFormat="1" applyFont="1"/>
    <xf numFmtId="0" fontId="8" fillId="0" borderId="0" xfId="0" applyFont="1" applyAlignment="1">
      <alignment vertical="top" wrapText="1"/>
    </xf>
    <xf numFmtId="0" fontId="5" fillId="2" borderId="0" xfId="0" applyFont="1" applyFill="1"/>
    <xf numFmtId="164" fontId="2" fillId="0" borderId="0" xfId="0" applyNumberFormat="1" applyFont="1"/>
    <xf numFmtId="164" fontId="3" fillId="0" borderId="0" xfId="0" applyNumberFormat="1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4" fillId="0" borderId="0" xfId="0" applyFont="1" applyBorder="1" applyAlignment="1"/>
    <xf numFmtId="0" fontId="8" fillId="0" borderId="0" xfId="0" applyFont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/>
    <xf numFmtId="164" fontId="2" fillId="0" borderId="1" xfId="0" applyNumberFormat="1" applyFont="1" applyBorder="1" applyAlignment="1">
      <alignment horizontal="center" vertical="center"/>
    </xf>
    <xf numFmtId="164" fontId="9" fillId="0" borderId="1" xfId="1" applyNumberFormat="1" applyBorder="1" applyAlignment="1">
      <alignment horizontal="center" vertic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100" style="1" customWidth="1"/>
  </cols>
  <sheetData>
    <row r="1" spans="1:5" ht="18" customHeight="1" x14ac:dyDescent="0.3">
      <c r="A1" s="43" t="s">
        <v>0</v>
      </c>
      <c r="B1" s="43"/>
      <c r="C1" s="43"/>
      <c r="D1" s="43"/>
      <c r="E1" s="43"/>
    </row>
    <row r="2" spans="1:5" ht="15" customHeight="1" x14ac:dyDescent="0.25">
      <c r="A2" s="2"/>
    </row>
    <row r="3" spans="1:5" ht="15" customHeight="1" x14ac:dyDescent="0.25">
      <c r="A3" s="2" t="s">
        <v>1</v>
      </c>
    </row>
    <row r="4" spans="1:5" ht="15" customHeight="1" x14ac:dyDescent="0.25">
      <c r="A4" s="2" t="s">
        <v>2</v>
      </c>
    </row>
    <row r="5" spans="1:5" ht="15" customHeight="1" x14ac:dyDescent="0.25">
      <c r="A5" s="2"/>
    </row>
    <row r="6" spans="1:5" ht="15" customHeight="1" x14ac:dyDescent="0.25">
      <c r="A6" s="3" t="s">
        <v>3</v>
      </c>
    </row>
    <row r="7" spans="1:5" ht="15" customHeight="1" x14ac:dyDescent="0.25">
      <c r="A7" s="2" t="s">
        <v>4</v>
      </c>
    </row>
    <row r="8" spans="1:5" ht="15" customHeight="1" x14ac:dyDescent="0.25">
      <c r="A8" s="2" t="s">
        <v>5</v>
      </c>
    </row>
    <row r="9" spans="1:5" ht="15" customHeight="1" x14ac:dyDescent="0.25">
      <c r="A9" s="2" t="s">
        <v>6</v>
      </c>
    </row>
    <row r="10" spans="1:5" ht="15" customHeight="1" x14ac:dyDescent="0.25">
      <c r="A10" s="2" t="s">
        <v>7</v>
      </c>
    </row>
    <row r="11" spans="1:5" ht="15" customHeight="1" x14ac:dyDescent="0.25">
      <c r="A11" s="2" t="s">
        <v>8</v>
      </c>
    </row>
    <row r="12" spans="1:5" ht="15" customHeight="1" x14ac:dyDescent="0.25">
      <c r="A12" s="2" t="s">
        <v>9</v>
      </c>
    </row>
    <row r="13" spans="1:5" ht="15" customHeight="1" x14ac:dyDescent="0.25">
      <c r="A13" s="2" t="s">
        <v>10</v>
      </c>
    </row>
    <row r="14" spans="1:5" ht="15" customHeight="1" x14ac:dyDescent="0.25">
      <c r="A14" s="2" t="s">
        <v>11</v>
      </c>
    </row>
    <row r="15" spans="1:5" ht="15" customHeight="1" x14ac:dyDescent="0.25">
      <c r="A15" s="2"/>
    </row>
    <row r="16" spans="1:5" ht="15" customHeight="1" x14ac:dyDescent="0.25">
      <c r="A16" s="3" t="s">
        <v>12</v>
      </c>
    </row>
    <row r="17" spans="1:1" ht="15" customHeight="1" x14ac:dyDescent="0.25">
      <c r="A17" s="2" t="s">
        <v>13</v>
      </c>
    </row>
    <row r="18" spans="1:1" ht="15" customHeight="1" x14ac:dyDescent="0.25">
      <c r="A18" s="2"/>
    </row>
    <row r="19" spans="1:1" ht="15" customHeight="1" x14ac:dyDescent="0.25">
      <c r="A19" s="3" t="s">
        <v>14</v>
      </c>
    </row>
    <row r="20" spans="1:1" ht="15" customHeight="1" x14ac:dyDescent="0.25">
      <c r="A20" s="2" t="s">
        <v>15</v>
      </c>
    </row>
    <row r="21" spans="1:1" ht="15" customHeight="1" x14ac:dyDescent="0.25">
      <c r="A21" s="2" t="s">
        <v>16</v>
      </c>
    </row>
    <row r="22" spans="1:1" ht="15" customHeight="1" x14ac:dyDescent="0.25">
      <c r="A22" s="2" t="s">
        <v>17</v>
      </c>
    </row>
    <row r="23" spans="1:1" ht="15" customHeight="1" x14ac:dyDescent="0.25">
      <c r="A23" s="2"/>
    </row>
    <row r="24" spans="1:1" ht="15" customHeight="1" x14ac:dyDescent="0.25">
      <c r="A24" s="2" t="s">
        <v>18</v>
      </c>
    </row>
    <row r="25" spans="1:1" ht="15" customHeight="1" x14ac:dyDescent="0.25">
      <c r="A25" s="2" t="s">
        <v>19</v>
      </c>
    </row>
    <row r="26" spans="1:1" ht="15" customHeight="1" x14ac:dyDescent="0.25">
      <c r="A26" s="2" t="s">
        <v>20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X20" sqref="X20"/>
    </sheetView>
  </sheetViews>
  <sheetFormatPr defaultColWidth="8.7109375" defaultRowHeight="15" x14ac:dyDescent="0.25"/>
  <cols>
    <col min="1" max="1" width="10" style="1" customWidth="1"/>
    <col min="2" max="2" width="13" style="1" customWidth="1"/>
    <col min="3" max="3" width="10" style="1" customWidth="1"/>
    <col min="4" max="17" width="11" style="1" customWidth="1"/>
    <col min="18" max="18" width="15" style="1" customWidth="1"/>
  </cols>
  <sheetData>
    <row r="1" spans="1:22" ht="15.75" customHeight="1" x14ac:dyDescent="0.25">
      <c r="A1" s="44" t="s">
        <v>21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3" spans="1:22" ht="23.25" customHeight="1" x14ac:dyDescent="0.25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39</v>
      </c>
      <c r="S3" s="42" t="s">
        <v>224</v>
      </c>
      <c r="T3" s="42" t="s">
        <v>225</v>
      </c>
      <c r="U3" s="42" t="s">
        <v>226</v>
      </c>
      <c r="V3" s="42" t="s">
        <v>227</v>
      </c>
    </row>
    <row r="4" spans="1:22" ht="15" customHeight="1" x14ac:dyDescent="0.25">
      <c r="A4" s="5" t="s">
        <v>40</v>
      </c>
      <c r="B4" s="5" t="s">
        <v>41</v>
      </c>
      <c r="C4" s="5" t="s">
        <v>42</v>
      </c>
      <c r="D4" s="6">
        <v>0.5</v>
      </c>
      <c r="E4" s="6">
        <v>0.5</v>
      </c>
      <c r="F4" s="6">
        <v>0.5</v>
      </c>
      <c r="G4" s="6">
        <v>1.1200000000000001</v>
      </c>
      <c r="H4" s="6">
        <v>1.2410000000000001</v>
      </c>
      <c r="I4" s="6">
        <v>2.2839999999999998</v>
      </c>
      <c r="J4" s="6">
        <v>1.0289999999999999</v>
      </c>
      <c r="K4" s="6">
        <v>5.3810000000000002</v>
      </c>
      <c r="L4" s="6">
        <v>0.5</v>
      </c>
      <c r="M4" s="6">
        <v>2.5379999999999998</v>
      </c>
      <c r="N4" s="6">
        <v>0.5</v>
      </c>
      <c r="O4" s="6">
        <v>0.5</v>
      </c>
      <c r="P4" s="6">
        <v>0.5</v>
      </c>
      <c r="Q4" s="6">
        <v>0.5</v>
      </c>
      <c r="R4" s="7">
        <f t="shared" ref="R4:R30" si="0">SUM(D4:Q4)</f>
        <v>17.593</v>
      </c>
      <c r="S4" s="48">
        <f>D4+E4+F4+G4+H4+I4</f>
        <v>6.1449999999999996</v>
      </c>
      <c r="T4" s="48">
        <f>J4+K4+L4+M4</f>
        <v>9.4480000000000004</v>
      </c>
      <c r="U4" s="48">
        <f>N4+O4</f>
        <v>1</v>
      </c>
      <c r="V4" s="48">
        <f>P4+Q4</f>
        <v>1</v>
      </c>
    </row>
    <row r="5" spans="1:22" ht="15" customHeight="1" x14ac:dyDescent="0.25">
      <c r="A5" s="5" t="s">
        <v>43</v>
      </c>
      <c r="B5" s="5" t="s">
        <v>41</v>
      </c>
      <c r="C5" s="5" t="s">
        <v>42</v>
      </c>
      <c r="D5" s="6">
        <v>0.5</v>
      </c>
      <c r="E5" s="6">
        <v>0.5</v>
      </c>
      <c r="F5" s="6">
        <v>0.5</v>
      </c>
      <c r="G5" s="6">
        <v>2.1760000000000002</v>
      </c>
      <c r="H5" s="6">
        <v>2.0339999999999998</v>
      </c>
      <c r="I5" s="6">
        <v>3.7330000000000001</v>
      </c>
      <c r="J5" s="6">
        <v>1.2989999999999999</v>
      </c>
      <c r="K5" s="6">
        <v>5.1630000000000003</v>
      </c>
      <c r="L5" s="6">
        <v>0.5</v>
      </c>
      <c r="M5" s="6">
        <v>1.5129999999999999</v>
      </c>
      <c r="N5" s="6">
        <v>0.5</v>
      </c>
      <c r="O5" s="6">
        <v>0.5</v>
      </c>
      <c r="P5" s="6">
        <v>0.5</v>
      </c>
      <c r="Q5" s="6">
        <v>0.5</v>
      </c>
      <c r="R5" s="7">
        <f t="shared" si="0"/>
        <v>19.917999999999999</v>
      </c>
      <c r="S5" s="48">
        <f t="shared" ref="S5:S30" si="1">D5+E5+F5+G5+H5+I5</f>
        <v>9.4429999999999996</v>
      </c>
      <c r="T5" s="48">
        <f t="shared" ref="T5:T30" si="2">J5+K5+L5+M5</f>
        <v>8.4749999999999996</v>
      </c>
      <c r="U5" s="48">
        <f t="shared" ref="U5:U30" si="3">N5+O5</f>
        <v>1</v>
      </c>
      <c r="V5" s="48">
        <f t="shared" ref="V5:V30" si="4">P5+Q5</f>
        <v>1</v>
      </c>
    </row>
    <row r="6" spans="1:22" ht="15" customHeight="1" x14ac:dyDescent="0.25">
      <c r="A6" s="5" t="s">
        <v>44</v>
      </c>
      <c r="B6" s="5" t="s">
        <v>41</v>
      </c>
      <c r="C6" s="5" t="s">
        <v>42</v>
      </c>
      <c r="D6" s="6">
        <v>0.5</v>
      </c>
      <c r="E6" s="6">
        <v>0.5</v>
      </c>
      <c r="F6" s="6">
        <v>0.5</v>
      </c>
      <c r="G6" s="6">
        <v>2.3780000000000001</v>
      </c>
      <c r="H6" s="6">
        <v>1.2310000000000001</v>
      </c>
      <c r="I6" s="6">
        <v>2.5470000000000002</v>
      </c>
      <c r="J6" s="6">
        <v>1.1519999999999999</v>
      </c>
      <c r="K6" s="6">
        <v>5.9359999999999999</v>
      </c>
      <c r="L6" s="6">
        <v>0.5</v>
      </c>
      <c r="M6" s="6">
        <v>2.4260000000000002</v>
      </c>
      <c r="N6" s="6">
        <v>0.5</v>
      </c>
      <c r="O6" s="6">
        <v>0.5</v>
      </c>
      <c r="P6" s="6">
        <v>0.5</v>
      </c>
      <c r="Q6" s="6">
        <v>0.5</v>
      </c>
      <c r="R6" s="7">
        <f t="shared" si="0"/>
        <v>19.670000000000002</v>
      </c>
      <c r="S6" s="48">
        <f t="shared" si="1"/>
        <v>7.6560000000000006</v>
      </c>
      <c r="T6" s="48">
        <f t="shared" si="2"/>
        <v>10.013999999999999</v>
      </c>
      <c r="U6" s="48">
        <f t="shared" si="3"/>
        <v>1</v>
      </c>
      <c r="V6" s="48">
        <f t="shared" si="4"/>
        <v>1</v>
      </c>
    </row>
    <row r="7" spans="1:22" ht="15" customHeight="1" x14ac:dyDescent="0.25">
      <c r="A7" s="5" t="s">
        <v>45</v>
      </c>
      <c r="B7" s="5" t="s">
        <v>41</v>
      </c>
      <c r="C7" s="5" t="s">
        <v>46</v>
      </c>
      <c r="D7" s="6">
        <v>0.5</v>
      </c>
      <c r="E7" s="6">
        <v>0.5</v>
      </c>
      <c r="F7" s="6">
        <v>0.5</v>
      </c>
      <c r="G7" s="6">
        <v>0.5</v>
      </c>
      <c r="H7" s="6">
        <v>0.5</v>
      </c>
      <c r="I7" s="6">
        <v>0.5</v>
      </c>
      <c r="J7" s="6">
        <v>2.2000000000000002</v>
      </c>
      <c r="K7" s="6">
        <v>0.5</v>
      </c>
      <c r="L7" s="6">
        <v>0.5</v>
      </c>
      <c r="M7" s="6">
        <v>0.5</v>
      </c>
      <c r="N7" s="6">
        <v>0.5</v>
      </c>
      <c r="O7" s="6">
        <v>0.5</v>
      </c>
      <c r="P7" s="6">
        <v>0.5</v>
      </c>
      <c r="Q7" s="6">
        <v>0.5</v>
      </c>
      <c r="R7" s="7">
        <f t="shared" si="0"/>
        <v>8.6999999999999993</v>
      </c>
      <c r="S7" s="48">
        <f t="shared" si="1"/>
        <v>3</v>
      </c>
      <c r="T7" s="48">
        <f t="shared" si="2"/>
        <v>3.7</v>
      </c>
      <c r="U7" s="48">
        <f t="shared" si="3"/>
        <v>1</v>
      </c>
      <c r="V7" s="48">
        <f t="shared" si="4"/>
        <v>1</v>
      </c>
    </row>
    <row r="8" spans="1:22" ht="15" customHeight="1" x14ac:dyDescent="0.25">
      <c r="A8" s="5" t="s">
        <v>47</v>
      </c>
      <c r="B8" s="5" t="s">
        <v>41</v>
      </c>
      <c r="C8" s="5" t="s">
        <v>46</v>
      </c>
      <c r="D8" s="6">
        <v>0.5</v>
      </c>
      <c r="E8" s="6">
        <v>0.5</v>
      </c>
      <c r="F8" s="6">
        <v>0.5</v>
      </c>
      <c r="G8" s="6">
        <v>0.5</v>
      </c>
      <c r="H8" s="6">
        <v>0.5</v>
      </c>
      <c r="I8" s="6">
        <v>0.5</v>
      </c>
      <c r="J8" s="6">
        <v>0.5</v>
      </c>
      <c r="K8" s="6">
        <v>0.5</v>
      </c>
      <c r="L8" s="6">
        <v>0.5</v>
      </c>
      <c r="M8" s="6">
        <v>0.5</v>
      </c>
      <c r="N8" s="6">
        <v>0.5</v>
      </c>
      <c r="O8" s="6">
        <v>0.5</v>
      </c>
      <c r="P8" s="6">
        <v>0.5</v>
      </c>
      <c r="Q8" s="6">
        <v>0.5</v>
      </c>
      <c r="R8" s="7">
        <f t="shared" si="0"/>
        <v>7</v>
      </c>
      <c r="S8" s="48">
        <f t="shared" si="1"/>
        <v>3</v>
      </c>
      <c r="T8" s="48">
        <f t="shared" si="2"/>
        <v>2</v>
      </c>
      <c r="U8" s="48">
        <f t="shared" si="3"/>
        <v>1</v>
      </c>
      <c r="V8" s="48">
        <f t="shared" si="4"/>
        <v>1</v>
      </c>
    </row>
    <row r="9" spans="1:22" ht="15" customHeight="1" x14ac:dyDescent="0.25">
      <c r="A9" s="5" t="s">
        <v>48</v>
      </c>
      <c r="B9" s="5" t="s">
        <v>41</v>
      </c>
      <c r="C9" s="5" t="s">
        <v>46</v>
      </c>
      <c r="D9" s="6">
        <v>0.5</v>
      </c>
      <c r="E9" s="6">
        <v>0.5</v>
      </c>
      <c r="F9" s="6">
        <v>0.5</v>
      </c>
      <c r="G9" s="6">
        <v>0.5</v>
      </c>
      <c r="H9" s="6">
        <v>0.5</v>
      </c>
      <c r="I9" s="6">
        <v>0.5</v>
      </c>
      <c r="J9" s="6">
        <v>1.5209999999999999</v>
      </c>
      <c r="K9" s="6">
        <v>0.5</v>
      </c>
      <c r="L9" s="6">
        <v>0.5</v>
      </c>
      <c r="M9" s="6">
        <v>0.5</v>
      </c>
      <c r="N9" s="6">
        <v>0.5</v>
      </c>
      <c r="O9" s="6">
        <v>0.5</v>
      </c>
      <c r="P9" s="6">
        <v>0.5</v>
      </c>
      <c r="Q9" s="6">
        <v>0.5</v>
      </c>
      <c r="R9" s="7">
        <f t="shared" si="0"/>
        <v>8.0210000000000008</v>
      </c>
      <c r="S9" s="48">
        <f t="shared" si="1"/>
        <v>3</v>
      </c>
      <c r="T9" s="48">
        <f t="shared" si="2"/>
        <v>3.0209999999999999</v>
      </c>
      <c r="U9" s="48">
        <f t="shared" si="3"/>
        <v>1</v>
      </c>
      <c r="V9" s="48">
        <f t="shared" si="4"/>
        <v>1</v>
      </c>
    </row>
    <row r="10" spans="1:22" ht="15" customHeight="1" x14ac:dyDescent="0.25">
      <c r="A10" s="5" t="s">
        <v>49</v>
      </c>
      <c r="B10" s="5" t="s">
        <v>41</v>
      </c>
      <c r="C10" s="5" t="s">
        <v>50</v>
      </c>
      <c r="D10" s="6">
        <v>2.1030000000000002</v>
      </c>
      <c r="E10" s="6">
        <v>2.335</v>
      </c>
      <c r="F10" s="6">
        <v>0.5</v>
      </c>
      <c r="G10" s="6">
        <v>2.4740000000000002</v>
      </c>
      <c r="H10" s="6">
        <v>5.14</v>
      </c>
      <c r="I10" s="6">
        <v>5.2640000000000002</v>
      </c>
      <c r="J10" s="6">
        <v>3.8140000000000001</v>
      </c>
      <c r="K10" s="6">
        <v>5.3559999999999999</v>
      </c>
      <c r="L10" s="6">
        <v>0.5</v>
      </c>
      <c r="M10" s="6">
        <v>3.48</v>
      </c>
      <c r="N10" s="6">
        <v>0.5</v>
      </c>
      <c r="O10" s="6">
        <v>0.5</v>
      </c>
      <c r="P10" s="6">
        <v>0.5</v>
      </c>
      <c r="Q10" s="6">
        <v>3.8239999999999998</v>
      </c>
      <c r="R10" s="7">
        <f t="shared" si="0"/>
        <v>36.289999999999992</v>
      </c>
      <c r="S10" s="48">
        <f t="shared" si="1"/>
        <v>17.815999999999999</v>
      </c>
      <c r="T10" s="48">
        <f t="shared" si="2"/>
        <v>13.15</v>
      </c>
      <c r="U10" s="48">
        <f t="shared" si="3"/>
        <v>1</v>
      </c>
      <c r="V10" s="48">
        <f t="shared" si="4"/>
        <v>4.3239999999999998</v>
      </c>
    </row>
    <row r="11" spans="1:22" ht="15" customHeight="1" x14ac:dyDescent="0.25">
      <c r="A11" s="5" t="s">
        <v>51</v>
      </c>
      <c r="B11" s="5" t="s">
        <v>41</v>
      </c>
      <c r="C11" s="5" t="s">
        <v>50</v>
      </c>
      <c r="D11" s="6">
        <v>0.5</v>
      </c>
      <c r="E11" s="6">
        <v>3.2040000000000002</v>
      </c>
      <c r="F11" s="6">
        <v>0.5</v>
      </c>
      <c r="G11" s="6">
        <v>3.2879999999999998</v>
      </c>
      <c r="H11" s="6">
        <v>0.5</v>
      </c>
      <c r="I11" s="6">
        <v>6.7350000000000003</v>
      </c>
      <c r="J11" s="6">
        <v>2.375</v>
      </c>
      <c r="K11" s="6">
        <v>5.8339999999999996</v>
      </c>
      <c r="L11" s="6">
        <v>0.5</v>
      </c>
      <c r="M11" s="6">
        <v>4.1660000000000004</v>
      </c>
      <c r="N11" s="6">
        <v>0.5</v>
      </c>
      <c r="O11" s="6">
        <v>0.5</v>
      </c>
      <c r="P11" s="6">
        <v>0.5</v>
      </c>
      <c r="Q11" s="6">
        <v>2.3359999999999999</v>
      </c>
      <c r="R11" s="7">
        <f t="shared" si="0"/>
        <v>31.437999999999999</v>
      </c>
      <c r="S11" s="48">
        <f t="shared" si="1"/>
        <v>14.727</v>
      </c>
      <c r="T11" s="48">
        <f t="shared" si="2"/>
        <v>12.875</v>
      </c>
      <c r="U11" s="48">
        <f t="shared" si="3"/>
        <v>1</v>
      </c>
      <c r="V11" s="48">
        <f t="shared" si="4"/>
        <v>2.8359999999999999</v>
      </c>
    </row>
    <row r="12" spans="1:22" ht="15" customHeight="1" x14ac:dyDescent="0.25">
      <c r="A12" s="5" t="s">
        <v>52</v>
      </c>
      <c r="B12" s="5" t="s">
        <v>41</v>
      </c>
      <c r="C12" s="5" t="s">
        <v>50</v>
      </c>
      <c r="D12" s="6">
        <v>2.0230000000000001</v>
      </c>
      <c r="E12" s="6">
        <v>2.7629999999999999</v>
      </c>
      <c r="F12" s="6">
        <v>0.5</v>
      </c>
      <c r="G12" s="6">
        <v>2.157</v>
      </c>
      <c r="H12" s="6">
        <v>5.4050000000000002</v>
      </c>
      <c r="I12" s="6">
        <v>5.532</v>
      </c>
      <c r="J12" s="6">
        <v>5.274</v>
      </c>
      <c r="K12" s="6">
        <v>5.4569999999999999</v>
      </c>
      <c r="L12" s="6">
        <v>0.5</v>
      </c>
      <c r="M12" s="6">
        <v>4.8</v>
      </c>
      <c r="N12" s="6">
        <v>0.5</v>
      </c>
      <c r="O12" s="6">
        <v>0.5</v>
      </c>
      <c r="P12" s="6">
        <v>0.5</v>
      </c>
      <c r="Q12" s="6">
        <v>3.238</v>
      </c>
      <c r="R12" s="7">
        <f t="shared" si="0"/>
        <v>39.149000000000001</v>
      </c>
      <c r="S12" s="48">
        <f t="shared" si="1"/>
        <v>18.38</v>
      </c>
      <c r="T12" s="48">
        <f t="shared" si="2"/>
        <v>16.030999999999999</v>
      </c>
      <c r="U12" s="48">
        <f t="shared" si="3"/>
        <v>1</v>
      </c>
      <c r="V12" s="48">
        <f t="shared" si="4"/>
        <v>3.738</v>
      </c>
    </row>
    <row r="13" spans="1:22" ht="15" customHeight="1" x14ac:dyDescent="0.25">
      <c r="A13" s="5" t="s">
        <v>53</v>
      </c>
      <c r="B13" s="5" t="s">
        <v>54</v>
      </c>
      <c r="C13" s="5" t="s">
        <v>42</v>
      </c>
      <c r="D13" s="6">
        <v>2.0459999999999998</v>
      </c>
      <c r="E13" s="6">
        <v>3.6360000000000001</v>
      </c>
      <c r="F13" s="6">
        <v>0.5</v>
      </c>
      <c r="G13" s="6">
        <v>1.9830000000000001</v>
      </c>
      <c r="H13" s="6">
        <v>5.35</v>
      </c>
      <c r="I13" s="6">
        <v>3.536</v>
      </c>
      <c r="J13" s="6">
        <v>0.5</v>
      </c>
      <c r="K13" s="6">
        <v>6.0229999999999997</v>
      </c>
      <c r="L13" s="6">
        <v>0.5</v>
      </c>
      <c r="M13" s="6">
        <v>3.411</v>
      </c>
      <c r="N13" s="6">
        <v>0.5</v>
      </c>
      <c r="O13" s="6">
        <v>6.5890000000000004</v>
      </c>
      <c r="P13" s="6">
        <v>2.0409999999999999</v>
      </c>
      <c r="Q13" s="6">
        <v>1.9410000000000001</v>
      </c>
      <c r="R13" s="7">
        <f t="shared" si="0"/>
        <v>38.556000000000004</v>
      </c>
      <c r="S13" s="48">
        <f t="shared" si="1"/>
        <v>17.051000000000002</v>
      </c>
      <c r="T13" s="48">
        <f t="shared" si="2"/>
        <v>10.433999999999999</v>
      </c>
      <c r="U13" s="48">
        <f t="shared" si="3"/>
        <v>7.0890000000000004</v>
      </c>
      <c r="V13" s="48">
        <f t="shared" si="4"/>
        <v>3.9820000000000002</v>
      </c>
    </row>
    <row r="14" spans="1:22" ht="15" customHeight="1" x14ac:dyDescent="0.25">
      <c r="A14" s="5" t="s">
        <v>55</v>
      </c>
      <c r="B14" s="5" t="s">
        <v>54</v>
      </c>
      <c r="C14" s="5" t="s">
        <v>42</v>
      </c>
      <c r="D14" s="6">
        <v>2.3290000000000002</v>
      </c>
      <c r="E14" s="6">
        <v>3.3889999999999998</v>
      </c>
      <c r="F14" s="6">
        <v>0.5</v>
      </c>
      <c r="G14" s="6">
        <v>3.8340000000000001</v>
      </c>
      <c r="H14" s="6">
        <v>5.7380000000000004</v>
      </c>
      <c r="I14" s="6">
        <v>2.024</v>
      </c>
      <c r="J14" s="6">
        <v>3.0129999999999999</v>
      </c>
      <c r="K14" s="6">
        <v>5.3540000000000001</v>
      </c>
      <c r="L14" s="6">
        <v>0.5</v>
      </c>
      <c r="M14" s="6">
        <v>3.222</v>
      </c>
      <c r="N14" s="6">
        <v>0.5</v>
      </c>
      <c r="O14" s="6">
        <v>5.55</v>
      </c>
      <c r="P14" s="6">
        <v>1.046</v>
      </c>
      <c r="Q14" s="6">
        <v>3.0459999999999998</v>
      </c>
      <c r="R14" s="7">
        <f t="shared" si="0"/>
        <v>40.044999999999995</v>
      </c>
      <c r="S14" s="48">
        <f t="shared" si="1"/>
        <v>17.814</v>
      </c>
      <c r="T14" s="48">
        <f t="shared" si="2"/>
        <v>12.089</v>
      </c>
      <c r="U14" s="48">
        <f t="shared" si="3"/>
        <v>6.05</v>
      </c>
      <c r="V14" s="48">
        <f t="shared" si="4"/>
        <v>4.0919999999999996</v>
      </c>
    </row>
    <row r="15" spans="1:22" ht="15" customHeight="1" x14ac:dyDescent="0.25">
      <c r="A15" s="5" t="s">
        <v>56</v>
      </c>
      <c r="B15" s="5" t="s">
        <v>54</v>
      </c>
      <c r="C15" s="5" t="s">
        <v>42</v>
      </c>
      <c r="D15" s="6">
        <v>2.2679999999999998</v>
      </c>
      <c r="E15" s="6">
        <v>1.3540000000000001</v>
      </c>
      <c r="F15" s="6">
        <v>0.5</v>
      </c>
      <c r="G15" s="6">
        <v>2.3780000000000001</v>
      </c>
      <c r="H15" s="6">
        <v>5.3940000000000001</v>
      </c>
      <c r="I15" s="6">
        <v>3.9369999999999998</v>
      </c>
      <c r="J15" s="6">
        <v>1.198</v>
      </c>
      <c r="K15" s="6">
        <v>5.2430000000000003</v>
      </c>
      <c r="L15" s="6">
        <v>0.5</v>
      </c>
      <c r="M15" s="6">
        <v>3.3039999999999998</v>
      </c>
      <c r="N15" s="6">
        <v>0.5</v>
      </c>
      <c r="O15" s="6">
        <v>5.63</v>
      </c>
      <c r="P15" s="6">
        <v>1.5940000000000001</v>
      </c>
      <c r="Q15" s="6">
        <v>3.6949999999999998</v>
      </c>
      <c r="R15" s="7">
        <f t="shared" si="0"/>
        <v>37.494999999999997</v>
      </c>
      <c r="S15" s="48">
        <f t="shared" si="1"/>
        <v>15.831</v>
      </c>
      <c r="T15" s="48">
        <f t="shared" si="2"/>
        <v>10.245000000000001</v>
      </c>
      <c r="U15" s="48">
        <f t="shared" si="3"/>
        <v>6.13</v>
      </c>
      <c r="V15" s="48">
        <f t="shared" si="4"/>
        <v>5.2889999999999997</v>
      </c>
    </row>
    <row r="16" spans="1:22" ht="15" customHeight="1" x14ac:dyDescent="0.25">
      <c r="A16" s="5" t="s">
        <v>57</v>
      </c>
      <c r="B16" s="5" t="s">
        <v>54</v>
      </c>
      <c r="C16" s="5" t="s">
        <v>46</v>
      </c>
      <c r="D16" s="6">
        <v>0.5</v>
      </c>
      <c r="E16" s="6">
        <v>2.06</v>
      </c>
      <c r="F16" s="6">
        <v>0.5</v>
      </c>
      <c r="G16" s="6">
        <v>2.1280000000000001</v>
      </c>
      <c r="H16" s="6">
        <v>5.3010000000000002</v>
      </c>
      <c r="I16" s="6">
        <v>3.3820000000000001</v>
      </c>
      <c r="J16" s="6">
        <v>0.5</v>
      </c>
      <c r="K16" s="6">
        <v>2</v>
      </c>
      <c r="L16" s="6">
        <v>0.5</v>
      </c>
      <c r="M16" s="6">
        <v>0.5</v>
      </c>
      <c r="N16" s="6">
        <v>0.5</v>
      </c>
      <c r="O16" s="6">
        <v>0.5</v>
      </c>
      <c r="P16" s="6">
        <v>0.5</v>
      </c>
      <c r="Q16" s="6">
        <v>0.5</v>
      </c>
      <c r="R16" s="7">
        <f t="shared" si="0"/>
        <v>19.371000000000002</v>
      </c>
      <c r="S16" s="48">
        <f t="shared" si="1"/>
        <v>13.871</v>
      </c>
      <c r="T16" s="48">
        <f t="shared" si="2"/>
        <v>3.5</v>
      </c>
      <c r="U16" s="48">
        <f t="shared" si="3"/>
        <v>1</v>
      </c>
      <c r="V16" s="48">
        <f t="shared" si="4"/>
        <v>1</v>
      </c>
    </row>
    <row r="17" spans="1:22" ht="15" customHeight="1" x14ac:dyDescent="0.25">
      <c r="A17" s="5" t="s">
        <v>58</v>
      </c>
      <c r="B17" s="5" t="s">
        <v>54</v>
      </c>
      <c r="C17" s="5" t="s">
        <v>46</v>
      </c>
      <c r="D17" s="6">
        <v>0.5</v>
      </c>
      <c r="E17" s="6">
        <v>1.8220000000000001</v>
      </c>
      <c r="F17" s="6">
        <v>0.5</v>
      </c>
      <c r="G17" s="6">
        <v>0.5</v>
      </c>
      <c r="H17" s="6">
        <v>0.5</v>
      </c>
      <c r="I17" s="6">
        <v>4.2729999999999997</v>
      </c>
      <c r="J17" s="6">
        <v>0.5</v>
      </c>
      <c r="K17" s="6">
        <v>5.032</v>
      </c>
      <c r="L17" s="6">
        <v>0.5</v>
      </c>
      <c r="M17" s="6">
        <v>0.5</v>
      </c>
      <c r="N17" s="6">
        <v>0.5</v>
      </c>
      <c r="O17" s="6">
        <v>0.5</v>
      </c>
      <c r="P17" s="6">
        <v>0.5</v>
      </c>
      <c r="Q17" s="6">
        <v>0.5</v>
      </c>
      <c r="R17" s="7">
        <f t="shared" si="0"/>
        <v>16.626999999999999</v>
      </c>
      <c r="S17" s="48">
        <f t="shared" si="1"/>
        <v>8.0949999999999989</v>
      </c>
      <c r="T17" s="48">
        <f t="shared" si="2"/>
        <v>6.532</v>
      </c>
      <c r="U17" s="48">
        <f t="shared" si="3"/>
        <v>1</v>
      </c>
      <c r="V17" s="48">
        <f t="shared" si="4"/>
        <v>1</v>
      </c>
    </row>
    <row r="18" spans="1:22" ht="15" customHeight="1" x14ac:dyDescent="0.25">
      <c r="A18" s="5" t="s">
        <v>59</v>
      </c>
      <c r="B18" s="5" t="s">
        <v>54</v>
      </c>
      <c r="C18" s="5" t="s">
        <v>46</v>
      </c>
      <c r="D18" s="6">
        <v>0.5</v>
      </c>
      <c r="E18" s="6">
        <v>1.4239999999999999</v>
      </c>
      <c r="F18" s="6">
        <v>0.5</v>
      </c>
      <c r="G18" s="6">
        <v>1.2110000000000001</v>
      </c>
      <c r="H18" s="6">
        <v>5.0590000000000002</v>
      </c>
      <c r="I18" s="6">
        <v>3.9460000000000002</v>
      </c>
      <c r="J18" s="6">
        <v>0.5</v>
      </c>
      <c r="K18" s="6">
        <v>5.9249999999999998</v>
      </c>
      <c r="L18" s="6">
        <v>0.5</v>
      </c>
      <c r="M18" s="6">
        <v>0.5</v>
      </c>
      <c r="N18" s="6">
        <v>0.5</v>
      </c>
      <c r="O18" s="6">
        <v>0.5</v>
      </c>
      <c r="P18" s="6">
        <v>0.5</v>
      </c>
      <c r="Q18" s="6">
        <v>0.5</v>
      </c>
      <c r="R18" s="7">
        <f t="shared" si="0"/>
        <v>22.064999999999998</v>
      </c>
      <c r="S18" s="48">
        <f t="shared" si="1"/>
        <v>12.639999999999999</v>
      </c>
      <c r="T18" s="48">
        <f t="shared" si="2"/>
        <v>7.4249999999999998</v>
      </c>
      <c r="U18" s="48">
        <f t="shared" si="3"/>
        <v>1</v>
      </c>
      <c r="V18" s="48">
        <f t="shared" si="4"/>
        <v>1</v>
      </c>
    </row>
    <row r="19" spans="1:22" ht="15" customHeight="1" x14ac:dyDescent="0.25">
      <c r="A19" s="5" t="s">
        <v>60</v>
      </c>
      <c r="B19" s="5" t="s">
        <v>54</v>
      </c>
      <c r="C19" s="5" t="s">
        <v>50</v>
      </c>
      <c r="D19" s="6">
        <v>1.143</v>
      </c>
      <c r="E19" s="6">
        <v>3.6739999999999999</v>
      </c>
      <c r="F19" s="6">
        <v>0.5</v>
      </c>
      <c r="G19" s="6">
        <v>2.036</v>
      </c>
      <c r="H19" s="6">
        <v>5.734</v>
      </c>
      <c r="I19" s="6">
        <v>4.9349999999999996</v>
      </c>
      <c r="J19" s="6">
        <v>3.5779999999999998</v>
      </c>
      <c r="K19" s="6">
        <v>5.3289999999999997</v>
      </c>
      <c r="L19" s="6">
        <v>0.5</v>
      </c>
      <c r="M19" s="6">
        <v>1.431</v>
      </c>
      <c r="N19" s="6">
        <v>5.1840000000000002</v>
      </c>
      <c r="O19" s="6">
        <v>6.6840000000000002</v>
      </c>
      <c r="P19" s="6">
        <v>2.347</v>
      </c>
      <c r="Q19" s="6">
        <v>4.3470000000000004</v>
      </c>
      <c r="R19" s="7">
        <f t="shared" si="0"/>
        <v>47.421999999999997</v>
      </c>
      <c r="S19" s="48">
        <f t="shared" si="1"/>
        <v>18.021999999999998</v>
      </c>
      <c r="T19" s="48">
        <f t="shared" si="2"/>
        <v>10.838000000000001</v>
      </c>
      <c r="U19" s="48">
        <f t="shared" si="3"/>
        <v>11.868</v>
      </c>
      <c r="V19" s="48">
        <f t="shared" si="4"/>
        <v>6.6940000000000008</v>
      </c>
    </row>
    <row r="20" spans="1:22" ht="15" customHeight="1" x14ac:dyDescent="0.25">
      <c r="A20" s="5" t="s">
        <v>61</v>
      </c>
      <c r="B20" s="5" t="s">
        <v>54</v>
      </c>
      <c r="C20" s="5" t="s">
        <v>50</v>
      </c>
      <c r="D20" s="6">
        <v>2.2440000000000002</v>
      </c>
      <c r="E20" s="6">
        <v>4.87</v>
      </c>
      <c r="F20" s="6">
        <v>0.5</v>
      </c>
      <c r="G20" s="6">
        <v>2.74</v>
      </c>
      <c r="H20" s="6">
        <v>5.8929999999999998</v>
      </c>
      <c r="I20" s="6">
        <v>5.3630000000000004</v>
      </c>
      <c r="J20" s="6">
        <v>3.2789999999999999</v>
      </c>
      <c r="K20" s="6">
        <v>5.2359999999999998</v>
      </c>
      <c r="L20" s="6">
        <v>0.5</v>
      </c>
      <c r="M20" s="6">
        <v>1.2430000000000001</v>
      </c>
      <c r="N20" s="6">
        <v>0.5</v>
      </c>
      <c r="O20" s="6">
        <v>5.9909999999999997</v>
      </c>
      <c r="P20" s="6">
        <v>3.5</v>
      </c>
      <c r="Q20" s="6">
        <v>4.1399999999999997</v>
      </c>
      <c r="R20" s="7">
        <f t="shared" si="0"/>
        <v>45.998999999999995</v>
      </c>
      <c r="S20" s="48">
        <f t="shared" si="1"/>
        <v>21.61</v>
      </c>
      <c r="T20" s="48">
        <f t="shared" si="2"/>
        <v>10.258000000000001</v>
      </c>
      <c r="U20" s="48">
        <f t="shared" si="3"/>
        <v>6.4909999999999997</v>
      </c>
      <c r="V20" s="48">
        <f t="shared" si="4"/>
        <v>7.64</v>
      </c>
    </row>
    <row r="21" spans="1:22" ht="15" customHeight="1" x14ac:dyDescent="0.25">
      <c r="A21" s="5" t="s">
        <v>62</v>
      </c>
      <c r="B21" s="5" t="s">
        <v>54</v>
      </c>
      <c r="C21" s="5" t="s">
        <v>50</v>
      </c>
      <c r="D21" s="6">
        <v>2.2229999999999999</v>
      </c>
      <c r="E21" s="6">
        <v>4.7539999999999996</v>
      </c>
      <c r="F21" s="6">
        <v>0.5</v>
      </c>
      <c r="G21" s="6">
        <v>2.3519999999999999</v>
      </c>
      <c r="H21" s="6">
        <v>5.87</v>
      </c>
      <c r="I21" s="6">
        <v>5.8470000000000004</v>
      </c>
      <c r="J21" s="6">
        <v>3.5</v>
      </c>
      <c r="K21" s="6">
        <v>6.2910000000000004</v>
      </c>
      <c r="L21" s="6">
        <v>0.5</v>
      </c>
      <c r="M21" s="6">
        <v>1.046</v>
      </c>
      <c r="N21" s="6">
        <v>5.0220000000000002</v>
      </c>
      <c r="O21" s="6">
        <v>5.8220000000000001</v>
      </c>
      <c r="P21" s="6">
        <v>1.208</v>
      </c>
      <c r="Q21" s="6">
        <v>4.8079999999999998</v>
      </c>
      <c r="R21" s="7">
        <f t="shared" si="0"/>
        <v>49.743000000000002</v>
      </c>
      <c r="S21" s="48">
        <f t="shared" si="1"/>
        <v>21.545999999999999</v>
      </c>
      <c r="T21" s="48">
        <f t="shared" si="2"/>
        <v>11.337</v>
      </c>
      <c r="U21" s="48">
        <f t="shared" si="3"/>
        <v>10.844000000000001</v>
      </c>
      <c r="V21" s="48">
        <f t="shared" si="4"/>
        <v>6.016</v>
      </c>
    </row>
    <row r="22" spans="1:22" ht="15" customHeight="1" x14ac:dyDescent="0.25">
      <c r="A22" s="5" t="s">
        <v>63</v>
      </c>
      <c r="B22" s="5" t="s">
        <v>64</v>
      </c>
      <c r="C22" s="5" t="s">
        <v>42</v>
      </c>
      <c r="D22" s="6">
        <v>3.1230000000000002</v>
      </c>
      <c r="E22" s="6">
        <v>2.5219999999999998</v>
      </c>
      <c r="F22" s="6">
        <v>3.1469999999999998</v>
      </c>
      <c r="G22" s="6">
        <v>2.8450000000000002</v>
      </c>
      <c r="H22" s="6">
        <v>6.3849999999999998</v>
      </c>
      <c r="I22" s="6">
        <v>4.3449999999999998</v>
      </c>
      <c r="J22" s="6">
        <v>2.0219999999999998</v>
      </c>
      <c r="K22" s="6">
        <v>5.9359999999999999</v>
      </c>
      <c r="L22" s="6">
        <v>1.732</v>
      </c>
      <c r="M22" s="6">
        <v>4.2610000000000001</v>
      </c>
      <c r="N22" s="6">
        <v>5.1950000000000003</v>
      </c>
      <c r="O22" s="6">
        <v>6.1950000000000003</v>
      </c>
      <c r="P22" s="6">
        <v>3.17</v>
      </c>
      <c r="Q22" s="6">
        <v>4.17</v>
      </c>
      <c r="R22" s="7">
        <f t="shared" si="0"/>
        <v>55.048000000000002</v>
      </c>
      <c r="S22" s="48">
        <f t="shared" si="1"/>
        <v>22.366999999999997</v>
      </c>
      <c r="T22" s="48">
        <f t="shared" si="2"/>
        <v>13.951000000000001</v>
      </c>
      <c r="U22" s="48">
        <f t="shared" si="3"/>
        <v>11.39</v>
      </c>
      <c r="V22" s="48">
        <f t="shared" si="4"/>
        <v>7.34</v>
      </c>
    </row>
    <row r="23" spans="1:22" ht="15" customHeight="1" x14ac:dyDescent="0.25">
      <c r="A23" s="5" t="s">
        <v>65</v>
      </c>
      <c r="B23" s="5" t="s">
        <v>64</v>
      </c>
      <c r="C23" s="5" t="s">
        <v>42</v>
      </c>
      <c r="D23" s="6">
        <v>2.9430000000000001</v>
      </c>
      <c r="E23" s="6">
        <v>3.448</v>
      </c>
      <c r="F23" s="6">
        <v>2.927</v>
      </c>
      <c r="G23" s="6">
        <v>1.3640000000000001</v>
      </c>
      <c r="H23" s="6">
        <v>5.94</v>
      </c>
      <c r="I23" s="6">
        <v>4.2530000000000001</v>
      </c>
      <c r="J23" s="6">
        <v>3.5550000000000002</v>
      </c>
      <c r="K23" s="6">
        <v>5.532</v>
      </c>
      <c r="L23" s="6">
        <v>1.925</v>
      </c>
      <c r="M23" s="6">
        <v>3.3159999999999998</v>
      </c>
      <c r="N23" s="6">
        <v>5.1260000000000003</v>
      </c>
      <c r="O23" s="6">
        <v>6.1260000000000003</v>
      </c>
      <c r="P23" s="6">
        <v>2.867</v>
      </c>
      <c r="Q23" s="6">
        <v>4.867</v>
      </c>
      <c r="R23" s="7">
        <f t="shared" si="0"/>
        <v>54.188999999999993</v>
      </c>
      <c r="S23" s="48">
        <f t="shared" si="1"/>
        <v>20.875</v>
      </c>
      <c r="T23" s="48">
        <f t="shared" si="2"/>
        <v>14.327999999999999</v>
      </c>
      <c r="U23" s="48">
        <f t="shared" si="3"/>
        <v>11.252000000000001</v>
      </c>
      <c r="V23" s="48">
        <f t="shared" si="4"/>
        <v>7.734</v>
      </c>
    </row>
    <row r="24" spans="1:22" ht="15" customHeight="1" x14ac:dyDescent="0.25">
      <c r="A24" s="5" t="s">
        <v>66</v>
      </c>
      <c r="B24" s="5" t="s">
        <v>64</v>
      </c>
      <c r="C24" s="5" t="s">
        <v>42</v>
      </c>
      <c r="D24" s="6">
        <v>2.7850000000000001</v>
      </c>
      <c r="E24" s="6">
        <v>3.4849999999999999</v>
      </c>
      <c r="F24" s="6">
        <v>2.4910000000000001</v>
      </c>
      <c r="G24" s="6">
        <v>3.3250000000000002</v>
      </c>
      <c r="H24" s="6">
        <v>5.9829999999999997</v>
      </c>
      <c r="I24" s="6">
        <v>5.53</v>
      </c>
      <c r="J24" s="6">
        <v>2.6480000000000001</v>
      </c>
      <c r="K24" s="6">
        <v>6.3620000000000001</v>
      </c>
      <c r="L24" s="6">
        <v>1.972</v>
      </c>
      <c r="M24" s="6">
        <v>4.3040000000000003</v>
      </c>
      <c r="N24" s="6">
        <v>5.5819999999999999</v>
      </c>
      <c r="O24" s="6">
        <v>5.5819999999999999</v>
      </c>
      <c r="P24" s="6">
        <v>2.1190000000000002</v>
      </c>
      <c r="Q24" s="6">
        <v>4.9189999999999996</v>
      </c>
      <c r="R24" s="7">
        <f t="shared" si="0"/>
        <v>57.087000000000003</v>
      </c>
      <c r="S24" s="48">
        <f t="shared" si="1"/>
        <v>23.599</v>
      </c>
      <c r="T24" s="48">
        <f t="shared" si="2"/>
        <v>15.286</v>
      </c>
      <c r="U24" s="48">
        <f t="shared" si="3"/>
        <v>11.164</v>
      </c>
      <c r="V24" s="48">
        <f t="shared" si="4"/>
        <v>7.0380000000000003</v>
      </c>
    </row>
    <row r="25" spans="1:22" ht="15" customHeight="1" x14ac:dyDescent="0.25">
      <c r="A25" s="5" t="s">
        <v>67</v>
      </c>
      <c r="B25" s="5" t="s">
        <v>64</v>
      </c>
      <c r="C25" s="5" t="s">
        <v>46</v>
      </c>
      <c r="D25" s="6">
        <v>1.153</v>
      </c>
      <c r="E25" s="6">
        <v>1.7450000000000001</v>
      </c>
      <c r="F25" s="6">
        <v>0.5</v>
      </c>
      <c r="G25" s="6">
        <v>2.2410000000000001</v>
      </c>
      <c r="H25" s="6">
        <v>5.3949999999999996</v>
      </c>
      <c r="I25" s="6">
        <v>5.8259999999999996</v>
      </c>
      <c r="J25" s="6">
        <v>2.512</v>
      </c>
      <c r="K25" s="6">
        <v>5.452</v>
      </c>
      <c r="L25" s="6">
        <v>0.5</v>
      </c>
      <c r="M25" s="6">
        <v>3.198</v>
      </c>
      <c r="N25" s="6">
        <v>5.1689999999999996</v>
      </c>
      <c r="O25" s="6">
        <v>5.569</v>
      </c>
      <c r="P25" s="6">
        <v>0.5</v>
      </c>
      <c r="Q25" s="6">
        <v>3.4609999999999999</v>
      </c>
      <c r="R25" s="7">
        <f t="shared" si="0"/>
        <v>43.220999999999997</v>
      </c>
      <c r="S25" s="48">
        <f t="shared" si="1"/>
        <v>16.86</v>
      </c>
      <c r="T25" s="48">
        <f t="shared" si="2"/>
        <v>11.662000000000001</v>
      </c>
      <c r="U25" s="48">
        <f t="shared" si="3"/>
        <v>10.738</v>
      </c>
      <c r="V25" s="48">
        <f t="shared" si="4"/>
        <v>3.9609999999999999</v>
      </c>
    </row>
    <row r="26" spans="1:22" ht="15" customHeight="1" x14ac:dyDescent="0.25">
      <c r="A26" s="5" t="s">
        <v>68</v>
      </c>
      <c r="B26" s="5" t="s">
        <v>64</v>
      </c>
      <c r="C26" s="5" t="s">
        <v>46</v>
      </c>
      <c r="D26" s="6">
        <v>2.9830000000000001</v>
      </c>
      <c r="E26" s="6">
        <v>3.2130000000000001</v>
      </c>
      <c r="F26" s="6">
        <v>0.5</v>
      </c>
      <c r="G26" s="6">
        <v>2.0990000000000002</v>
      </c>
      <c r="H26" s="6">
        <v>6.4749999999999996</v>
      </c>
      <c r="I26" s="6">
        <v>6.532</v>
      </c>
      <c r="J26" s="6">
        <v>2.92</v>
      </c>
      <c r="K26" s="6">
        <v>5.8360000000000003</v>
      </c>
      <c r="L26" s="6">
        <v>0.5</v>
      </c>
      <c r="M26" s="6">
        <v>3.0920000000000001</v>
      </c>
      <c r="N26" s="6">
        <v>2</v>
      </c>
      <c r="O26" s="6">
        <v>5.673</v>
      </c>
      <c r="P26" s="6">
        <v>2.032</v>
      </c>
      <c r="Q26" s="6">
        <v>3.032</v>
      </c>
      <c r="R26" s="7">
        <f t="shared" si="0"/>
        <v>46.887</v>
      </c>
      <c r="S26" s="48">
        <f t="shared" si="1"/>
        <v>21.802</v>
      </c>
      <c r="T26" s="48">
        <f t="shared" si="2"/>
        <v>12.348000000000001</v>
      </c>
      <c r="U26" s="48">
        <f t="shared" si="3"/>
        <v>7.673</v>
      </c>
      <c r="V26" s="48">
        <f t="shared" si="4"/>
        <v>5.0640000000000001</v>
      </c>
    </row>
    <row r="27" spans="1:22" ht="15" customHeight="1" x14ac:dyDescent="0.25">
      <c r="A27" s="5" t="s">
        <v>69</v>
      </c>
      <c r="B27" s="5" t="s">
        <v>64</v>
      </c>
      <c r="C27" s="5" t="s">
        <v>46</v>
      </c>
      <c r="D27" s="6">
        <v>2.5449999999999999</v>
      </c>
      <c r="E27" s="6">
        <v>2.331</v>
      </c>
      <c r="F27" s="6">
        <v>0.5</v>
      </c>
      <c r="G27" s="6">
        <v>3.3540000000000001</v>
      </c>
      <c r="H27" s="6">
        <v>5.5430000000000001</v>
      </c>
      <c r="I27" s="6">
        <v>6.1340000000000003</v>
      </c>
      <c r="J27" s="6">
        <v>2.1970000000000001</v>
      </c>
      <c r="K27" s="6">
        <v>6.8209999999999997</v>
      </c>
      <c r="L27" s="6">
        <v>0.5</v>
      </c>
      <c r="M27" s="6">
        <v>2.1179999999999999</v>
      </c>
      <c r="N27" s="6">
        <v>5.1710000000000003</v>
      </c>
      <c r="O27" s="6">
        <v>5.6710000000000003</v>
      </c>
      <c r="P27" s="6">
        <v>3.01</v>
      </c>
      <c r="Q27" s="6">
        <v>3.0920000000000001</v>
      </c>
      <c r="R27" s="7">
        <f t="shared" si="0"/>
        <v>48.986999999999995</v>
      </c>
      <c r="S27" s="48">
        <f t="shared" si="1"/>
        <v>20.407</v>
      </c>
      <c r="T27" s="48">
        <f t="shared" si="2"/>
        <v>11.636000000000001</v>
      </c>
      <c r="U27" s="48">
        <f t="shared" si="3"/>
        <v>10.842000000000001</v>
      </c>
      <c r="V27" s="48">
        <f t="shared" si="4"/>
        <v>6.1020000000000003</v>
      </c>
    </row>
    <row r="28" spans="1:22" ht="15" customHeight="1" x14ac:dyDescent="0.25">
      <c r="A28" s="5" t="s">
        <v>70</v>
      </c>
      <c r="B28" s="5" t="s">
        <v>64</v>
      </c>
      <c r="C28" s="5" t="s">
        <v>50</v>
      </c>
      <c r="D28" s="6">
        <v>5.234</v>
      </c>
      <c r="E28" s="6">
        <v>6.5970000000000004</v>
      </c>
      <c r="F28" s="6">
        <v>3.7309999999999999</v>
      </c>
      <c r="G28" s="6">
        <v>6.2359999999999998</v>
      </c>
      <c r="H28" s="6">
        <v>6.468</v>
      </c>
      <c r="I28" s="6">
        <v>7.9370000000000003</v>
      </c>
      <c r="J28" s="6">
        <v>4.8440000000000003</v>
      </c>
      <c r="K28" s="6">
        <v>5.9370000000000003</v>
      </c>
      <c r="L28" s="6">
        <v>2.1720000000000002</v>
      </c>
      <c r="M28" s="6">
        <v>5.88</v>
      </c>
      <c r="N28" s="6">
        <v>5.8369999999999997</v>
      </c>
      <c r="O28" s="6">
        <v>7.8369999999999997</v>
      </c>
      <c r="P28" s="6">
        <v>3.6890000000000001</v>
      </c>
      <c r="Q28" s="6">
        <v>5.452</v>
      </c>
      <c r="R28" s="7">
        <f t="shared" si="0"/>
        <v>77.850999999999999</v>
      </c>
      <c r="S28" s="48">
        <f t="shared" si="1"/>
        <v>36.202999999999996</v>
      </c>
      <c r="T28" s="48">
        <f t="shared" si="2"/>
        <v>18.833000000000002</v>
      </c>
      <c r="U28" s="48">
        <f t="shared" si="3"/>
        <v>13.673999999999999</v>
      </c>
      <c r="V28" s="48">
        <f t="shared" si="4"/>
        <v>9.141</v>
      </c>
    </row>
    <row r="29" spans="1:22" ht="15" customHeight="1" x14ac:dyDescent="0.25">
      <c r="A29" s="5" t="s">
        <v>71</v>
      </c>
      <c r="B29" s="5" t="s">
        <v>64</v>
      </c>
      <c r="C29" s="5" t="s">
        <v>50</v>
      </c>
      <c r="D29" s="6">
        <v>4.6539999999999999</v>
      </c>
      <c r="E29" s="6">
        <v>5.6639999999999997</v>
      </c>
      <c r="F29" s="6">
        <v>6.9160000000000004</v>
      </c>
      <c r="G29" s="6">
        <v>3.32</v>
      </c>
      <c r="H29" s="6">
        <v>7.4429999999999996</v>
      </c>
      <c r="I29" s="6">
        <v>8.8360000000000003</v>
      </c>
      <c r="J29" s="6">
        <v>6.6870000000000003</v>
      </c>
      <c r="K29" s="6">
        <v>7.0919999999999996</v>
      </c>
      <c r="L29" s="6">
        <v>2.9860000000000002</v>
      </c>
      <c r="M29" s="6">
        <v>5.931</v>
      </c>
      <c r="N29" s="6">
        <v>6.0670000000000002</v>
      </c>
      <c r="O29" s="6">
        <v>7.0670000000000002</v>
      </c>
      <c r="P29" s="6">
        <v>2.5289999999999999</v>
      </c>
      <c r="Q29" s="6">
        <v>4.3529999999999998</v>
      </c>
      <c r="R29" s="7">
        <f t="shared" si="0"/>
        <v>79.544999999999973</v>
      </c>
      <c r="S29" s="48">
        <f t="shared" si="1"/>
        <v>36.832999999999998</v>
      </c>
      <c r="T29" s="48">
        <f t="shared" si="2"/>
        <v>22.696000000000002</v>
      </c>
      <c r="U29" s="48">
        <f t="shared" si="3"/>
        <v>13.134</v>
      </c>
      <c r="V29" s="48">
        <f t="shared" si="4"/>
        <v>6.8819999999999997</v>
      </c>
    </row>
    <row r="30" spans="1:22" ht="15" customHeight="1" x14ac:dyDescent="0.25">
      <c r="A30" s="5" t="s">
        <v>72</v>
      </c>
      <c r="B30" s="5" t="s">
        <v>64</v>
      </c>
      <c r="C30" s="5" t="s">
        <v>50</v>
      </c>
      <c r="D30" s="6">
        <v>5.9359999999999999</v>
      </c>
      <c r="E30" s="6">
        <v>7.085</v>
      </c>
      <c r="F30" s="6">
        <v>3.2559999999999998</v>
      </c>
      <c r="G30" s="6">
        <v>4.9359999999999999</v>
      </c>
      <c r="H30" s="6">
        <v>7.3890000000000002</v>
      </c>
      <c r="I30" s="6">
        <v>7.2569999999999997</v>
      </c>
      <c r="J30" s="6">
        <v>6.3390000000000004</v>
      </c>
      <c r="K30" s="6">
        <v>6.3120000000000003</v>
      </c>
      <c r="L30" s="6">
        <v>2.9369999999999998</v>
      </c>
      <c r="M30" s="6">
        <v>6.1109999999999998</v>
      </c>
      <c r="N30" s="6">
        <v>5.72</v>
      </c>
      <c r="O30" s="6">
        <v>6.72</v>
      </c>
      <c r="P30" s="6">
        <v>3.294</v>
      </c>
      <c r="Q30" s="6">
        <v>4.4139999999999997</v>
      </c>
      <c r="R30" s="7">
        <f t="shared" si="0"/>
        <v>77.705999999999989</v>
      </c>
      <c r="S30" s="48">
        <f t="shared" si="1"/>
        <v>35.859000000000002</v>
      </c>
      <c r="T30" s="48">
        <f t="shared" si="2"/>
        <v>21.698999999999998</v>
      </c>
      <c r="U30" s="48">
        <f t="shared" si="3"/>
        <v>12.44</v>
      </c>
      <c r="V30" s="48">
        <f t="shared" si="4"/>
        <v>7.7080000000000002</v>
      </c>
    </row>
    <row r="31" spans="1:22" x14ac:dyDescent="0.25">
      <c r="S31" s="49"/>
      <c r="T31" s="49"/>
      <c r="U31" s="49"/>
      <c r="V31" s="49"/>
    </row>
    <row r="32" spans="1:22" ht="15" customHeight="1" x14ac:dyDescent="0.25">
      <c r="A32" s="8" t="s">
        <v>73</v>
      </c>
      <c r="S32" s="49"/>
      <c r="T32" s="49"/>
      <c r="U32" s="49"/>
      <c r="V32" s="49"/>
    </row>
    <row r="33" spans="19:22" x14ac:dyDescent="0.25">
      <c r="S33" s="49"/>
      <c r="T33" s="49"/>
      <c r="U33" s="49"/>
      <c r="V33" s="49"/>
    </row>
    <row r="34" spans="19:22" x14ac:dyDescent="0.25">
      <c r="S34" s="49"/>
      <c r="T34" s="49"/>
      <c r="U34" s="49"/>
      <c r="V34" s="49"/>
    </row>
    <row r="35" spans="19:22" x14ac:dyDescent="0.25">
      <c r="S35" s="49"/>
      <c r="T35" s="49"/>
      <c r="U35" s="49"/>
      <c r="V35" s="49"/>
    </row>
    <row r="36" spans="19:22" x14ac:dyDescent="0.25">
      <c r="S36" s="49"/>
      <c r="T36" s="49"/>
      <c r="U36" s="49"/>
      <c r="V36" s="49"/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showGridLines="0" zoomScaleNormal="100" workbookViewId="0">
      <selection activeCell="I27" sqref="I27"/>
    </sheetView>
  </sheetViews>
  <sheetFormatPr defaultColWidth="8.7109375" defaultRowHeight="15" x14ac:dyDescent="0.25"/>
  <cols>
    <col min="1" max="1" width="24" style="1" customWidth="1"/>
    <col min="2" max="2" width="16" style="1" customWidth="1"/>
    <col min="3" max="3" width="10" style="1" customWidth="1"/>
    <col min="4" max="5" width="14" style="1" customWidth="1"/>
    <col min="6" max="6" width="18" style="1" customWidth="1"/>
    <col min="7" max="7" width="8" style="1" customWidth="1"/>
  </cols>
  <sheetData>
    <row r="1" spans="1:14" ht="15.75" customHeight="1" x14ac:dyDescent="0.25">
      <c r="A1" s="44" t="s">
        <v>74</v>
      </c>
      <c r="B1" s="44"/>
      <c r="C1" s="44"/>
      <c r="D1" s="44"/>
      <c r="E1" s="44"/>
      <c r="F1" s="44"/>
      <c r="G1" s="44"/>
    </row>
    <row r="2" spans="1:14" x14ac:dyDescent="0.25">
      <c r="I2" s="1"/>
      <c r="J2" s="1"/>
      <c r="K2" s="1"/>
      <c r="L2" s="1"/>
      <c r="M2" s="1"/>
      <c r="N2" s="1"/>
    </row>
    <row r="3" spans="1:14" ht="23.25" customHeight="1" x14ac:dyDescent="0.25">
      <c r="A3" s="4" t="s">
        <v>75</v>
      </c>
      <c r="B3" s="4" t="s">
        <v>76</v>
      </c>
      <c r="C3" s="4" t="s">
        <v>77</v>
      </c>
      <c r="D3" s="4" t="s">
        <v>78</v>
      </c>
      <c r="E3" s="4" t="s">
        <v>79</v>
      </c>
      <c r="F3" s="4" t="s">
        <v>80</v>
      </c>
      <c r="G3" s="4" t="s">
        <v>81</v>
      </c>
      <c r="I3" s="1"/>
      <c r="J3" s="1"/>
      <c r="K3" s="1"/>
      <c r="L3" s="1"/>
      <c r="M3" s="1"/>
      <c r="N3" s="1"/>
    </row>
    <row r="4" spans="1:14" ht="15" customHeight="1" x14ac:dyDescent="0.25">
      <c r="A4" s="9" t="s">
        <v>25</v>
      </c>
      <c r="B4" s="10">
        <f>AVERAGE('Raw Data'!D4:D30)</f>
        <v>1.9531481481481483</v>
      </c>
      <c r="C4" s="10">
        <f>STDEV('Raw Data'!D4:D30)</f>
        <v>1.5344713372690557</v>
      </c>
      <c r="D4" s="10">
        <f>MIN('Raw Data'!D4:D30)</f>
        <v>0.5</v>
      </c>
      <c r="E4" s="10">
        <f>MAX('Raw Data'!D4:D30)</f>
        <v>5.9359999999999999</v>
      </c>
      <c r="F4" s="11">
        <f>COUNTIF('Raw Data'!D4:D30,"&gt;0")/COUNT('Raw Data'!D4:D30)*100</f>
        <v>100</v>
      </c>
      <c r="G4" s="12">
        <f>COUNT('Raw Data'!D4:D30)</f>
        <v>27</v>
      </c>
      <c r="I4" s="1"/>
      <c r="J4" s="1"/>
      <c r="K4" s="1"/>
      <c r="L4" s="1"/>
      <c r="M4" s="1"/>
      <c r="N4" s="1"/>
    </row>
    <row r="5" spans="1:14" ht="15" customHeight="1" x14ac:dyDescent="0.25">
      <c r="A5" s="9" t="s">
        <v>26</v>
      </c>
      <c r="B5" s="10">
        <f>AVERAGE('Raw Data'!E4:E30)</f>
        <v>2.7546296296296293</v>
      </c>
      <c r="C5" s="10">
        <f>STDEV('Raw Data'!E4:E30)</f>
        <v>1.869977522451256</v>
      </c>
      <c r="D5" s="10">
        <f>MIN('Raw Data'!E4:E30)</f>
        <v>0.5</v>
      </c>
      <c r="E5" s="10">
        <f>MAX('Raw Data'!E4:E30)</f>
        <v>7.085</v>
      </c>
      <c r="F5" s="11">
        <f>COUNTIF('Raw Data'!E4:E30,"&gt;0")/COUNT('Raw Data'!E4:E30)*100</f>
        <v>100</v>
      </c>
      <c r="G5" s="12">
        <f>COUNT('Raw Data'!E4:E30)</f>
        <v>27</v>
      </c>
      <c r="I5" s="1"/>
      <c r="J5" s="1"/>
      <c r="K5" s="1"/>
      <c r="L5" s="1"/>
      <c r="M5" s="1"/>
      <c r="N5" s="1"/>
    </row>
    <row r="6" spans="1:14" ht="15" customHeight="1" x14ac:dyDescent="0.25">
      <c r="A6" s="9" t="s">
        <v>27</v>
      </c>
      <c r="B6" s="10">
        <f>AVERAGE('Raw Data'!F4:F30)</f>
        <v>1.2210370370370369</v>
      </c>
      <c r="C6" s="10">
        <f>STDEV('Raw Data'!F4:F30)</f>
        <v>1.5445166403835384</v>
      </c>
      <c r="D6" s="10">
        <f>MIN('Raw Data'!F4:F30)</f>
        <v>0.5</v>
      </c>
      <c r="E6" s="10">
        <f>MAX('Raw Data'!F4:F30)</f>
        <v>6.9160000000000004</v>
      </c>
      <c r="F6" s="11">
        <f>COUNTIF('Raw Data'!F4:F30,"&gt;0")/COUNT('Raw Data'!F4:F30)*100</f>
        <v>100</v>
      </c>
      <c r="G6" s="12">
        <f>COUNT('Raw Data'!F4:F30)</f>
        <v>27</v>
      </c>
      <c r="I6" s="1"/>
      <c r="J6" s="1"/>
      <c r="K6" s="1"/>
      <c r="L6" s="1"/>
      <c r="M6" s="1"/>
      <c r="N6" s="1"/>
    </row>
    <row r="7" spans="1:14" ht="15" customHeight="1" x14ac:dyDescent="0.25">
      <c r="A7" s="9" t="s">
        <v>28</v>
      </c>
      <c r="B7" s="10">
        <f>AVERAGE('Raw Data'!G4:G30)</f>
        <v>2.369444444444444</v>
      </c>
      <c r="C7" s="10">
        <f>STDEV('Raw Data'!G4:G30)</f>
        <v>1.3311546559091925</v>
      </c>
      <c r="D7" s="10">
        <f>MIN('Raw Data'!G4:G30)</f>
        <v>0.5</v>
      </c>
      <c r="E7" s="10">
        <f>MAX('Raw Data'!G4:G30)</f>
        <v>6.2359999999999998</v>
      </c>
      <c r="F7" s="11">
        <f>COUNTIF('Raw Data'!G4:G30,"&gt;0")/COUNT('Raw Data'!G4:G30)*100</f>
        <v>100</v>
      </c>
      <c r="G7" s="12">
        <f>COUNT('Raw Data'!G4:G30)</f>
        <v>27</v>
      </c>
      <c r="I7" s="1"/>
      <c r="J7" s="1"/>
      <c r="K7" s="1"/>
      <c r="L7" s="1"/>
      <c r="M7" s="1"/>
      <c r="N7" s="1"/>
    </row>
    <row r="8" spans="1:14" ht="15" customHeight="1" x14ac:dyDescent="0.25">
      <c r="A8" s="9" t="s">
        <v>29</v>
      </c>
      <c r="B8" s="10">
        <f>AVERAGE('Raw Data'!H4:H30)</f>
        <v>4.4041111111111109</v>
      </c>
      <c r="C8" s="10">
        <f>STDEV('Raw Data'!H4:H30)</f>
        <v>2.4195815012157853</v>
      </c>
      <c r="D8" s="10">
        <f>MIN('Raw Data'!H4:H30)</f>
        <v>0.5</v>
      </c>
      <c r="E8" s="10">
        <f>MAX('Raw Data'!H4:H30)</f>
        <v>7.4429999999999996</v>
      </c>
      <c r="F8" s="11">
        <f>COUNTIF('Raw Data'!H4:H30,"&gt;0")/COUNT('Raw Data'!H4:H30)*100</f>
        <v>100</v>
      </c>
      <c r="G8" s="12">
        <f>COUNT('Raw Data'!H4:H30)</f>
        <v>27</v>
      </c>
      <c r="I8" s="1"/>
      <c r="J8" s="1"/>
      <c r="K8" s="1"/>
      <c r="L8" s="1"/>
      <c r="M8" s="1"/>
      <c r="N8" s="1"/>
    </row>
    <row r="9" spans="1:14" ht="15" customHeight="1" x14ac:dyDescent="0.25">
      <c r="A9" s="9" t="s">
        <v>30</v>
      </c>
      <c r="B9" s="10">
        <f>AVERAGE('Raw Data'!I4:I30)</f>
        <v>4.4995555555555553</v>
      </c>
      <c r="C9" s="10">
        <f>STDEV('Raw Data'!I4:I30)</f>
        <v>2.1804093711138335</v>
      </c>
      <c r="D9" s="10">
        <f>MIN('Raw Data'!I4:I30)</f>
        <v>0.5</v>
      </c>
      <c r="E9" s="10">
        <f>MAX('Raw Data'!I4:I30)</f>
        <v>8.8360000000000003</v>
      </c>
      <c r="F9" s="11">
        <f>COUNTIF('Raw Data'!I4:I30,"&gt;0")/COUNT('Raw Data'!I4:I30)*100</f>
        <v>100</v>
      </c>
      <c r="G9" s="12">
        <f>COUNT('Raw Data'!I4:I30)</f>
        <v>27</v>
      </c>
      <c r="I9" s="1"/>
      <c r="J9" s="1"/>
      <c r="K9" s="1"/>
      <c r="L9" s="1"/>
      <c r="M9" s="1"/>
      <c r="N9" s="1"/>
    </row>
    <row r="10" spans="1:14" ht="15" customHeight="1" x14ac:dyDescent="0.25">
      <c r="A10" s="9" t="s">
        <v>31</v>
      </c>
      <c r="B10" s="10">
        <f>AVERAGE('Raw Data'!J4:J30)</f>
        <v>2.5724444444444448</v>
      </c>
      <c r="C10" s="10">
        <f>STDEV('Raw Data'!J4:J30)</f>
        <v>1.75290607790284</v>
      </c>
      <c r="D10" s="10">
        <f>MIN('Raw Data'!J4:J30)</f>
        <v>0.5</v>
      </c>
      <c r="E10" s="10">
        <f>MAX('Raw Data'!J4:J30)</f>
        <v>6.6870000000000003</v>
      </c>
      <c r="F10" s="11">
        <f>COUNTIF('Raw Data'!J4:J30,"&gt;0")/COUNT('Raw Data'!J4:J30)*100</f>
        <v>100</v>
      </c>
      <c r="G10" s="12">
        <f>COUNT('Raw Data'!J4:J30)</f>
        <v>27</v>
      </c>
      <c r="I10" s="1"/>
      <c r="J10" s="1"/>
      <c r="K10" s="1"/>
      <c r="L10" s="1"/>
      <c r="M10" s="1"/>
      <c r="N10" s="1"/>
    </row>
    <row r="11" spans="1:14" ht="15" customHeight="1" x14ac:dyDescent="0.25">
      <c r="A11" s="9" t="s">
        <v>32</v>
      </c>
      <c r="B11" s="10">
        <f>AVERAGE('Raw Data'!K4:K30)</f>
        <v>5.0496296296296288</v>
      </c>
      <c r="C11" s="10">
        <f>STDEV('Raw Data'!K4:K30)</f>
        <v>1.8593816827551175</v>
      </c>
      <c r="D11" s="10">
        <f>MIN('Raw Data'!K4:K30)</f>
        <v>0.5</v>
      </c>
      <c r="E11" s="10">
        <f>MAX('Raw Data'!K4:K30)</f>
        <v>7.0919999999999996</v>
      </c>
      <c r="F11" s="11">
        <f>COUNTIF('Raw Data'!K4:K30,"&gt;0")/COUNT('Raw Data'!K4:K30)*100</f>
        <v>100</v>
      </c>
      <c r="G11" s="12">
        <f>COUNT('Raw Data'!K4:K30)</f>
        <v>27</v>
      </c>
      <c r="I11" s="1"/>
      <c r="J11" s="1"/>
      <c r="K11" s="1"/>
      <c r="L11" s="1"/>
      <c r="M11" s="1"/>
      <c r="N11" s="1"/>
    </row>
    <row r="12" spans="1:14" ht="15" customHeight="1" x14ac:dyDescent="0.25">
      <c r="A12" s="9" t="s">
        <v>33</v>
      </c>
      <c r="B12" s="10">
        <f>AVERAGE('Raw Data'!L4:L30)</f>
        <v>0.8971851851851852</v>
      </c>
      <c r="C12" s="10">
        <f>STDEV('Raw Data'!L4:L30)</f>
        <v>0.79349683907261637</v>
      </c>
      <c r="D12" s="10">
        <f>MIN('Raw Data'!L4:L30)</f>
        <v>0.5</v>
      </c>
      <c r="E12" s="10">
        <f>MAX('Raw Data'!L4:L30)</f>
        <v>2.9860000000000002</v>
      </c>
      <c r="F12" s="11">
        <f>COUNTIF('Raw Data'!L4:L30,"&gt;0")/COUNT('Raw Data'!L4:L30)*100</f>
        <v>100</v>
      </c>
      <c r="G12" s="12">
        <f>COUNT('Raw Data'!L4:L30)</f>
        <v>27</v>
      </c>
      <c r="I12" s="1"/>
      <c r="J12" s="1"/>
      <c r="K12" s="1"/>
      <c r="L12" s="1"/>
      <c r="M12" s="1"/>
      <c r="N12" s="1"/>
    </row>
    <row r="13" spans="1:14" ht="15" customHeight="1" x14ac:dyDescent="0.25">
      <c r="A13" s="9" t="s">
        <v>34</v>
      </c>
      <c r="B13" s="10">
        <f>AVERAGE('Raw Data'!M4:M30)</f>
        <v>2.733000000000001</v>
      </c>
      <c r="C13" s="10">
        <f>STDEV('Raw Data'!M4:M30)</f>
        <v>1.793323686943838</v>
      </c>
      <c r="D13" s="10">
        <f>MIN('Raw Data'!M4:M30)</f>
        <v>0.5</v>
      </c>
      <c r="E13" s="10">
        <f>MAX('Raw Data'!M4:M30)</f>
        <v>6.1109999999999998</v>
      </c>
      <c r="F13" s="11">
        <f>COUNTIF('Raw Data'!M4:M30,"&gt;0")/COUNT('Raw Data'!M4:M30)*100</f>
        <v>100</v>
      </c>
      <c r="G13" s="12">
        <f>COUNT('Raw Data'!M4:M30)</f>
        <v>27</v>
      </c>
      <c r="I13" s="1"/>
      <c r="J13" s="1"/>
      <c r="K13" s="1"/>
      <c r="L13" s="1"/>
      <c r="M13" s="1"/>
      <c r="N13" s="1"/>
    </row>
    <row r="14" spans="1:14" ht="15" customHeight="1" x14ac:dyDescent="0.25">
      <c r="A14" s="9" t="s">
        <v>35</v>
      </c>
      <c r="B14" s="10">
        <f>AVERAGE('Raw Data'!N4:N30)</f>
        <v>2.3730740740740743</v>
      </c>
      <c r="C14" s="10">
        <f>STDEV('Raw Data'!N4:N30)</f>
        <v>2.3980941940492584</v>
      </c>
      <c r="D14" s="10">
        <f>MIN('Raw Data'!N4:N30)</f>
        <v>0.5</v>
      </c>
      <c r="E14" s="10">
        <f>MAX('Raw Data'!N4:N30)</f>
        <v>6.0670000000000002</v>
      </c>
      <c r="F14" s="11">
        <f>COUNTIF('Raw Data'!N4:N30,"&gt;0")/COUNT('Raw Data'!N4:N30)*100</f>
        <v>100</v>
      </c>
      <c r="G14" s="12">
        <f>COUNT('Raw Data'!N4:N30)</f>
        <v>27</v>
      </c>
      <c r="I14" s="1"/>
      <c r="J14" s="1"/>
      <c r="K14" s="1"/>
      <c r="L14" s="1"/>
      <c r="M14" s="1"/>
      <c r="N14" s="1"/>
    </row>
    <row r="15" spans="1:14" ht="15" customHeight="1" x14ac:dyDescent="0.25">
      <c r="A15" s="9" t="s">
        <v>36</v>
      </c>
      <c r="B15" s="10">
        <f>AVERAGE('Raw Data'!O4:O30)</f>
        <v>3.6557777777777782</v>
      </c>
      <c r="C15" s="10">
        <f>STDEV('Raw Data'!O4:O30)</f>
        <v>2.9185860292710926</v>
      </c>
      <c r="D15" s="10">
        <f>MIN('Raw Data'!O4:O30)</f>
        <v>0.5</v>
      </c>
      <c r="E15" s="10">
        <f>MAX('Raw Data'!O4:O30)</f>
        <v>7.8369999999999997</v>
      </c>
      <c r="F15" s="11">
        <f>COUNTIF('Raw Data'!O4:O30,"&gt;0")/COUNT('Raw Data'!O4:O30)*100</f>
        <v>100</v>
      </c>
      <c r="G15" s="12">
        <f>COUNT('Raw Data'!O4:O30)</f>
        <v>27</v>
      </c>
      <c r="I15" s="1"/>
      <c r="J15" s="1"/>
      <c r="K15" s="1"/>
      <c r="L15" s="1"/>
      <c r="M15" s="1"/>
      <c r="N15" s="1"/>
    </row>
    <row r="16" spans="1:14" ht="15" customHeight="1" x14ac:dyDescent="0.25">
      <c r="A16" s="9" t="s">
        <v>37</v>
      </c>
      <c r="B16" s="10">
        <f>AVERAGE('Raw Data'!P4:P30)</f>
        <v>1.5165185185185184</v>
      </c>
      <c r="C16" s="10">
        <f>STDEV('Raw Data'!P4:P30)</f>
        <v>1.1598376998651541</v>
      </c>
      <c r="D16" s="10">
        <f>MIN('Raw Data'!P4:P30)</f>
        <v>0.5</v>
      </c>
      <c r="E16" s="10">
        <f>MAX('Raw Data'!P4:P30)</f>
        <v>3.6890000000000001</v>
      </c>
      <c r="F16" s="11">
        <f>COUNTIF('Raw Data'!P4:P30,"&gt;0")/COUNT('Raw Data'!P4:P30)*100</f>
        <v>100</v>
      </c>
      <c r="G16" s="12">
        <f>COUNT('Raw Data'!P4:P30)</f>
        <v>27</v>
      </c>
      <c r="I16" s="1"/>
      <c r="J16" s="1"/>
      <c r="K16" s="1"/>
      <c r="L16" s="1"/>
      <c r="M16" s="1"/>
      <c r="N16" s="1"/>
    </row>
    <row r="17" spans="1:14" ht="15" customHeight="1" x14ac:dyDescent="0.25">
      <c r="A17" s="9" t="s">
        <v>38</v>
      </c>
      <c r="B17" s="10">
        <f>AVERAGE('Raw Data'!Q4:Q30)</f>
        <v>2.7272222222222218</v>
      </c>
      <c r="C17" s="10">
        <f>STDEV('Raw Data'!Q4:Q30)</f>
        <v>1.7759988594359943</v>
      </c>
      <c r="D17" s="10">
        <f>MIN('Raw Data'!Q4:Q30)</f>
        <v>0.5</v>
      </c>
      <c r="E17" s="10">
        <f>MAX('Raw Data'!Q4:Q30)</f>
        <v>5.452</v>
      </c>
      <c r="F17" s="11">
        <f>COUNTIF('Raw Data'!Q4:Q30,"&gt;0")/COUNT('Raw Data'!Q4:Q30)*100</f>
        <v>100</v>
      </c>
      <c r="G17" s="12">
        <f>COUNT('Raw Data'!Q4:Q30)</f>
        <v>27</v>
      </c>
      <c r="I17" s="1"/>
      <c r="J17" s="1"/>
      <c r="K17" s="1"/>
      <c r="L17" s="1"/>
      <c r="M17" s="1"/>
      <c r="N17" s="1"/>
    </row>
    <row r="18" spans="1:14" ht="15" customHeight="1" x14ac:dyDescent="0.25">
      <c r="A18" s="13" t="s">
        <v>82</v>
      </c>
      <c r="B18" s="14">
        <f>AVERAGE('Raw Data'!R4:R30)</f>
        <v>38.726777777777777</v>
      </c>
      <c r="C18" s="14">
        <f>STDEV('Raw Data'!R4:R30)</f>
        <v>20.772093565708857</v>
      </c>
      <c r="D18" s="14">
        <f>MIN('Raw Data'!D4:Q30)</f>
        <v>0.5</v>
      </c>
      <c r="E18" s="14">
        <f>MAX('Raw Data'!D4:Q30)</f>
        <v>8.8360000000000003</v>
      </c>
      <c r="F18" s="11">
        <f>COUNTIF('Raw Data'!Q5:Q31,"&gt;0")/COUNT('Raw Data'!Q5:Q31)*100</f>
        <v>100</v>
      </c>
      <c r="G18" s="12"/>
    </row>
    <row r="19" spans="1:14" x14ac:dyDescent="0.25">
      <c r="A19" s="13" t="s">
        <v>224</v>
      </c>
      <c r="B19" s="14">
        <f>AVERAGE('Raw Data'!S4:S30)</f>
        <v>17.201925925925924</v>
      </c>
      <c r="C19" s="14">
        <f>STDEV('Raw Data'!S4:S30)</f>
        <v>9.3021870171478742</v>
      </c>
      <c r="D19" s="14">
        <f>MIN('Raw Data'!D4:I30)</f>
        <v>0.5</v>
      </c>
      <c r="E19" s="14">
        <f>MAX('Raw Data'!D4:I30)</f>
        <v>8.8360000000000003</v>
      </c>
      <c r="F19" s="11">
        <f>COUNTIF('Raw Data'!Q6:Q32,"&gt;0")/COUNT('Raw Data'!Q6:Q32)*100</f>
        <v>100</v>
      </c>
      <c r="G19" s="12"/>
    </row>
    <row r="20" spans="1:14" ht="15" customHeight="1" x14ac:dyDescent="0.25">
      <c r="A20" s="13" t="s">
        <v>225</v>
      </c>
      <c r="B20" s="14">
        <f>AVERAGE('Raw Data'!T4:T30)</f>
        <v>11.25225925925926</v>
      </c>
      <c r="C20" s="14">
        <f>STDEV('Raw Data'!T4:T30)</f>
        <v>5.1314894118613887</v>
      </c>
      <c r="D20" s="14">
        <f>MIN('Raw Data'!J4:M30)</f>
        <v>0.5</v>
      </c>
      <c r="E20" s="14">
        <f>MAX('Raw Data'!J4:M30)</f>
        <v>7.0919999999999996</v>
      </c>
      <c r="F20" s="11">
        <f>COUNTIF('Raw Data'!Q7:Q33,"&gt;0")/COUNT('Raw Data'!Q7:Q33)*100</f>
        <v>100</v>
      </c>
      <c r="G20" s="12"/>
    </row>
    <row r="21" spans="1:14" x14ac:dyDescent="0.25">
      <c r="A21" s="13" t="s">
        <v>226</v>
      </c>
      <c r="B21" s="14">
        <f>AVERAGE('Raw Data'!U4:U30)</f>
        <v>6.0288518518518517</v>
      </c>
      <c r="C21" s="14">
        <f>STDEV('Raw Data'!U4:U30)</f>
        <v>4.9713585645382681</v>
      </c>
      <c r="D21" s="14">
        <f>MIN('Raw Data'!N4:O30)</f>
        <v>0.5</v>
      </c>
      <c r="E21" s="14">
        <f>MAX('Raw Data'!N4:O30)</f>
        <v>7.8369999999999997</v>
      </c>
      <c r="F21" s="11">
        <f>COUNTIF('Raw Data'!Q8:Q34,"&gt;0")/COUNT('Raw Data'!Q8:Q34)*100</f>
        <v>100</v>
      </c>
      <c r="G21" s="12"/>
    </row>
    <row r="22" spans="1:14" x14ac:dyDescent="0.25">
      <c r="A22" s="13" t="s">
        <v>227</v>
      </c>
      <c r="B22" s="14">
        <f>AVERAGE('Raw Data'!V4:V30)</f>
        <v>4.2437407407407406</v>
      </c>
      <c r="C22" s="14">
        <f>STDEV('Raw Data'!V4:V30)</f>
        <v>2.7423400253824863</v>
      </c>
      <c r="D22" s="14">
        <f>MIN('Raw Data'!P4:Q30)</f>
        <v>0.5</v>
      </c>
      <c r="E22" s="14">
        <f>MAX('Raw Data'!P4:Q30)</f>
        <v>5.452</v>
      </c>
      <c r="F22" s="11">
        <f>COUNTIF('Raw Data'!Q9:Q35,"&gt;0")/COUNT('Raw Data'!Q9:Q35)*100</f>
        <v>100</v>
      </c>
      <c r="G22" s="12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24" style="1" customWidth="1"/>
    <col min="2" max="8" width="13" style="1" customWidth="1"/>
  </cols>
  <sheetData>
    <row r="1" spans="1:9" ht="15.75" customHeight="1" x14ac:dyDescent="0.25">
      <c r="A1" s="44" t="s">
        <v>83</v>
      </c>
      <c r="B1" s="44"/>
      <c r="C1" s="44"/>
      <c r="D1" s="44"/>
      <c r="E1" s="44"/>
      <c r="F1" s="44"/>
      <c r="G1" s="44"/>
      <c r="H1" s="44"/>
      <c r="I1" s="44"/>
    </row>
    <row r="3" spans="1:9" ht="15" customHeight="1" x14ac:dyDescent="0.25">
      <c r="A3" s="4" t="s">
        <v>75</v>
      </c>
      <c r="B3" s="4" t="s">
        <v>41</v>
      </c>
      <c r="C3" s="4" t="s">
        <v>54</v>
      </c>
      <c r="D3" s="4" t="s">
        <v>64</v>
      </c>
      <c r="E3" s="4" t="s">
        <v>46</v>
      </c>
      <c r="F3" s="4" t="s">
        <v>42</v>
      </c>
      <c r="G3" s="4" t="s">
        <v>50</v>
      </c>
      <c r="H3" s="4" t="s">
        <v>84</v>
      </c>
    </row>
    <row r="4" spans="1:9" ht="15" customHeight="1" x14ac:dyDescent="0.25">
      <c r="A4" s="15" t="s">
        <v>25</v>
      </c>
      <c r="B4" s="16">
        <f>AVERAGEIFS('Raw Data'!D4:D30,'Raw Data'!B4:B30,"Up-stream")</f>
        <v>0.84733333333333327</v>
      </c>
      <c r="C4" s="16">
        <f>AVERAGEIFS('Raw Data'!D4:D30,'Raw Data'!B4:B30,"Mid-stream")</f>
        <v>1.5281111111111112</v>
      </c>
      <c r="D4" s="16">
        <f>AVERAGEIFS('Raw Data'!D4:D30,'Raw Data'!B4:B30,"Down-stream")</f>
        <v>3.484</v>
      </c>
      <c r="E4" s="16">
        <f>AVERAGEIFS('Raw Data'!D4:D30,'Raw Data'!C4:C30,"Catla")</f>
        <v>1.0756666666666668</v>
      </c>
      <c r="F4" s="16">
        <f>AVERAGEIFS('Raw Data'!D4:D30,'Raw Data'!C4:C30,"Rui")</f>
        <v>1.8882222222222222</v>
      </c>
      <c r="G4" s="16">
        <f>AVERAGEIFS('Raw Data'!D4:D30,'Raw Data'!C4:C30,"Mrigal")</f>
        <v>2.8955555555555557</v>
      </c>
      <c r="H4" s="16">
        <f>AVERAGE('Raw Data'!D4:D30)</f>
        <v>1.9531481481481483</v>
      </c>
    </row>
    <row r="5" spans="1:9" ht="15" customHeight="1" x14ac:dyDescent="0.25">
      <c r="A5" s="15" t="s">
        <v>26</v>
      </c>
      <c r="B5" s="16">
        <f>AVERAGEIFS('Raw Data'!E4:E30,'Raw Data'!B4:B30,"Up-stream")</f>
        <v>1.2557777777777777</v>
      </c>
      <c r="C5" s="16">
        <f>AVERAGEIFS('Raw Data'!E4:E30,'Raw Data'!B4:B30,"Mid-stream")</f>
        <v>2.9981111111111116</v>
      </c>
      <c r="D5" s="16">
        <f>AVERAGEIFS('Raw Data'!E4:E30,'Raw Data'!B4:B30,"Down-stream")</f>
        <v>4.0100000000000007</v>
      </c>
      <c r="E5" s="16">
        <f>AVERAGEIFS('Raw Data'!E4:E30,'Raw Data'!C4:C30,"Catla")</f>
        <v>1.566111111111111</v>
      </c>
      <c r="F5" s="16">
        <f>AVERAGEIFS('Raw Data'!E4:E30,'Raw Data'!C4:C30,"Rui")</f>
        <v>2.1482222222222225</v>
      </c>
      <c r="G5" s="16">
        <f>AVERAGEIFS('Raw Data'!E4:E30,'Raw Data'!C4:C30,"Mrigal")</f>
        <v>4.549555555555556</v>
      </c>
      <c r="H5" s="16">
        <f>AVERAGE('Raw Data'!E4:E30)</f>
        <v>2.7546296296296293</v>
      </c>
    </row>
    <row r="6" spans="1:9" ht="15" customHeight="1" x14ac:dyDescent="0.25">
      <c r="A6" s="15" t="s">
        <v>27</v>
      </c>
      <c r="B6" s="16">
        <f>AVERAGEIFS('Raw Data'!F4:F30,'Raw Data'!B4:B30,"Up-stream")</f>
        <v>0.5</v>
      </c>
      <c r="C6" s="16">
        <f>AVERAGEIFS('Raw Data'!F4:F30,'Raw Data'!B4:B30,"Mid-stream")</f>
        <v>0.5</v>
      </c>
      <c r="D6" s="16">
        <f>AVERAGEIFS('Raw Data'!F4:F30,'Raw Data'!B4:B30,"Down-stream")</f>
        <v>2.6631111111111112</v>
      </c>
      <c r="E6" s="16">
        <f>AVERAGEIFS('Raw Data'!F4:F30,'Raw Data'!C4:C30,"Catla")</f>
        <v>0.5</v>
      </c>
      <c r="F6" s="16">
        <f>AVERAGEIFS('Raw Data'!F4:F30,'Raw Data'!C4:C30,"Rui")</f>
        <v>1.2849999999999999</v>
      </c>
      <c r="G6" s="16">
        <f>AVERAGEIFS('Raw Data'!F4:F30,'Raw Data'!C4:C30,"Mrigal")</f>
        <v>1.8781111111111111</v>
      </c>
      <c r="H6" s="16">
        <f>AVERAGE('Raw Data'!F4:F30)</f>
        <v>1.2210370370370369</v>
      </c>
    </row>
    <row r="7" spans="1:9" ht="15" customHeight="1" x14ac:dyDescent="0.25">
      <c r="A7" s="15" t="s">
        <v>28</v>
      </c>
      <c r="B7" s="16">
        <f>AVERAGEIFS('Raw Data'!G4:G30,'Raw Data'!B4:B30,"Up-stream")</f>
        <v>1.677</v>
      </c>
      <c r="C7" s="16">
        <f>AVERAGEIFS('Raw Data'!G4:G30,'Raw Data'!B4:B30,"Mid-stream")</f>
        <v>2.1291111111111114</v>
      </c>
      <c r="D7" s="16">
        <f>AVERAGEIFS('Raw Data'!G4:G30,'Raw Data'!B4:B30,"Down-stream")</f>
        <v>3.3022222222222224</v>
      </c>
      <c r="E7" s="16">
        <f>AVERAGEIFS('Raw Data'!G4:G30,'Raw Data'!C4:C30,"Catla")</f>
        <v>1.4481111111111113</v>
      </c>
      <c r="F7" s="16">
        <f>AVERAGEIFS('Raw Data'!G4:G30,'Raw Data'!C4:C30,"Rui")</f>
        <v>2.3781111111111111</v>
      </c>
      <c r="G7" s="16">
        <f>AVERAGEIFS('Raw Data'!G4:G30,'Raw Data'!C4:C30,"Mrigal")</f>
        <v>3.2821111111111114</v>
      </c>
      <c r="H7" s="16">
        <f>AVERAGE('Raw Data'!G4:G30)</f>
        <v>2.369444444444444</v>
      </c>
    </row>
    <row r="8" spans="1:9" ht="15" customHeight="1" x14ac:dyDescent="0.25">
      <c r="A8" s="15" t="s">
        <v>29</v>
      </c>
      <c r="B8" s="16">
        <f>AVERAGEIFS('Raw Data'!H4:H30,'Raw Data'!B4:B30,"Up-stream")</f>
        <v>1.8945555555555558</v>
      </c>
      <c r="C8" s="16">
        <f>AVERAGEIFS('Raw Data'!H4:H30,'Raw Data'!B4:B30,"Mid-stream")</f>
        <v>4.9821111111111112</v>
      </c>
      <c r="D8" s="16">
        <f>AVERAGEIFS('Raw Data'!H4:H30,'Raw Data'!B4:B30,"Down-stream")</f>
        <v>6.3356666666666657</v>
      </c>
      <c r="E8" s="16">
        <f>AVERAGEIFS('Raw Data'!H4:H30,'Raw Data'!C4:C30,"Catla")</f>
        <v>3.3081111111111108</v>
      </c>
      <c r="F8" s="16">
        <f>AVERAGEIFS('Raw Data'!H4:H30,'Raw Data'!C4:C30,"Rui")</f>
        <v>4.3662222222222216</v>
      </c>
      <c r="G8" s="16">
        <f>AVERAGEIFS('Raw Data'!H4:H30,'Raw Data'!C4:C30,"Mrigal")</f>
        <v>5.5380000000000003</v>
      </c>
      <c r="H8" s="16">
        <f>AVERAGE('Raw Data'!H4:H30)</f>
        <v>4.4041111111111109</v>
      </c>
    </row>
    <row r="9" spans="1:9" ht="15" customHeight="1" x14ac:dyDescent="0.25">
      <c r="A9" s="15" t="s">
        <v>30</v>
      </c>
      <c r="B9" s="16">
        <f>AVERAGEIFS('Raw Data'!I4:I30,'Raw Data'!B4:B30,"Up-stream")</f>
        <v>3.0661111111111108</v>
      </c>
      <c r="C9" s="16">
        <f>AVERAGEIFS('Raw Data'!I4:I30,'Raw Data'!B4:B30,"Mid-stream")</f>
        <v>4.1381111111111117</v>
      </c>
      <c r="D9" s="16">
        <f>AVERAGEIFS('Raw Data'!I4:I30,'Raw Data'!B4:B30,"Down-stream")</f>
        <v>6.2944444444444443</v>
      </c>
      <c r="E9" s="16">
        <f>AVERAGEIFS('Raw Data'!I4:I30,'Raw Data'!C4:C30,"Catla")</f>
        <v>3.5103333333333335</v>
      </c>
      <c r="F9" s="16">
        <f>AVERAGEIFS('Raw Data'!I4:I30,'Raw Data'!C4:C30,"Rui")</f>
        <v>3.5765555555555557</v>
      </c>
      <c r="G9" s="16">
        <f>AVERAGEIFS('Raw Data'!I4:I30,'Raw Data'!C4:C30,"Mrigal")</f>
        <v>6.4117777777777762</v>
      </c>
      <c r="H9" s="16">
        <f>AVERAGE('Raw Data'!I4:I30)</f>
        <v>4.4995555555555553</v>
      </c>
    </row>
    <row r="10" spans="1:9" ht="15" customHeight="1" x14ac:dyDescent="0.25">
      <c r="A10" s="15" t="s">
        <v>31</v>
      </c>
      <c r="B10" s="16">
        <f>AVERAGEIFS('Raw Data'!J4:J30,'Raw Data'!B4:B30,"Up-stream")</f>
        <v>2.1293333333333333</v>
      </c>
      <c r="C10" s="16">
        <f>AVERAGEIFS('Raw Data'!J4:J30,'Raw Data'!B4:B30,"Mid-stream")</f>
        <v>1.8408888888888886</v>
      </c>
      <c r="D10" s="16">
        <f>AVERAGEIFS('Raw Data'!J4:J30,'Raw Data'!B4:B30,"Down-stream")</f>
        <v>3.7471111111111117</v>
      </c>
      <c r="E10" s="16">
        <f>AVERAGEIFS('Raw Data'!J4:J30,'Raw Data'!C4:C30,"Catla")</f>
        <v>1.4833333333333334</v>
      </c>
      <c r="F10" s="16">
        <f>AVERAGEIFS('Raw Data'!J4:J30,'Raw Data'!C4:C30,"Rui")</f>
        <v>1.8240000000000001</v>
      </c>
      <c r="G10" s="16">
        <f>AVERAGEIFS('Raw Data'!J4:J30,'Raw Data'!C4:C30,"Mrigal")</f>
        <v>4.41</v>
      </c>
      <c r="H10" s="16">
        <f>AVERAGE('Raw Data'!J4:J30)</f>
        <v>2.5724444444444448</v>
      </c>
    </row>
    <row r="11" spans="1:9" ht="15" customHeight="1" x14ac:dyDescent="0.25">
      <c r="A11" s="15" t="s">
        <v>32</v>
      </c>
      <c r="B11" s="16">
        <f>AVERAGEIFS('Raw Data'!K4:K30,'Raw Data'!B4:B30,"Up-stream")</f>
        <v>3.8474444444444438</v>
      </c>
      <c r="C11" s="16">
        <f>AVERAGEIFS('Raw Data'!K4:K30,'Raw Data'!B4:B30,"Mid-stream")</f>
        <v>5.1592222222222217</v>
      </c>
      <c r="D11" s="16">
        <f>AVERAGEIFS('Raw Data'!K4:K30,'Raw Data'!B4:B30,"Down-stream")</f>
        <v>6.1422222222222205</v>
      </c>
      <c r="E11" s="16">
        <f>AVERAGEIFS('Raw Data'!K4:K30,'Raw Data'!C4:C30,"Catla")</f>
        <v>3.6184444444444441</v>
      </c>
      <c r="F11" s="16">
        <f>AVERAGEIFS('Raw Data'!K4:K30,'Raw Data'!C4:C30,"Rui")</f>
        <v>5.6588888888888889</v>
      </c>
      <c r="G11" s="16">
        <f>AVERAGEIFS('Raw Data'!K4:K30,'Raw Data'!C4:C30,"Mrigal")</f>
        <v>5.8715555555555552</v>
      </c>
      <c r="H11" s="16">
        <f>AVERAGE('Raw Data'!K4:K30)</f>
        <v>5.0496296296296288</v>
      </c>
    </row>
    <row r="12" spans="1:9" ht="15" customHeight="1" x14ac:dyDescent="0.25">
      <c r="A12" s="15" t="s">
        <v>33</v>
      </c>
      <c r="B12" s="16">
        <f>AVERAGEIFS('Raw Data'!L4:L30,'Raw Data'!B4:B30,"Up-stream")</f>
        <v>0.5</v>
      </c>
      <c r="C12" s="16">
        <f>AVERAGEIFS('Raw Data'!L4:L30,'Raw Data'!B4:B30,"Mid-stream")</f>
        <v>0.5</v>
      </c>
      <c r="D12" s="16">
        <f>AVERAGEIFS('Raw Data'!L4:L30,'Raw Data'!B4:B30,"Down-stream")</f>
        <v>1.6915555555555555</v>
      </c>
      <c r="E12" s="16">
        <f>AVERAGEIFS('Raw Data'!L4:L30,'Raw Data'!C4:C30,"Catla")</f>
        <v>0.5</v>
      </c>
      <c r="F12" s="16">
        <f>AVERAGEIFS('Raw Data'!L4:L30,'Raw Data'!C4:C30,"Rui")</f>
        <v>0.95877777777777773</v>
      </c>
      <c r="G12" s="16">
        <f>AVERAGEIFS('Raw Data'!L4:L30,'Raw Data'!C4:C30,"Mrigal")</f>
        <v>1.2327777777777778</v>
      </c>
      <c r="H12" s="16">
        <f>AVERAGE('Raw Data'!L4:L30)</f>
        <v>0.8971851851851852</v>
      </c>
    </row>
    <row r="13" spans="1:9" ht="15" customHeight="1" x14ac:dyDescent="0.25">
      <c r="A13" s="15" t="s">
        <v>34</v>
      </c>
      <c r="B13" s="16">
        <f>AVERAGEIFS('Raw Data'!M4:M30,'Raw Data'!B4:B30,"Up-stream")</f>
        <v>2.2692222222222225</v>
      </c>
      <c r="C13" s="16">
        <f>AVERAGEIFS('Raw Data'!M4:M30,'Raw Data'!B4:B30,"Mid-stream")</f>
        <v>1.6841111111111109</v>
      </c>
      <c r="D13" s="16">
        <f>AVERAGEIFS('Raw Data'!M4:M30,'Raw Data'!B4:B30,"Down-stream")</f>
        <v>4.2456666666666658</v>
      </c>
      <c r="E13" s="16">
        <f>AVERAGEIFS('Raw Data'!M4:M30,'Raw Data'!C4:C30,"Catla")</f>
        <v>1.2675555555555558</v>
      </c>
      <c r="F13" s="16">
        <f>AVERAGEIFS('Raw Data'!M4:M30,'Raw Data'!C4:C30,"Rui")</f>
        <v>3.1438888888888883</v>
      </c>
      <c r="G13" s="16">
        <f>AVERAGEIFS('Raw Data'!M4:M30,'Raw Data'!C4:C30,"Mrigal")</f>
        <v>3.7875555555555556</v>
      </c>
      <c r="H13" s="16">
        <f>AVERAGE('Raw Data'!M4:M30)</f>
        <v>2.733000000000001</v>
      </c>
    </row>
    <row r="14" spans="1:9" ht="15" customHeight="1" x14ac:dyDescent="0.25">
      <c r="A14" s="15" t="s">
        <v>35</v>
      </c>
      <c r="B14" s="16">
        <f>AVERAGEIFS('Raw Data'!N4:N30,'Raw Data'!B4:B30,"Up-stream")</f>
        <v>0.5</v>
      </c>
      <c r="C14" s="16">
        <f>AVERAGEIFS('Raw Data'!N4:N30,'Raw Data'!B4:B30,"Mid-stream")</f>
        <v>1.522888888888889</v>
      </c>
      <c r="D14" s="16">
        <f>AVERAGEIFS('Raw Data'!N4:N30,'Raw Data'!B4:B30,"Down-stream")</f>
        <v>5.0963333333333329</v>
      </c>
      <c r="E14" s="16">
        <f>AVERAGEIFS('Raw Data'!N4:N30,'Raw Data'!C4:C30,"Catla")</f>
        <v>1.7044444444444444</v>
      </c>
      <c r="F14" s="16">
        <f>AVERAGEIFS('Raw Data'!N4:N30,'Raw Data'!C4:C30,"Rui")</f>
        <v>2.1003333333333334</v>
      </c>
      <c r="G14" s="16">
        <f>AVERAGEIFS('Raw Data'!N4:N30,'Raw Data'!C4:C30,"Mrigal")</f>
        <v>3.3144444444444443</v>
      </c>
      <c r="H14" s="16">
        <f>AVERAGE('Raw Data'!N4:N30)</f>
        <v>2.3730740740740743</v>
      </c>
    </row>
    <row r="15" spans="1:9" ht="15" customHeight="1" x14ac:dyDescent="0.25">
      <c r="A15" s="15" t="s">
        <v>36</v>
      </c>
      <c r="B15" s="16">
        <f>AVERAGEIFS('Raw Data'!O4:O30,'Raw Data'!B4:B30,"Up-stream")</f>
        <v>0.5</v>
      </c>
      <c r="C15" s="16">
        <f>AVERAGEIFS('Raw Data'!O4:O30,'Raw Data'!B4:B30,"Mid-stream")</f>
        <v>4.1962222222222216</v>
      </c>
      <c r="D15" s="16">
        <f>AVERAGEIFS('Raw Data'!O4:O30,'Raw Data'!B4:B30,"Down-stream")</f>
        <v>6.2711111111111117</v>
      </c>
      <c r="E15" s="16">
        <f>AVERAGEIFS('Raw Data'!O4:O30,'Raw Data'!C4:C30,"Catla")</f>
        <v>2.2125555555555554</v>
      </c>
      <c r="F15" s="16">
        <f>AVERAGEIFS('Raw Data'!O4:O30,'Raw Data'!C4:C30,"Rui")</f>
        <v>4.1302222222222218</v>
      </c>
      <c r="G15" s="16">
        <f>AVERAGEIFS('Raw Data'!O4:O30,'Raw Data'!C4:C30,"Mrigal")</f>
        <v>4.6245555555555553</v>
      </c>
      <c r="H15" s="16">
        <f>AVERAGE('Raw Data'!O4:O30)</f>
        <v>3.6557777777777782</v>
      </c>
    </row>
    <row r="16" spans="1:9" ht="15" customHeight="1" x14ac:dyDescent="0.25">
      <c r="A16" s="15" t="s">
        <v>37</v>
      </c>
      <c r="B16" s="16">
        <f>AVERAGEIFS('Raw Data'!P4:P30,'Raw Data'!B4:B30,"Up-stream")</f>
        <v>0.5</v>
      </c>
      <c r="C16" s="16">
        <f>AVERAGEIFS('Raw Data'!P4:P30,'Raw Data'!B4:B30,"Mid-stream")</f>
        <v>1.4706666666666668</v>
      </c>
      <c r="D16" s="16">
        <f>AVERAGEIFS('Raw Data'!P4:P30,'Raw Data'!B4:B30,"Down-stream")</f>
        <v>2.5788888888888888</v>
      </c>
      <c r="E16" s="16">
        <f>AVERAGEIFS('Raw Data'!P4:P30,'Raw Data'!C4:C30,"Catla")</f>
        <v>0.94911111111111113</v>
      </c>
      <c r="F16" s="16">
        <f>AVERAGEIFS('Raw Data'!P4:P30,'Raw Data'!C4:C30,"Rui")</f>
        <v>1.593</v>
      </c>
      <c r="G16" s="16">
        <f>AVERAGEIFS('Raw Data'!P4:P30,'Raw Data'!C4:C30,"Mrigal")</f>
        <v>2.0074444444444444</v>
      </c>
      <c r="H16" s="16">
        <f>AVERAGE('Raw Data'!P4:P30)</f>
        <v>1.5165185185185184</v>
      </c>
    </row>
    <row r="17" spans="1:8" ht="15" customHeight="1" x14ac:dyDescent="0.25">
      <c r="A17" s="15" t="s">
        <v>38</v>
      </c>
      <c r="B17" s="16">
        <f>AVERAGEIFS('Raw Data'!Q4:Q30,'Raw Data'!B4:B30,"Up-stream")</f>
        <v>1.3775555555555554</v>
      </c>
      <c r="C17" s="16">
        <f>AVERAGEIFS('Raw Data'!Q4:Q30,'Raw Data'!B4:B30,"Mid-stream")</f>
        <v>2.6085555555555557</v>
      </c>
      <c r="D17" s="16">
        <f>AVERAGEIFS('Raw Data'!Q4:Q30,'Raw Data'!B4:B30,"Down-stream")</f>
        <v>4.195555555555555</v>
      </c>
      <c r="E17" s="16">
        <f>AVERAGEIFS('Raw Data'!Q4:Q30,'Raw Data'!C4:C30,"Catla")</f>
        <v>1.3983333333333334</v>
      </c>
      <c r="F17" s="16">
        <f>AVERAGEIFS('Raw Data'!Q4:Q30,'Raw Data'!C4:C30,"Rui")</f>
        <v>2.6820000000000004</v>
      </c>
      <c r="G17" s="16">
        <f>AVERAGEIFS('Raw Data'!Q4:Q30,'Raw Data'!C4:C30,"Mrigal")</f>
        <v>4.1013333333333337</v>
      </c>
      <c r="H17" s="16">
        <f>AVERAGE('Raw Data'!Q4:Q30)</f>
        <v>2.7272222222222218</v>
      </c>
    </row>
    <row r="19" spans="1:8" ht="15" customHeight="1" x14ac:dyDescent="0.25">
      <c r="A19" s="17" t="s">
        <v>85</v>
      </c>
      <c r="B19" s="14">
        <f>AVERAGEIFS('Raw Data'!R4:R30,'Raw Data'!B4:B30,"Up-stream")</f>
        <v>20.864333333333335</v>
      </c>
      <c r="C19" s="14">
        <f>AVERAGEIFS('Raw Data'!R4:R30,'Raw Data'!B4:B30,"Mid-stream")</f>
        <v>35.258111111111113</v>
      </c>
      <c r="D19" s="14">
        <f>AVERAGEIFS('Raw Data'!R4:R30,'Raw Data'!B4:B30,"Down-stream")</f>
        <v>60.057888888888883</v>
      </c>
      <c r="E19" s="14">
        <f>AVERAGEIFS('Raw Data'!R4:R30,'Raw Data'!C4:C30,"Catla")</f>
        <v>24.542111111111112</v>
      </c>
      <c r="F19" s="14">
        <f>AVERAGEIFS('Raw Data'!R4:R30,'Raw Data'!C4:C30,"Rui")</f>
        <v>37.733444444444444</v>
      </c>
      <c r="G19" s="14">
        <f>AVERAGEIFS('Raw Data'!R4:R30,'Raw Data'!C4:C30,"Mrigal")</f>
        <v>53.904777777777767</v>
      </c>
      <c r="H19" s="14">
        <f>AVERAGE('Raw Data'!R4:R30)</f>
        <v>38.726777777777777</v>
      </c>
    </row>
    <row r="20" spans="1:8" ht="15" customHeight="1" x14ac:dyDescent="0.25">
      <c r="A20" s="17" t="s">
        <v>86</v>
      </c>
      <c r="B20" s="14">
        <f>SQRT(SUMPRODUCT(('Raw Data'!B4:B30="Up-stream")*('Raw Data'!R4:R30-AVERAGEIFS('Raw Data'!R4:R30,'Raw Data'!B4:B30,"Up-stream"))^2)/(COUNTIF('Raw Data'!B4:B30,"Up-stream")-1))</f>
        <v>12.258916193938189</v>
      </c>
      <c r="C20" s="14">
        <f>SQRT(SUMPRODUCT(('Raw Data'!B4:B30="Mid-stream")*('Raw Data'!R4:R30-AVERAGEIFS('Raw Data'!R4:R30,'Raw Data'!B4:B30,"Mid-stream"))^2)/(COUNTIF('Raw Data'!B4:B30,"Mid-stream")-1))</f>
        <v>12.676305272480271</v>
      </c>
      <c r="D20" s="14">
        <f>SQRT(SUMPRODUCT(('Raw Data'!B4:B30="Down-stream")*('Raw Data'!R4:R30-AVERAGEIFS('Raw Data'!R4:R30,'Raw Data'!B4:B30,"Down-stream"))^2)/(COUNTIF('Raw Data'!B4:B30,"Down-stream")-1))</f>
        <v>14.386125585476826</v>
      </c>
      <c r="E20" s="14">
        <f>SQRT(SUMPRODUCT(('Raw Data'!C4:C30="Catla")*('Raw Data'!R4:R30-AVERAGEIFS('Raw Data'!R4:R30,'Raw Data'!C4:C30,"Catla"))^2)/(COUNTIF('Raw Data'!C4:C30,"Catla")-1))</f>
        <v>17.222508001481987</v>
      </c>
      <c r="F20" s="14">
        <f>SQRT(SUMPRODUCT(('Raw Data'!C4:C30="Rui")*('Raw Data'!R4:R30-AVERAGEIFS('Raw Data'!R4:R30,'Raw Data'!C4:C30,"Rui"))^2)/(COUNTIF('Raw Data'!C4:C30,"Rui")-1))</f>
        <v>15.813489440277808</v>
      </c>
      <c r="G20" s="14">
        <f>SQRT(SUMPRODUCT(('Raw Data'!C4:C30="Mrigal")*('Raw Data'!R4:R30-AVERAGEIFS('Raw Data'!R4:R30,'Raw Data'!C4:C30,"Mrigal"))^2)/(COUNTIF('Raw Data'!C4:C30,"Mrigal")-1))</f>
        <v>19.209237151548841</v>
      </c>
      <c r="H20" s="14">
        <f>STDEV('Raw Data'!R4:R30)</f>
        <v>20.772093565708857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34" style="1" customWidth="1"/>
    <col min="2" max="3" width="11" style="1" customWidth="1"/>
    <col min="4" max="4" width="55" style="1" customWidth="1"/>
  </cols>
  <sheetData>
    <row r="1" spans="1:5" ht="15.75" customHeight="1" x14ac:dyDescent="0.25">
      <c r="A1" s="44" t="s">
        <v>87</v>
      </c>
      <c r="B1" s="44"/>
      <c r="C1" s="44"/>
      <c r="D1" s="44"/>
    </row>
    <row r="3" spans="1:5" ht="15" customHeight="1" x14ac:dyDescent="0.25">
      <c r="A3" s="4" t="s">
        <v>88</v>
      </c>
      <c r="B3" s="4" t="s">
        <v>89</v>
      </c>
      <c r="C3" s="4" t="s">
        <v>90</v>
      </c>
      <c r="D3" s="4" t="s">
        <v>91</v>
      </c>
    </row>
    <row r="4" spans="1:5" ht="15" customHeight="1" x14ac:dyDescent="0.25">
      <c r="A4" s="18" t="s">
        <v>92</v>
      </c>
      <c r="B4" s="19">
        <v>70</v>
      </c>
      <c r="C4" s="19">
        <v>15</v>
      </c>
      <c r="D4" s="20" t="s">
        <v>93</v>
      </c>
    </row>
    <row r="5" spans="1:5" ht="32.25" customHeight="1" x14ac:dyDescent="0.25">
      <c r="A5" s="18" t="s">
        <v>94</v>
      </c>
      <c r="B5" s="19">
        <v>74</v>
      </c>
      <c r="C5" s="19">
        <v>37</v>
      </c>
      <c r="D5" s="20" t="s">
        <v>95</v>
      </c>
    </row>
    <row r="6" spans="1:5" ht="15" customHeight="1" x14ac:dyDescent="0.25">
      <c r="A6" s="18" t="s">
        <v>96</v>
      </c>
      <c r="B6" s="19">
        <v>365</v>
      </c>
      <c r="C6" s="19">
        <v>365</v>
      </c>
      <c r="D6" s="20" t="s">
        <v>97</v>
      </c>
    </row>
    <row r="7" spans="1:5" ht="15" customHeight="1" x14ac:dyDescent="0.25">
      <c r="A7" s="18" t="s">
        <v>98</v>
      </c>
      <c r="B7" s="19">
        <v>70</v>
      </c>
      <c r="C7" s="19">
        <v>6</v>
      </c>
      <c r="D7" s="20" t="s">
        <v>99</v>
      </c>
    </row>
    <row r="8" spans="1:5" ht="15" customHeight="1" x14ac:dyDescent="0.25">
      <c r="A8" s="15" t="s">
        <v>100</v>
      </c>
      <c r="B8" s="15">
        <f>B7*365</f>
        <v>25550</v>
      </c>
      <c r="C8" s="15">
        <f>C7*365</f>
        <v>2190</v>
      </c>
      <c r="D8" s="21" t="s">
        <v>101</v>
      </c>
    </row>
    <row r="9" spans="1:5" ht="15" customHeight="1" x14ac:dyDescent="0.25">
      <c r="A9" s="15" t="s">
        <v>102</v>
      </c>
      <c r="B9" s="15">
        <f>70*365</f>
        <v>25550</v>
      </c>
      <c r="C9" s="15">
        <f>70*365</f>
        <v>25550</v>
      </c>
      <c r="D9" s="21" t="s">
        <v>103</v>
      </c>
    </row>
    <row r="12" spans="1:5" ht="15.75" customHeight="1" x14ac:dyDescent="0.25">
      <c r="A12" s="44" t="s">
        <v>104</v>
      </c>
      <c r="B12" s="44"/>
      <c r="C12" s="44"/>
      <c r="D12" s="44"/>
      <c r="E12" s="44"/>
    </row>
    <row r="14" spans="1:5" ht="34.5" customHeight="1" x14ac:dyDescent="0.25">
      <c r="A14" s="4" t="s">
        <v>75</v>
      </c>
      <c r="B14" s="4" t="s">
        <v>105</v>
      </c>
      <c r="C14" s="4" t="s">
        <v>106</v>
      </c>
      <c r="D14" s="4" t="s">
        <v>107</v>
      </c>
      <c r="E14" s="4" t="s">
        <v>108</v>
      </c>
    </row>
    <row r="15" spans="1:5" ht="15" customHeight="1" x14ac:dyDescent="0.25">
      <c r="A15" s="15" t="s">
        <v>25</v>
      </c>
      <c r="B15" s="22">
        <v>5.0000000000000001E-4</v>
      </c>
      <c r="C15" s="23">
        <v>0.34</v>
      </c>
      <c r="D15" s="21" t="s">
        <v>109</v>
      </c>
      <c r="E15" s="21" t="s">
        <v>109</v>
      </c>
    </row>
    <row r="16" spans="1:5" ht="15" customHeight="1" x14ac:dyDescent="0.25">
      <c r="A16" s="15" t="s">
        <v>26</v>
      </c>
      <c r="B16" s="22">
        <v>5.0000000000000001E-4</v>
      </c>
      <c r="C16" s="23">
        <v>0.34</v>
      </c>
      <c r="D16" s="21" t="s">
        <v>109</v>
      </c>
      <c r="E16" s="21" t="s">
        <v>109</v>
      </c>
    </row>
    <row r="17" spans="1:5" ht="15" customHeight="1" x14ac:dyDescent="0.25">
      <c r="A17" s="15" t="s">
        <v>27</v>
      </c>
      <c r="B17" s="22">
        <v>5.0000000000000001E-4</v>
      </c>
      <c r="C17" s="23">
        <v>0.34</v>
      </c>
      <c r="D17" s="21" t="s">
        <v>110</v>
      </c>
      <c r="E17" s="21" t="s">
        <v>110</v>
      </c>
    </row>
    <row r="18" spans="1:5" ht="15" customHeight="1" x14ac:dyDescent="0.25">
      <c r="A18" s="15" t="s">
        <v>28</v>
      </c>
      <c r="B18" s="22">
        <v>5.0000000000000001E-4</v>
      </c>
      <c r="C18" s="23">
        <v>0.34</v>
      </c>
      <c r="D18" s="21" t="s">
        <v>110</v>
      </c>
      <c r="E18" s="21" t="s">
        <v>110</v>
      </c>
    </row>
    <row r="19" spans="1:5" ht="15" customHeight="1" x14ac:dyDescent="0.25">
      <c r="A19" s="15" t="s">
        <v>29</v>
      </c>
      <c r="B19" s="22">
        <v>5.0000000000000001E-4</v>
      </c>
      <c r="C19" s="23">
        <v>0.34</v>
      </c>
      <c r="D19" s="21" t="s">
        <v>110</v>
      </c>
      <c r="E19" s="21" t="s">
        <v>110</v>
      </c>
    </row>
    <row r="20" spans="1:5" ht="15" customHeight="1" x14ac:dyDescent="0.25">
      <c r="A20" s="15" t="s">
        <v>30</v>
      </c>
      <c r="B20" s="22">
        <v>5.0000000000000001E-4</v>
      </c>
      <c r="C20" s="23">
        <v>0.34</v>
      </c>
      <c r="D20" s="21" t="s">
        <v>110</v>
      </c>
      <c r="E20" s="21" t="s">
        <v>110</v>
      </c>
    </row>
    <row r="21" spans="1:5" ht="15" customHeight="1" x14ac:dyDescent="0.25">
      <c r="A21" s="15" t="s">
        <v>31</v>
      </c>
      <c r="B21" s="22">
        <v>2.9999999999999997E-4</v>
      </c>
      <c r="C21" s="23">
        <v>6.3</v>
      </c>
      <c r="D21" s="21" t="s">
        <v>111</v>
      </c>
      <c r="E21" s="21" t="s">
        <v>112</v>
      </c>
    </row>
    <row r="22" spans="1:5" ht="15" customHeight="1" x14ac:dyDescent="0.25">
      <c r="A22" s="15" t="s">
        <v>32</v>
      </c>
      <c r="B22" s="22">
        <v>2.9999999999999997E-4</v>
      </c>
      <c r="C22" s="23">
        <v>1.8</v>
      </c>
      <c r="D22" s="21" t="s">
        <v>111</v>
      </c>
      <c r="E22" s="21" t="s">
        <v>113</v>
      </c>
    </row>
    <row r="23" spans="1:5" ht="15" customHeight="1" x14ac:dyDescent="0.25">
      <c r="A23" s="15" t="s">
        <v>33</v>
      </c>
      <c r="B23" s="22">
        <v>2.9999999999999997E-4</v>
      </c>
      <c r="C23" s="23">
        <v>1.3</v>
      </c>
      <c r="D23" s="21" t="s">
        <v>114</v>
      </c>
      <c r="E23" s="21" t="s">
        <v>114</v>
      </c>
    </row>
    <row r="24" spans="1:5" ht="15" customHeight="1" x14ac:dyDescent="0.25">
      <c r="A24" s="15" t="s">
        <v>34</v>
      </c>
      <c r="B24" s="22">
        <v>2.9999999999999997E-4</v>
      </c>
      <c r="C24" s="5" t="s">
        <v>115</v>
      </c>
      <c r="D24" s="21" t="s">
        <v>111</v>
      </c>
      <c r="E24" s="21" t="s">
        <v>116</v>
      </c>
    </row>
    <row r="25" spans="1:5" ht="15" customHeight="1" x14ac:dyDescent="0.25">
      <c r="A25" s="15" t="s">
        <v>35</v>
      </c>
      <c r="B25" s="22">
        <v>3.0000000000000001E-5</v>
      </c>
      <c r="C25" s="23">
        <v>17</v>
      </c>
      <c r="D25" s="21" t="s">
        <v>114</v>
      </c>
      <c r="E25" s="21" t="s">
        <v>114</v>
      </c>
    </row>
    <row r="26" spans="1:5" ht="15" customHeight="1" x14ac:dyDescent="0.25">
      <c r="A26" s="15" t="s">
        <v>36</v>
      </c>
      <c r="B26" s="22">
        <v>5.0000000000000002E-5</v>
      </c>
      <c r="C26" s="23">
        <v>16</v>
      </c>
      <c r="D26" s="21" t="s">
        <v>114</v>
      </c>
      <c r="E26" s="21" t="s">
        <v>114</v>
      </c>
    </row>
    <row r="27" spans="1:5" ht="15" customHeight="1" x14ac:dyDescent="0.25">
      <c r="A27" s="15" t="s">
        <v>37</v>
      </c>
      <c r="B27" s="22">
        <v>5.0000000000000001E-4</v>
      </c>
      <c r="C27" s="23">
        <v>4.5</v>
      </c>
      <c r="D27" s="21" t="s">
        <v>114</v>
      </c>
      <c r="E27" s="21" t="s">
        <v>114</v>
      </c>
    </row>
    <row r="28" spans="1:5" ht="15" customHeight="1" x14ac:dyDescent="0.25">
      <c r="A28" s="15" t="s">
        <v>38</v>
      </c>
      <c r="B28" s="22">
        <v>1.2999999999999999E-5</v>
      </c>
      <c r="C28" s="23">
        <v>9.1</v>
      </c>
      <c r="D28" s="21" t="s">
        <v>114</v>
      </c>
      <c r="E28" s="21" t="s">
        <v>114</v>
      </c>
    </row>
    <row r="30" spans="1:5" ht="21.75" customHeight="1" x14ac:dyDescent="0.25">
      <c r="A30" s="45" t="s">
        <v>117</v>
      </c>
      <c r="B30" s="45"/>
      <c r="C30" s="45"/>
      <c r="D30" s="45"/>
      <c r="E30" s="45"/>
    </row>
  </sheetData>
  <mergeCells count="3">
    <mergeCell ref="A1:D1"/>
    <mergeCell ref="A12:E12"/>
    <mergeCell ref="A30:E3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2"/>
  <sheetViews>
    <sheetView showGridLines="0" zoomScaleNormal="100" workbookViewId="0">
      <pane xSplit="1" ySplit="5" topLeftCell="B15" activePane="bottomRight" state="frozen"/>
      <selection pane="topRight" activeCell="B1" sqref="B1"/>
      <selection pane="bottomLeft" activeCell="A6" sqref="A6"/>
      <selection pane="bottomRight" sqref="A1:O1"/>
    </sheetView>
  </sheetViews>
  <sheetFormatPr defaultColWidth="8.7109375" defaultRowHeight="15" x14ac:dyDescent="0.25"/>
  <cols>
    <col min="1" max="1" width="24" style="1" customWidth="1"/>
    <col min="2" max="16" width="10" style="1" customWidth="1"/>
  </cols>
  <sheetData>
    <row r="1" spans="1:15" ht="15.75" customHeight="1" x14ac:dyDescent="0.25">
      <c r="A1" s="44" t="s">
        <v>118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ht="15" customHeight="1" x14ac:dyDescent="0.25">
      <c r="A2" s="47" t="s">
        <v>119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15" customHeight="1" x14ac:dyDescent="0.25">
      <c r="A3" s="3" t="s">
        <v>120</v>
      </c>
    </row>
    <row r="4" spans="1:15" ht="15" customHeight="1" x14ac:dyDescent="0.25">
      <c r="A4" s="4" t="s">
        <v>75</v>
      </c>
      <c r="B4" s="46" t="s">
        <v>41</v>
      </c>
      <c r="C4" s="46"/>
      <c r="D4" s="46" t="s">
        <v>54</v>
      </c>
      <c r="E4" s="46"/>
      <c r="F4" s="46" t="s">
        <v>64</v>
      </c>
      <c r="G4" s="46"/>
      <c r="H4" s="46" t="s">
        <v>46</v>
      </c>
      <c r="I4" s="46"/>
      <c r="J4" s="46" t="s">
        <v>42</v>
      </c>
      <c r="K4" s="46"/>
      <c r="L4" s="46" t="s">
        <v>50</v>
      </c>
      <c r="M4" s="46"/>
      <c r="N4" s="46" t="s">
        <v>84</v>
      </c>
      <c r="O4" s="46"/>
    </row>
    <row r="5" spans="1:15" ht="15" customHeight="1" x14ac:dyDescent="0.25">
      <c r="A5" s="4"/>
      <c r="B5" s="4" t="s">
        <v>89</v>
      </c>
      <c r="C5" s="4" t="s">
        <v>90</v>
      </c>
      <c r="D5" s="4" t="s">
        <v>89</v>
      </c>
      <c r="E5" s="4" t="s">
        <v>90</v>
      </c>
      <c r="F5" s="4" t="s">
        <v>89</v>
      </c>
      <c r="G5" s="4" t="s">
        <v>90</v>
      </c>
      <c r="H5" s="4" t="s">
        <v>89</v>
      </c>
      <c r="I5" s="4" t="s">
        <v>90</v>
      </c>
      <c r="J5" s="4" t="s">
        <v>89</v>
      </c>
      <c r="K5" s="4" t="s">
        <v>90</v>
      </c>
      <c r="L5" s="4" t="s">
        <v>89</v>
      </c>
      <c r="M5" s="4" t="s">
        <v>90</v>
      </c>
      <c r="N5" s="4" t="s">
        <v>89</v>
      </c>
      <c r="O5" s="4" t="s">
        <v>90</v>
      </c>
    </row>
    <row r="6" spans="1:15" ht="15" customHeight="1" x14ac:dyDescent="0.25">
      <c r="A6" s="15" t="s">
        <v>25</v>
      </c>
      <c r="B6" s="24">
        <f>(('Group Mean Concentrations'!B4/1000)*('Exposure &amp; Toxicity Inputs'!B5/1000)*'Exposure &amp; Toxicity Inputs'!B6*'Exposure &amp; Toxicity Inputs'!B7)/('Exposure &amp; Toxicity Inputs'!B4*'Exposure &amp; Toxicity Inputs'!B8)/'Exposure &amp; Toxicity Inputs'!B15</f>
        <v>1.7915047619047619E-3</v>
      </c>
      <c r="C6" s="24">
        <f>(('Group Mean Concentrations'!B4/1000)*('Exposure &amp; Toxicity Inputs'!C5/1000)*'Exposure &amp; Toxicity Inputs'!C6*'Exposure &amp; Toxicity Inputs'!C7)/('Exposure &amp; Toxicity Inputs'!C4*'Exposure &amp; Toxicity Inputs'!C8)/'Exposure &amp; Toxicity Inputs'!B15</f>
        <v>4.1801777777777773E-3</v>
      </c>
      <c r="D6" s="24">
        <f>(('Group Mean Concentrations'!C4/1000)*('Exposure &amp; Toxicity Inputs'!B5/1000)*'Exposure &amp; Toxicity Inputs'!B6*'Exposure &amp; Toxicity Inputs'!B7)/('Exposure &amp; Toxicity Inputs'!B4*'Exposure &amp; Toxicity Inputs'!B8)/'Exposure &amp; Toxicity Inputs'!B15</f>
        <v>3.230863492063492E-3</v>
      </c>
      <c r="E6" s="24">
        <f>(('Group Mean Concentrations'!C4/1000)*('Exposure &amp; Toxicity Inputs'!C5/1000)*'Exposure &amp; Toxicity Inputs'!C6*'Exposure &amp; Toxicity Inputs'!C7)/('Exposure &amp; Toxicity Inputs'!C4*'Exposure &amp; Toxicity Inputs'!C8)/'Exposure &amp; Toxicity Inputs'!B15</f>
        <v>7.5386814814814808E-3</v>
      </c>
      <c r="F6" s="24">
        <f>(('Group Mean Concentrations'!D4/1000)*('Exposure &amp; Toxicity Inputs'!B5/1000)*'Exposure &amp; Toxicity Inputs'!B6*'Exposure &amp; Toxicity Inputs'!B7)/('Exposure &amp; Toxicity Inputs'!B4*'Exposure &amp; Toxicity Inputs'!B8)/'Exposure &amp; Toxicity Inputs'!B15</f>
        <v>7.3661714285714287E-3</v>
      </c>
      <c r="G6" s="24">
        <f>(('Group Mean Concentrations'!D4/1000)*('Exposure &amp; Toxicity Inputs'!C5/1000)*'Exposure &amp; Toxicity Inputs'!C6*'Exposure &amp; Toxicity Inputs'!C7)/('Exposure &amp; Toxicity Inputs'!C4*'Exposure &amp; Toxicity Inputs'!C8)/'Exposure &amp; Toxicity Inputs'!B15</f>
        <v>1.7187733333333333E-2</v>
      </c>
      <c r="H6" s="24">
        <f>(('Group Mean Concentrations'!E4/1000)*('Exposure &amp; Toxicity Inputs'!B5/1000)*'Exposure &amp; Toxicity Inputs'!B6*'Exposure &amp; Toxicity Inputs'!B7)/('Exposure &amp; Toxicity Inputs'!B4*'Exposure &amp; Toxicity Inputs'!B8)/'Exposure &amp; Toxicity Inputs'!B15</f>
        <v>2.2742666666666668E-3</v>
      </c>
      <c r="I6" s="24">
        <f>(('Group Mean Concentrations'!E4/1000)*('Exposure &amp; Toxicity Inputs'!C5/1000)*'Exposure &amp; Toxicity Inputs'!C6*'Exposure &amp; Toxicity Inputs'!C7)/('Exposure &amp; Toxicity Inputs'!C4*'Exposure &amp; Toxicity Inputs'!C8)/'Exposure &amp; Toxicity Inputs'!B15</f>
        <v>5.3066222222222228E-3</v>
      </c>
      <c r="J6" s="24">
        <f>(('Group Mean Concentrations'!F4/1000)*('Exposure &amp; Toxicity Inputs'!B5/1000)*'Exposure &amp; Toxicity Inputs'!B6*'Exposure &amp; Toxicity Inputs'!B7)/('Exposure &amp; Toxicity Inputs'!B4*'Exposure &amp; Toxicity Inputs'!B8)/'Exposure &amp; Toxicity Inputs'!B15</f>
        <v>3.9922412698412697E-3</v>
      </c>
      <c r="K6" s="24">
        <f>(('Group Mean Concentrations'!F4/1000)*('Exposure &amp; Toxicity Inputs'!C5/1000)*'Exposure &amp; Toxicity Inputs'!C6*'Exposure &amp; Toxicity Inputs'!C7)/('Exposure &amp; Toxicity Inputs'!C4*'Exposure &amp; Toxicity Inputs'!C8)/'Exposure &amp; Toxicity Inputs'!B15</f>
        <v>9.3152296296296292E-3</v>
      </c>
      <c r="L6" s="24">
        <f>(('Group Mean Concentrations'!G4/1000)*('Exposure &amp; Toxicity Inputs'!B5/1000)*'Exposure &amp; Toxicity Inputs'!B6*'Exposure &amp; Toxicity Inputs'!B7)/('Exposure &amp; Toxicity Inputs'!B4*'Exposure &amp; Toxicity Inputs'!B8)/'Exposure &amp; Toxicity Inputs'!B15</f>
        <v>6.1220317460317468E-3</v>
      </c>
      <c r="M6" s="24">
        <f>(('Group Mean Concentrations'!G4/1000)*('Exposure &amp; Toxicity Inputs'!C5/1000)*'Exposure &amp; Toxicity Inputs'!C6*'Exposure &amp; Toxicity Inputs'!C7)/('Exposure &amp; Toxicity Inputs'!C4*'Exposure &amp; Toxicity Inputs'!C8)/'Exposure &amp; Toxicity Inputs'!B15</f>
        <v>1.4284740740740738E-2</v>
      </c>
      <c r="N6" s="24">
        <f>(('Group Mean Concentrations'!H4/1000)*('Exposure &amp; Toxicity Inputs'!B5/1000)*'Exposure &amp; Toxicity Inputs'!B6*'Exposure &amp; Toxicity Inputs'!B7)/('Exposure &amp; Toxicity Inputs'!B4*'Exposure &amp; Toxicity Inputs'!B8)/'Exposure &amp; Toxicity Inputs'!B15</f>
        <v>4.1295132275132275E-3</v>
      </c>
      <c r="O6" s="24">
        <f>(('Group Mean Concentrations'!H4/1000)*('Exposure &amp; Toxicity Inputs'!C5/1000)*'Exposure &amp; Toxicity Inputs'!C6*'Exposure &amp; Toxicity Inputs'!C7)/('Exposure &amp; Toxicity Inputs'!C4*'Exposure &amp; Toxicity Inputs'!C8)/'Exposure &amp; Toxicity Inputs'!B15</f>
        <v>9.6355308641975293E-3</v>
      </c>
    </row>
    <row r="7" spans="1:15" ht="15" customHeight="1" x14ac:dyDescent="0.25">
      <c r="A7" s="15" t="s">
        <v>26</v>
      </c>
      <c r="B7" s="24">
        <f>(('Group Mean Concentrations'!B5/1000)*('Exposure &amp; Toxicity Inputs'!B5/1000)*'Exposure &amp; Toxicity Inputs'!B6*'Exposure &amp; Toxicity Inputs'!B7)/('Exposure &amp; Toxicity Inputs'!B4*'Exposure &amp; Toxicity Inputs'!B8)/'Exposure &amp; Toxicity Inputs'!B16</f>
        <v>2.6550730158730156E-3</v>
      </c>
      <c r="C7" s="24">
        <f>(('Group Mean Concentrations'!B5/1000)*('Exposure &amp; Toxicity Inputs'!C5/1000)*'Exposure &amp; Toxicity Inputs'!C6*'Exposure &amp; Toxicity Inputs'!C7)/('Exposure &amp; Toxicity Inputs'!C4*'Exposure &amp; Toxicity Inputs'!C8)/'Exposure &amp; Toxicity Inputs'!B16</f>
        <v>6.1951703703703696E-3</v>
      </c>
      <c r="D7" s="24">
        <f>(('Group Mean Concentrations'!C5/1000)*('Exposure &amp; Toxicity Inputs'!B5/1000)*'Exposure &amp; Toxicity Inputs'!B6*'Exposure &amp; Toxicity Inputs'!B7)/('Exposure &amp; Toxicity Inputs'!B4*'Exposure &amp; Toxicity Inputs'!B8)/'Exposure &amp; Toxicity Inputs'!B16</f>
        <v>6.3388634920634934E-3</v>
      </c>
      <c r="E7" s="24">
        <f>(('Group Mean Concentrations'!C5/1000)*('Exposure &amp; Toxicity Inputs'!C5/1000)*'Exposure &amp; Toxicity Inputs'!C6*'Exposure &amp; Toxicity Inputs'!C7)/('Exposure &amp; Toxicity Inputs'!C4*'Exposure &amp; Toxicity Inputs'!C8)/'Exposure &amp; Toxicity Inputs'!B16</f>
        <v>1.4790681481481485E-2</v>
      </c>
      <c r="F7" s="24">
        <f>(('Group Mean Concentrations'!D5/1000)*('Exposure &amp; Toxicity Inputs'!B5/1000)*'Exposure &amp; Toxicity Inputs'!B6*'Exposure &amp; Toxicity Inputs'!B7)/('Exposure &amp; Toxicity Inputs'!B4*'Exposure &amp; Toxicity Inputs'!B8)/'Exposure &amp; Toxicity Inputs'!B16</f>
        <v>8.478285714285716E-3</v>
      </c>
      <c r="G7" s="24">
        <f>(('Group Mean Concentrations'!D5/1000)*('Exposure &amp; Toxicity Inputs'!C5/1000)*'Exposure &amp; Toxicity Inputs'!C6*'Exposure &amp; Toxicity Inputs'!C7)/('Exposure &amp; Toxicity Inputs'!C4*'Exposure &amp; Toxicity Inputs'!C8)/'Exposure &amp; Toxicity Inputs'!B16</f>
        <v>1.9782666666666667E-2</v>
      </c>
      <c r="H7" s="24">
        <f>(('Group Mean Concentrations'!E5/1000)*('Exposure &amp; Toxicity Inputs'!B5/1000)*'Exposure &amp; Toxicity Inputs'!B6*'Exposure &amp; Toxicity Inputs'!B7)/('Exposure &amp; Toxicity Inputs'!B4*'Exposure &amp; Toxicity Inputs'!B8)/'Exposure &amp; Toxicity Inputs'!B16</f>
        <v>3.3112063492063493E-3</v>
      </c>
      <c r="I7" s="24">
        <f>(('Group Mean Concentrations'!E5/1000)*('Exposure &amp; Toxicity Inputs'!C5/1000)*'Exposure &amp; Toxicity Inputs'!C6*'Exposure &amp; Toxicity Inputs'!C7)/('Exposure &amp; Toxicity Inputs'!C4*'Exposure &amp; Toxicity Inputs'!C8)/'Exposure &amp; Toxicity Inputs'!B16</f>
        <v>7.7261481481481478E-3</v>
      </c>
      <c r="J7" s="24">
        <f>(('Group Mean Concentrations'!F5/1000)*('Exposure &amp; Toxicity Inputs'!B5/1000)*'Exposure &amp; Toxicity Inputs'!B6*'Exposure &amp; Toxicity Inputs'!B7)/('Exposure &amp; Toxicity Inputs'!B4*'Exposure &amp; Toxicity Inputs'!B8)/'Exposure &amp; Toxicity Inputs'!B16</f>
        <v>4.541955555555555E-3</v>
      </c>
      <c r="K7" s="24">
        <f>(('Group Mean Concentrations'!F5/1000)*('Exposure &amp; Toxicity Inputs'!C5/1000)*'Exposure &amp; Toxicity Inputs'!C6*'Exposure &amp; Toxicity Inputs'!C7)/('Exposure &amp; Toxicity Inputs'!C4*'Exposure &amp; Toxicity Inputs'!C8)/'Exposure &amp; Toxicity Inputs'!B16</f>
        <v>1.0597896296296296E-2</v>
      </c>
      <c r="L7" s="24">
        <f>(('Group Mean Concentrations'!G5/1000)*('Exposure &amp; Toxicity Inputs'!B5/1000)*'Exposure &amp; Toxicity Inputs'!B6*'Exposure &amp; Toxicity Inputs'!B7)/('Exposure &amp; Toxicity Inputs'!B4*'Exposure &amp; Toxicity Inputs'!B8)/'Exposure &amp; Toxicity Inputs'!B16</f>
        <v>9.6190603174603189E-3</v>
      </c>
      <c r="M7" s="24">
        <f>(('Group Mean Concentrations'!G5/1000)*('Exposure &amp; Toxicity Inputs'!C5/1000)*'Exposure &amp; Toxicity Inputs'!C6*'Exposure &amp; Toxicity Inputs'!C7)/('Exposure &amp; Toxicity Inputs'!C4*'Exposure &amp; Toxicity Inputs'!C8)/'Exposure &amp; Toxicity Inputs'!B16</f>
        <v>2.2444474074074076E-2</v>
      </c>
      <c r="N7" s="24">
        <f>(('Group Mean Concentrations'!H5/1000)*('Exposure &amp; Toxicity Inputs'!B5/1000)*'Exposure &amp; Toxicity Inputs'!B6*'Exposure &amp; Toxicity Inputs'!B7)/('Exposure &amp; Toxicity Inputs'!B4*'Exposure &amp; Toxicity Inputs'!B8)/'Exposure &amp; Toxicity Inputs'!B16</f>
        <v>5.8240740740740735E-3</v>
      </c>
      <c r="O7" s="24">
        <f>(('Group Mean Concentrations'!H5/1000)*('Exposure &amp; Toxicity Inputs'!C5/1000)*'Exposure &amp; Toxicity Inputs'!C6*'Exposure &amp; Toxicity Inputs'!C7)/('Exposure &amp; Toxicity Inputs'!C4*'Exposure &amp; Toxicity Inputs'!C8)/'Exposure &amp; Toxicity Inputs'!B16</f>
        <v>1.3589506172839506E-2</v>
      </c>
    </row>
    <row r="8" spans="1:15" ht="15" customHeight="1" x14ac:dyDescent="0.25">
      <c r="A8" s="15" t="s">
        <v>27</v>
      </c>
      <c r="B8" s="24">
        <f>(('Group Mean Concentrations'!B6/1000)*('Exposure &amp; Toxicity Inputs'!B5/1000)*'Exposure &amp; Toxicity Inputs'!B6*'Exposure &amp; Toxicity Inputs'!B7)/('Exposure &amp; Toxicity Inputs'!B4*'Exposure &amp; Toxicity Inputs'!B8)/'Exposure &amp; Toxicity Inputs'!B17</f>
        <v>1.0571428571428572E-3</v>
      </c>
      <c r="C8" s="24">
        <f>(('Group Mean Concentrations'!B6/1000)*('Exposure &amp; Toxicity Inputs'!C5/1000)*'Exposure &amp; Toxicity Inputs'!C6*'Exposure &amp; Toxicity Inputs'!C7)/('Exposure &amp; Toxicity Inputs'!C4*'Exposure &amp; Toxicity Inputs'!C8)/'Exposure &amp; Toxicity Inputs'!B17</f>
        <v>2.4666666666666661E-3</v>
      </c>
      <c r="D8" s="24">
        <f>(('Group Mean Concentrations'!C6/1000)*('Exposure &amp; Toxicity Inputs'!B5/1000)*'Exposure &amp; Toxicity Inputs'!B6*'Exposure &amp; Toxicity Inputs'!B7)/('Exposure &amp; Toxicity Inputs'!B4*'Exposure &amp; Toxicity Inputs'!B8)/'Exposure &amp; Toxicity Inputs'!B17</f>
        <v>1.0571428571428572E-3</v>
      </c>
      <c r="E8" s="24">
        <f>(('Group Mean Concentrations'!C6/1000)*('Exposure &amp; Toxicity Inputs'!C5/1000)*'Exposure &amp; Toxicity Inputs'!C6*'Exposure &amp; Toxicity Inputs'!C7)/('Exposure &amp; Toxicity Inputs'!C4*'Exposure &amp; Toxicity Inputs'!C8)/'Exposure &amp; Toxicity Inputs'!B17</f>
        <v>2.4666666666666661E-3</v>
      </c>
      <c r="F8" s="24">
        <f>(('Group Mean Concentrations'!D6/1000)*('Exposure &amp; Toxicity Inputs'!B5/1000)*'Exposure &amp; Toxicity Inputs'!B6*'Exposure &amp; Toxicity Inputs'!B7)/('Exposure &amp; Toxicity Inputs'!B4*'Exposure &amp; Toxicity Inputs'!B8)/'Exposure &amp; Toxicity Inputs'!B17</f>
        <v>5.6305777777777774E-3</v>
      </c>
      <c r="G8" s="24">
        <f>(('Group Mean Concentrations'!D6/1000)*('Exposure &amp; Toxicity Inputs'!C5/1000)*'Exposure &amp; Toxicity Inputs'!C6*'Exposure &amp; Toxicity Inputs'!C7)/('Exposure &amp; Toxicity Inputs'!C4*'Exposure &amp; Toxicity Inputs'!C8)/'Exposure &amp; Toxicity Inputs'!B17</f>
        <v>1.3138014814814816E-2</v>
      </c>
      <c r="H8" s="24">
        <f>(('Group Mean Concentrations'!E6/1000)*('Exposure &amp; Toxicity Inputs'!B5/1000)*'Exposure &amp; Toxicity Inputs'!B6*'Exposure &amp; Toxicity Inputs'!B7)/('Exposure &amp; Toxicity Inputs'!B4*'Exposure &amp; Toxicity Inputs'!B8)/'Exposure &amp; Toxicity Inputs'!B17</f>
        <v>1.0571428571428572E-3</v>
      </c>
      <c r="I8" s="24">
        <f>(('Group Mean Concentrations'!E6/1000)*('Exposure &amp; Toxicity Inputs'!C5/1000)*'Exposure &amp; Toxicity Inputs'!C6*'Exposure &amp; Toxicity Inputs'!C7)/('Exposure &amp; Toxicity Inputs'!C4*'Exposure &amp; Toxicity Inputs'!C8)/'Exposure &amp; Toxicity Inputs'!B17</f>
        <v>2.4666666666666661E-3</v>
      </c>
      <c r="J8" s="24">
        <f>(('Group Mean Concentrations'!F6/1000)*('Exposure &amp; Toxicity Inputs'!B5/1000)*'Exposure &amp; Toxicity Inputs'!B6*'Exposure &amp; Toxicity Inputs'!B7)/('Exposure &amp; Toxicity Inputs'!B4*'Exposure &amp; Toxicity Inputs'!B8)/'Exposure &amp; Toxicity Inputs'!B17</f>
        <v>2.7168571428571424E-3</v>
      </c>
      <c r="K8" s="24">
        <f>(('Group Mean Concentrations'!F6/1000)*('Exposure &amp; Toxicity Inputs'!C5/1000)*'Exposure &amp; Toxicity Inputs'!C6*'Exposure &amp; Toxicity Inputs'!C7)/('Exposure &amp; Toxicity Inputs'!C4*'Exposure &amp; Toxicity Inputs'!C8)/'Exposure &amp; Toxicity Inputs'!B17</f>
        <v>6.3393333333333322E-3</v>
      </c>
      <c r="L8" s="24">
        <f>(('Group Mean Concentrations'!G6/1000)*('Exposure &amp; Toxicity Inputs'!B5/1000)*'Exposure &amp; Toxicity Inputs'!B6*'Exposure &amp; Toxicity Inputs'!B7)/('Exposure &amp; Toxicity Inputs'!B4*'Exposure &amp; Toxicity Inputs'!B8)/'Exposure &amp; Toxicity Inputs'!B17</f>
        <v>3.9708634920634913E-3</v>
      </c>
      <c r="M8" s="24">
        <f>(('Group Mean Concentrations'!G6/1000)*('Exposure &amp; Toxicity Inputs'!C5/1000)*'Exposure &amp; Toxicity Inputs'!C6*'Exposure &amp; Toxicity Inputs'!C7)/('Exposure &amp; Toxicity Inputs'!C4*'Exposure &amp; Toxicity Inputs'!C8)/'Exposure &amp; Toxicity Inputs'!B17</f>
        <v>9.2653481481481479E-3</v>
      </c>
      <c r="N8" s="24">
        <f>(('Group Mean Concentrations'!H6/1000)*('Exposure &amp; Toxicity Inputs'!B5/1000)*'Exposure &amp; Toxicity Inputs'!B6*'Exposure &amp; Toxicity Inputs'!B7)/('Exposure &amp; Toxicity Inputs'!B4*'Exposure &amp; Toxicity Inputs'!B8)/'Exposure &amp; Toxicity Inputs'!B17</f>
        <v>2.5816211640211639E-3</v>
      </c>
      <c r="O8" s="24">
        <f>(('Group Mean Concentrations'!H6/1000)*('Exposure &amp; Toxicity Inputs'!C5/1000)*'Exposure &amp; Toxicity Inputs'!C6*'Exposure &amp; Toxicity Inputs'!C7)/('Exposure &amp; Toxicity Inputs'!C4*'Exposure &amp; Toxicity Inputs'!C8)/'Exposure &amp; Toxicity Inputs'!B17</f>
        <v>6.0237827160493822E-3</v>
      </c>
    </row>
    <row r="9" spans="1:15" ht="15" customHeight="1" x14ac:dyDescent="0.25">
      <c r="A9" s="15" t="s">
        <v>28</v>
      </c>
      <c r="B9" s="24">
        <f>(('Group Mean Concentrations'!B7/1000)*('Exposure &amp; Toxicity Inputs'!B5/1000)*'Exposure &amp; Toxicity Inputs'!B6*'Exposure &amp; Toxicity Inputs'!B7)/('Exposure &amp; Toxicity Inputs'!B4*'Exposure &amp; Toxicity Inputs'!B8)/'Exposure &amp; Toxicity Inputs'!B18</f>
        <v>3.5456571428571426E-3</v>
      </c>
      <c r="C9" s="24">
        <f>(('Group Mean Concentrations'!B7/1000)*('Exposure &amp; Toxicity Inputs'!C5/1000)*'Exposure &amp; Toxicity Inputs'!C6*'Exposure &amp; Toxicity Inputs'!C7)/('Exposure &amp; Toxicity Inputs'!C4*'Exposure &amp; Toxicity Inputs'!C8)/'Exposure &amp; Toxicity Inputs'!B18</f>
        <v>8.2731999999999997E-3</v>
      </c>
      <c r="D9" s="24">
        <f>(('Group Mean Concentrations'!C7/1000)*('Exposure &amp; Toxicity Inputs'!B5/1000)*'Exposure &amp; Toxicity Inputs'!B6*'Exposure &amp; Toxicity Inputs'!B7)/('Exposure &amp; Toxicity Inputs'!B4*'Exposure &amp; Toxicity Inputs'!B8)/'Exposure &amp; Toxicity Inputs'!B18</f>
        <v>4.5015492063492073E-3</v>
      </c>
      <c r="E9" s="24">
        <f>(('Group Mean Concentrations'!C7/1000)*('Exposure &amp; Toxicity Inputs'!C5/1000)*'Exposure &amp; Toxicity Inputs'!C6*'Exposure &amp; Toxicity Inputs'!C7)/('Exposure &amp; Toxicity Inputs'!C4*'Exposure &amp; Toxicity Inputs'!C8)/'Exposure &amp; Toxicity Inputs'!B18</f>
        <v>1.0503614814814816E-2</v>
      </c>
      <c r="F9" s="24">
        <f>(('Group Mean Concentrations'!D7/1000)*('Exposure &amp; Toxicity Inputs'!B5/1000)*'Exposure &amp; Toxicity Inputs'!B6*'Exposure &amp; Toxicity Inputs'!B7)/('Exposure &amp; Toxicity Inputs'!B4*'Exposure &amp; Toxicity Inputs'!B8)/'Exposure &amp; Toxicity Inputs'!B18</f>
        <v>6.9818412698412716E-3</v>
      </c>
      <c r="G9" s="24">
        <f>(('Group Mean Concentrations'!D7/1000)*('Exposure &amp; Toxicity Inputs'!C5/1000)*'Exposure &amp; Toxicity Inputs'!C6*'Exposure &amp; Toxicity Inputs'!C7)/('Exposure &amp; Toxicity Inputs'!C4*'Exposure &amp; Toxicity Inputs'!C8)/'Exposure &amp; Toxicity Inputs'!B18</f>
        <v>1.6290962962962965E-2</v>
      </c>
      <c r="H9" s="24">
        <f>(('Group Mean Concentrations'!E7/1000)*('Exposure &amp; Toxicity Inputs'!B5/1000)*'Exposure &amp; Toxicity Inputs'!B6*'Exposure &amp; Toxicity Inputs'!B7)/('Exposure &amp; Toxicity Inputs'!B4*'Exposure &amp; Toxicity Inputs'!B8)/'Exposure &amp; Toxicity Inputs'!B18</f>
        <v>3.0617206349206351E-3</v>
      </c>
      <c r="I9" s="24">
        <f>(('Group Mean Concentrations'!E7/1000)*('Exposure &amp; Toxicity Inputs'!C5/1000)*'Exposure &amp; Toxicity Inputs'!C6*'Exposure &amp; Toxicity Inputs'!C7)/('Exposure &amp; Toxicity Inputs'!C4*'Exposure &amp; Toxicity Inputs'!C8)/'Exposure &amp; Toxicity Inputs'!B18</f>
        <v>7.1440148148148152E-3</v>
      </c>
      <c r="J9" s="24">
        <f>(('Group Mean Concentrations'!F7/1000)*('Exposure &amp; Toxicity Inputs'!B5/1000)*'Exposure &amp; Toxicity Inputs'!B6*'Exposure &amp; Toxicity Inputs'!B7)/('Exposure &amp; Toxicity Inputs'!B4*'Exposure &amp; Toxicity Inputs'!B8)/'Exposure &amp; Toxicity Inputs'!B18</f>
        <v>5.0280063492063494E-3</v>
      </c>
      <c r="K9" s="24">
        <f>(('Group Mean Concentrations'!F7/1000)*('Exposure &amp; Toxicity Inputs'!C5/1000)*'Exposure &amp; Toxicity Inputs'!C6*'Exposure &amp; Toxicity Inputs'!C7)/('Exposure &amp; Toxicity Inputs'!C4*'Exposure &amp; Toxicity Inputs'!C8)/'Exposure &amp; Toxicity Inputs'!B18</f>
        <v>1.1732014814814814E-2</v>
      </c>
      <c r="L9" s="24">
        <f>(('Group Mean Concentrations'!G7/1000)*('Exposure &amp; Toxicity Inputs'!B5/1000)*'Exposure &amp; Toxicity Inputs'!B6*'Exposure &amp; Toxicity Inputs'!B7)/('Exposure &amp; Toxicity Inputs'!B4*'Exposure &amp; Toxicity Inputs'!B8)/'Exposure &amp; Toxicity Inputs'!B18</f>
        <v>6.9393206349206349E-3</v>
      </c>
      <c r="M9" s="24">
        <f>(('Group Mean Concentrations'!G7/1000)*('Exposure &amp; Toxicity Inputs'!C5/1000)*'Exposure &amp; Toxicity Inputs'!C6*'Exposure &amp; Toxicity Inputs'!C7)/('Exposure &amp; Toxicity Inputs'!C4*'Exposure &amp; Toxicity Inputs'!C8)/'Exposure &amp; Toxicity Inputs'!B18</f>
        <v>1.6191748148148149E-2</v>
      </c>
      <c r="N9" s="24">
        <f>(('Group Mean Concentrations'!H7/1000)*('Exposure &amp; Toxicity Inputs'!B5/1000)*'Exposure &amp; Toxicity Inputs'!B6*'Exposure &amp; Toxicity Inputs'!B7)/('Exposure &amp; Toxicity Inputs'!B4*'Exposure &amp; Toxicity Inputs'!B8)/'Exposure &amp; Toxicity Inputs'!B18</f>
        <v>5.0096825396825379E-3</v>
      </c>
      <c r="O9" s="24">
        <f>(('Group Mean Concentrations'!H7/1000)*('Exposure &amp; Toxicity Inputs'!C5/1000)*'Exposure &amp; Toxicity Inputs'!C6*'Exposure &amp; Toxicity Inputs'!C7)/('Exposure &amp; Toxicity Inputs'!C4*'Exposure &amp; Toxicity Inputs'!C8)/'Exposure &amp; Toxicity Inputs'!B18</f>
        <v>1.1689259259259255E-2</v>
      </c>
    </row>
    <row r="10" spans="1:15" ht="15" customHeight="1" x14ac:dyDescent="0.25">
      <c r="A10" s="15" t="s">
        <v>29</v>
      </c>
      <c r="B10" s="24">
        <f>(('Group Mean Concentrations'!B8/1000)*('Exposure &amp; Toxicity Inputs'!B5/1000)*'Exposure &amp; Toxicity Inputs'!B6*'Exposure &amp; Toxicity Inputs'!B7)/('Exposure &amp; Toxicity Inputs'!B4*'Exposure &amp; Toxicity Inputs'!B8)/'Exposure &amp; Toxicity Inputs'!B19</f>
        <v>4.0056317460317459E-3</v>
      </c>
      <c r="C10" s="24">
        <f>(('Group Mean Concentrations'!B8/1000)*('Exposure &amp; Toxicity Inputs'!C5/1000)*'Exposure &amp; Toxicity Inputs'!C6*'Exposure &amp; Toxicity Inputs'!C7)/('Exposure &amp; Toxicity Inputs'!C4*'Exposure &amp; Toxicity Inputs'!C8)/'Exposure &amp; Toxicity Inputs'!B19</f>
        <v>9.3464740740740737E-3</v>
      </c>
      <c r="D10" s="24">
        <f>(('Group Mean Concentrations'!C8/1000)*('Exposure &amp; Toxicity Inputs'!B5/1000)*'Exposure &amp; Toxicity Inputs'!B6*'Exposure &amp; Toxicity Inputs'!B7)/('Exposure &amp; Toxicity Inputs'!B4*'Exposure &amp; Toxicity Inputs'!B8)/'Exposure &amp; Toxicity Inputs'!B19</f>
        <v>1.0533606349206347E-2</v>
      </c>
      <c r="E10" s="24">
        <f>(('Group Mean Concentrations'!C8/1000)*('Exposure &amp; Toxicity Inputs'!C5/1000)*'Exposure &amp; Toxicity Inputs'!C6*'Exposure &amp; Toxicity Inputs'!C7)/('Exposure &amp; Toxicity Inputs'!C4*'Exposure &amp; Toxicity Inputs'!C8)/'Exposure &amp; Toxicity Inputs'!B19</f>
        <v>2.4578414814814813E-2</v>
      </c>
      <c r="F10" s="24">
        <f>(('Group Mean Concentrations'!D8/1000)*('Exposure &amp; Toxicity Inputs'!B5/1000)*'Exposure &amp; Toxicity Inputs'!B6*'Exposure &amp; Toxicity Inputs'!B7)/('Exposure &amp; Toxicity Inputs'!B4*'Exposure &amp; Toxicity Inputs'!B8)/'Exposure &amp; Toxicity Inputs'!B19</f>
        <v>1.3395409523809522E-2</v>
      </c>
      <c r="G10" s="24">
        <f>(('Group Mean Concentrations'!D8/1000)*('Exposure &amp; Toxicity Inputs'!C5/1000)*'Exposure &amp; Toxicity Inputs'!C6*'Exposure &amp; Toxicity Inputs'!C7)/('Exposure &amp; Toxicity Inputs'!C4*'Exposure &amp; Toxicity Inputs'!C8)/'Exposure &amp; Toxicity Inputs'!B19</f>
        <v>3.1255955555555548E-2</v>
      </c>
      <c r="H10" s="24">
        <f>(('Group Mean Concentrations'!E8/1000)*('Exposure &amp; Toxicity Inputs'!B5/1000)*'Exposure &amp; Toxicity Inputs'!B6*'Exposure &amp; Toxicity Inputs'!B7)/('Exposure &amp; Toxicity Inputs'!B4*'Exposure &amp; Toxicity Inputs'!B8)/'Exposure &amp; Toxicity Inputs'!B19</f>
        <v>6.9942920634920615E-3</v>
      </c>
      <c r="I10" s="24">
        <f>(('Group Mean Concentrations'!E8/1000)*('Exposure &amp; Toxicity Inputs'!C5/1000)*'Exposure &amp; Toxicity Inputs'!C6*'Exposure &amp; Toxicity Inputs'!C7)/('Exposure &amp; Toxicity Inputs'!C4*'Exposure &amp; Toxicity Inputs'!C8)/'Exposure &amp; Toxicity Inputs'!B19</f>
        <v>1.632001481481481E-2</v>
      </c>
      <c r="J10" s="24">
        <f>(('Group Mean Concentrations'!F8/1000)*('Exposure &amp; Toxicity Inputs'!B5/1000)*'Exposure &amp; Toxicity Inputs'!B6*'Exposure &amp; Toxicity Inputs'!B7)/('Exposure &amp; Toxicity Inputs'!B4*'Exposure &amp; Toxicity Inputs'!B8)/'Exposure &amp; Toxicity Inputs'!B19</f>
        <v>9.2314412698412673E-3</v>
      </c>
      <c r="K10" s="24">
        <f>(('Group Mean Concentrations'!F8/1000)*('Exposure &amp; Toxicity Inputs'!C5/1000)*'Exposure &amp; Toxicity Inputs'!C6*'Exposure &amp; Toxicity Inputs'!C7)/('Exposure &amp; Toxicity Inputs'!C4*'Exposure &amp; Toxicity Inputs'!C8)/'Exposure &amp; Toxicity Inputs'!B19</f>
        <v>2.1540029629629628E-2</v>
      </c>
      <c r="L10" s="24">
        <f>(('Group Mean Concentrations'!G8/1000)*('Exposure &amp; Toxicity Inputs'!B5/1000)*'Exposure &amp; Toxicity Inputs'!B6*'Exposure &amp; Toxicity Inputs'!B7)/('Exposure &amp; Toxicity Inputs'!B4*'Exposure &amp; Toxicity Inputs'!B8)/'Exposure &amp; Toxicity Inputs'!B19</f>
        <v>1.1708914285714286E-2</v>
      </c>
      <c r="M10" s="24">
        <f>(('Group Mean Concentrations'!G8/1000)*('Exposure &amp; Toxicity Inputs'!C5/1000)*'Exposure &amp; Toxicity Inputs'!C6*'Exposure &amp; Toxicity Inputs'!C7)/('Exposure &amp; Toxicity Inputs'!C4*'Exposure &amp; Toxicity Inputs'!C8)/'Exposure &amp; Toxicity Inputs'!B19</f>
        <v>2.7320800000000003E-2</v>
      </c>
      <c r="N10" s="24">
        <f>(('Group Mean Concentrations'!H8/1000)*('Exposure &amp; Toxicity Inputs'!B5/1000)*'Exposure &amp; Toxicity Inputs'!B6*'Exposure &amp; Toxicity Inputs'!B7)/('Exposure &amp; Toxicity Inputs'!B4*'Exposure &amp; Toxicity Inputs'!B8)/'Exposure &amp; Toxicity Inputs'!B19</f>
        <v>9.3115492063492056E-3</v>
      </c>
      <c r="O10" s="24">
        <f>(('Group Mean Concentrations'!H8/1000)*('Exposure &amp; Toxicity Inputs'!C5/1000)*'Exposure &amp; Toxicity Inputs'!C6*'Exposure &amp; Toxicity Inputs'!C7)/('Exposure &amp; Toxicity Inputs'!C4*'Exposure &amp; Toxicity Inputs'!C8)/'Exposure &amp; Toxicity Inputs'!B19</f>
        <v>2.1726948148148146E-2</v>
      </c>
    </row>
    <row r="11" spans="1:15" ht="15" customHeight="1" x14ac:dyDescent="0.25">
      <c r="A11" s="15" t="s">
        <v>30</v>
      </c>
      <c r="B11" s="24">
        <f>(('Group Mean Concentrations'!B9/1000)*('Exposure &amp; Toxicity Inputs'!B5/1000)*'Exposure &amp; Toxicity Inputs'!B6*'Exposure &amp; Toxicity Inputs'!B7)/('Exposure &amp; Toxicity Inputs'!B4*'Exposure &amp; Toxicity Inputs'!B8)/'Exposure &amp; Toxicity Inputs'!B20</f>
        <v>6.4826349206349191E-3</v>
      </c>
      <c r="C11" s="24">
        <f>(('Group Mean Concentrations'!B9/1000)*('Exposure &amp; Toxicity Inputs'!C5/1000)*'Exposure &amp; Toxicity Inputs'!C6*'Exposure &amp; Toxicity Inputs'!C7)/('Exposure &amp; Toxicity Inputs'!C4*'Exposure &amp; Toxicity Inputs'!C8)/'Exposure &amp; Toxicity Inputs'!B20</f>
        <v>1.5126148148148142E-2</v>
      </c>
      <c r="D11" s="24">
        <f>(('Group Mean Concentrations'!C9/1000)*('Exposure &amp; Toxicity Inputs'!B5/1000)*'Exposure &amp; Toxicity Inputs'!B6*'Exposure &amp; Toxicity Inputs'!B7)/('Exposure &amp; Toxicity Inputs'!B4*'Exposure &amp; Toxicity Inputs'!B8)/'Exposure &amp; Toxicity Inputs'!B20</f>
        <v>8.749149206349208E-3</v>
      </c>
      <c r="E11" s="24">
        <f>(('Group Mean Concentrations'!C9/1000)*('Exposure &amp; Toxicity Inputs'!C5/1000)*'Exposure &amp; Toxicity Inputs'!C6*'Exposure &amp; Toxicity Inputs'!C7)/('Exposure &amp; Toxicity Inputs'!C4*'Exposure &amp; Toxicity Inputs'!C8)/'Exposure &amp; Toxicity Inputs'!B20</f>
        <v>2.041468148148148E-2</v>
      </c>
      <c r="F11" s="24">
        <f>(('Group Mean Concentrations'!D9/1000)*('Exposure &amp; Toxicity Inputs'!B5/1000)*'Exposure &amp; Toxicity Inputs'!B6*'Exposure &amp; Toxicity Inputs'!B7)/('Exposure &amp; Toxicity Inputs'!B4*'Exposure &amp; Toxicity Inputs'!B8)/'Exposure &amp; Toxicity Inputs'!B20</f>
        <v>1.3308253968253969E-2</v>
      </c>
      <c r="G11" s="24">
        <f>(('Group Mean Concentrations'!D9/1000)*('Exposure &amp; Toxicity Inputs'!C5/1000)*'Exposure &amp; Toxicity Inputs'!C6*'Exposure &amp; Toxicity Inputs'!C7)/('Exposure &amp; Toxicity Inputs'!C4*'Exposure &amp; Toxicity Inputs'!C8)/'Exposure &amp; Toxicity Inputs'!B20</f>
        <v>3.105259259259259E-2</v>
      </c>
      <c r="H11" s="24">
        <f>(('Group Mean Concentrations'!E9/1000)*('Exposure &amp; Toxicity Inputs'!B5/1000)*'Exposure &amp; Toxicity Inputs'!B6*'Exposure &amp; Toxicity Inputs'!B7)/('Exposure &amp; Toxicity Inputs'!B4*'Exposure &amp; Toxicity Inputs'!B8)/'Exposure &amp; Toxicity Inputs'!B20</f>
        <v>7.4218476190476201E-3</v>
      </c>
      <c r="I11" s="24">
        <f>(('Group Mean Concentrations'!E9/1000)*('Exposure &amp; Toxicity Inputs'!C5/1000)*'Exposure &amp; Toxicity Inputs'!C6*'Exposure &amp; Toxicity Inputs'!C7)/('Exposure &amp; Toxicity Inputs'!C4*'Exposure &amp; Toxicity Inputs'!C8)/'Exposure &amp; Toxicity Inputs'!B20</f>
        <v>1.7317644444444447E-2</v>
      </c>
      <c r="J11" s="24">
        <f>(('Group Mean Concentrations'!F9/1000)*('Exposure &amp; Toxicity Inputs'!B5/1000)*'Exposure &amp; Toxicity Inputs'!B6*'Exposure &amp; Toxicity Inputs'!B7)/('Exposure &amp; Toxicity Inputs'!B4*'Exposure &amp; Toxicity Inputs'!B8)/'Exposure &amp; Toxicity Inputs'!B20</f>
        <v>7.5618603174603168E-3</v>
      </c>
      <c r="K11" s="24">
        <f>(('Group Mean Concentrations'!F9/1000)*('Exposure &amp; Toxicity Inputs'!C5/1000)*'Exposure &amp; Toxicity Inputs'!C6*'Exposure &amp; Toxicity Inputs'!C7)/('Exposure &amp; Toxicity Inputs'!C4*'Exposure &amp; Toxicity Inputs'!C8)/'Exposure &amp; Toxicity Inputs'!B20</f>
        <v>1.7644340740740741E-2</v>
      </c>
      <c r="L11" s="24">
        <f>(('Group Mean Concentrations'!G9/1000)*('Exposure &amp; Toxicity Inputs'!B5/1000)*'Exposure &amp; Toxicity Inputs'!B6*'Exposure &amp; Toxicity Inputs'!B7)/('Exposure &amp; Toxicity Inputs'!B4*'Exposure &amp; Toxicity Inputs'!B8)/'Exposure &amp; Toxicity Inputs'!B20</f>
        <v>1.3556330158730158E-2</v>
      </c>
      <c r="M11" s="24">
        <f>(('Group Mean Concentrations'!G9/1000)*('Exposure &amp; Toxicity Inputs'!C5/1000)*'Exposure &amp; Toxicity Inputs'!C6*'Exposure &amp; Toxicity Inputs'!C7)/('Exposure &amp; Toxicity Inputs'!C4*'Exposure &amp; Toxicity Inputs'!C8)/'Exposure &amp; Toxicity Inputs'!B20</f>
        <v>3.1631437037037032E-2</v>
      </c>
      <c r="N11" s="24">
        <f>(('Group Mean Concentrations'!H9/1000)*('Exposure &amp; Toxicity Inputs'!B5/1000)*'Exposure &amp; Toxicity Inputs'!B6*'Exposure &amp; Toxicity Inputs'!B7)/('Exposure &amp; Toxicity Inputs'!B4*'Exposure &amp; Toxicity Inputs'!B8)/'Exposure &amp; Toxicity Inputs'!B20</f>
        <v>9.5133460317460301E-3</v>
      </c>
      <c r="O11" s="24">
        <f>(('Group Mean Concentrations'!H9/1000)*('Exposure &amp; Toxicity Inputs'!C5/1000)*'Exposure &amp; Toxicity Inputs'!C6*'Exposure &amp; Toxicity Inputs'!C7)/('Exposure &amp; Toxicity Inputs'!C4*'Exposure &amp; Toxicity Inputs'!C8)/'Exposure &amp; Toxicity Inputs'!B20</f>
        <v>2.2197807407407406E-2</v>
      </c>
    </row>
    <row r="12" spans="1:15" ht="15" customHeight="1" x14ac:dyDescent="0.25">
      <c r="A12" s="15" t="s">
        <v>31</v>
      </c>
      <c r="B12" s="24">
        <f>(('Group Mean Concentrations'!B10/1000)*('Exposure &amp; Toxicity Inputs'!B5/1000)*'Exposure &amp; Toxicity Inputs'!B6*'Exposure &amp; Toxicity Inputs'!B7)/('Exposure &amp; Toxicity Inputs'!B4*'Exposure &amp; Toxicity Inputs'!B8)/'Exposure &amp; Toxicity Inputs'!B21</f>
        <v>7.5033650793650802E-3</v>
      </c>
      <c r="C12" s="24">
        <f>(('Group Mean Concentrations'!B10/1000)*('Exposure &amp; Toxicity Inputs'!C5/1000)*'Exposure &amp; Toxicity Inputs'!C6*'Exposure &amp; Toxicity Inputs'!C7)/('Exposure &amp; Toxicity Inputs'!C4*'Exposure &amp; Toxicity Inputs'!C8)/'Exposure &amp; Toxicity Inputs'!B21</f>
        <v>1.7507851851851854E-2</v>
      </c>
      <c r="D12" s="24">
        <f>(('Group Mean Concentrations'!C10/1000)*('Exposure &amp; Toxicity Inputs'!B5/1000)*'Exposure &amp; Toxicity Inputs'!B6*'Exposure &amp; Toxicity Inputs'!B7)/('Exposure &amp; Toxicity Inputs'!B4*'Exposure &amp; Toxicity Inputs'!B8)/'Exposure &amp; Toxicity Inputs'!B21</f>
        <v>6.4869417989417968E-3</v>
      </c>
      <c r="E12" s="24">
        <f>(('Group Mean Concentrations'!C10/1000)*('Exposure &amp; Toxicity Inputs'!C5/1000)*'Exposure &amp; Toxicity Inputs'!C6*'Exposure &amp; Toxicity Inputs'!C7)/('Exposure &amp; Toxicity Inputs'!C4*'Exposure &amp; Toxicity Inputs'!C8)/'Exposure &amp; Toxicity Inputs'!B21</f>
        <v>1.5136197530864193E-2</v>
      </c>
      <c r="F12" s="24">
        <f>(('Group Mean Concentrations'!D10/1000)*('Exposure &amp; Toxicity Inputs'!B5/1000)*'Exposure &amp; Toxicity Inputs'!B6*'Exposure &amp; Toxicity Inputs'!B7)/('Exposure &amp; Toxicity Inputs'!B4*'Exposure &amp; Toxicity Inputs'!B8)/'Exposure &amp; Toxicity Inputs'!B21</f>
        <v>1.3204105820105824E-2</v>
      </c>
      <c r="G12" s="24">
        <f>(('Group Mean Concentrations'!D10/1000)*('Exposure &amp; Toxicity Inputs'!C5/1000)*'Exposure &amp; Toxicity Inputs'!C6*'Exposure &amp; Toxicity Inputs'!C7)/('Exposure &amp; Toxicity Inputs'!C4*'Exposure &amp; Toxicity Inputs'!C8)/'Exposure &amp; Toxicity Inputs'!B21</f>
        <v>3.0809580246913583E-2</v>
      </c>
      <c r="H12" s="24">
        <f>(('Group Mean Concentrations'!E10/1000)*('Exposure &amp; Toxicity Inputs'!B5/1000)*'Exposure &amp; Toxicity Inputs'!B6*'Exposure &amp; Toxicity Inputs'!B7)/('Exposure &amp; Toxicity Inputs'!B4*'Exposure &amp; Toxicity Inputs'!B8)/'Exposure &amp; Toxicity Inputs'!B21</f>
        <v>5.2269841269841268E-3</v>
      </c>
      <c r="I12" s="24">
        <f>(('Group Mean Concentrations'!E10/1000)*('Exposure &amp; Toxicity Inputs'!C5/1000)*'Exposure &amp; Toxicity Inputs'!C6*'Exposure &amp; Toxicity Inputs'!C7)/('Exposure &amp; Toxicity Inputs'!C4*'Exposure &amp; Toxicity Inputs'!C8)/'Exposure &amp; Toxicity Inputs'!B21</f>
        <v>1.2196296296296299E-2</v>
      </c>
      <c r="J12" s="24">
        <f>(('Group Mean Concentrations'!F10/1000)*('Exposure &amp; Toxicity Inputs'!B5/1000)*'Exposure &amp; Toxicity Inputs'!B6*'Exposure &amp; Toxicity Inputs'!B7)/('Exposure &amp; Toxicity Inputs'!B4*'Exposure &amp; Toxicity Inputs'!B8)/'Exposure &amp; Toxicity Inputs'!B21</f>
        <v>6.4274285714285726E-3</v>
      </c>
      <c r="K12" s="24">
        <f>(('Group Mean Concentrations'!F10/1000)*('Exposure &amp; Toxicity Inputs'!C5/1000)*'Exposure &amp; Toxicity Inputs'!C6*'Exposure &amp; Toxicity Inputs'!C7)/('Exposure &amp; Toxicity Inputs'!C4*'Exposure &amp; Toxicity Inputs'!C8)/'Exposure &amp; Toxicity Inputs'!B21</f>
        <v>1.4997333333333335E-2</v>
      </c>
      <c r="L12" s="24">
        <f>(('Group Mean Concentrations'!G10/1000)*('Exposure &amp; Toxicity Inputs'!B5/1000)*'Exposure &amp; Toxicity Inputs'!B6*'Exposure &amp; Toxicity Inputs'!B7)/('Exposure &amp; Toxicity Inputs'!B4*'Exposure &amp; Toxicity Inputs'!B8)/'Exposure &amp; Toxicity Inputs'!B21</f>
        <v>1.5540000000000003E-2</v>
      </c>
      <c r="M12" s="24">
        <f>(('Group Mean Concentrations'!G10/1000)*('Exposure &amp; Toxicity Inputs'!C5/1000)*'Exposure &amp; Toxicity Inputs'!C6*'Exposure &amp; Toxicity Inputs'!C7)/('Exposure &amp; Toxicity Inputs'!C4*'Exposure &amp; Toxicity Inputs'!C8)/'Exposure &amp; Toxicity Inputs'!B21</f>
        <v>3.6260000000000001E-2</v>
      </c>
      <c r="N12" s="24">
        <f>(('Group Mean Concentrations'!H10/1000)*('Exposure &amp; Toxicity Inputs'!B5/1000)*'Exposure &amp; Toxicity Inputs'!B6*'Exposure &amp; Toxicity Inputs'!B7)/('Exposure &amp; Toxicity Inputs'!B4*'Exposure &amp; Toxicity Inputs'!B8)/'Exposure &amp; Toxicity Inputs'!B21</f>
        <v>9.0648042328042334E-3</v>
      </c>
      <c r="O12" s="24">
        <f>(('Group Mean Concentrations'!H10/1000)*('Exposure &amp; Toxicity Inputs'!C5/1000)*'Exposure &amp; Toxicity Inputs'!C6*'Exposure &amp; Toxicity Inputs'!C7)/('Exposure &amp; Toxicity Inputs'!C4*'Exposure &amp; Toxicity Inputs'!C8)/'Exposure &amp; Toxicity Inputs'!B21</f>
        <v>2.1151209876543214E-2</v>
      </c>
    </row>
    <row r="13" spans="1:15" ht="15" customHeight="1" x14ac:dyDescent="0.25">
      <c r="A13" s="15" t="s">
        <v>32</v>
      </c>
      <c r="B13" s="24">
        <f>(('Group Mean Concentrations'!B11/1000)*('Exposure &amp; Toxicity Inputs'!B5/1000)*'Exposure &amp; Toxicity Inputs'!B6*'Exposure &amp; Toxicity Inputs'!B7)/('Exposure &amp; Toxicity Inputs'!B4*'Exposure &amp; Toxicity Inputs'!B8)/'Exposure &amp; Toxicity Inputs'!B22</f>
        <v>1.3557661375661372E-2</v>
      </c>
      <c r="C13" s="24">
        <f>(('Group Mean Concentrations'!B11/1000)*('Exposure &amp; Toxicity Inputs'!C5/1000)*'Exposure &amp; Toxicity Inputs'!C6*'Exposure &amp; Toxicity Inputs'!C7)/('Exposure &amp; Toxicity Inputs'!C4*'Exposure &amp; Toxicity Inputs'!C8)/'Exposure &amp; Toxicity Inputs'!B22</f>
        <v>3.1634543209876541E-2</v>
      </c>
      <c r="D13" s="24">
        <f>(('Group Mean Concentrations'!C11/1000)*('Exposure &amp; Toxicity Inputs'!B5/1000)*'Exposure &amp; Toxicity Inputs'!B6*'Exposure &amp; Toxicity Inputs'!B7)/('Exposure &amp; Toxicity Inputs'!B4*'Exposure &amp; Toxicity Inputs'!B8)/'Exposure &amp; Toxicity Inputs'!B22</f>
        <v>1.8180116402116395E-2</v>
      </c>
      <c r="E13" s="24">
        <f>(('Group Mean Concentrations'!C11/1000)*('Exposure &amp; Toxicity Inputs'!C5/1000)*'Exposure &amp; Toxicity Inputs'!C6*'Exposure &amp; Toxicity Inputs'!C7)/('Exposure &amp; Toxicity Inputs'!C4*'Exposure &amp; Toxicity Inputs'!C8)/'Exposure &amp; Toxicity Inputs'!B22</f>
        <v>4.2420271604938262E-2</v>
      </c>
      <c r="F13" s="24">
        <f>(('Group Mean Concentrations'!D11/1000)*('Exposure &amp; Toxicity Inputs'!B5/1000)*'Exposure &amp; Toxicity Inputs'!B6*'Exposure &amp; Toxicity Inputs'!B7)/('Exposure &amp; Toxicity Inputs'!B4*'Exposure &amp; Toxicity Inputs'!B8)/'Exposure &amp; Toxicity Inputs'!B22</f>
        <v>2.1644021164021161E-2</v>
      </c>
      <c r="G13" s="24">
        <f>(('Group Mean Concentrations'!D11/1000)*('Exposure &amp; Toxicity Inputs'!C5/1000)*'Exposure &amp; Toxicity Inputs'!C6*'Exposure &amp; Toxicity Inputs'!C7)/('Exposure &amp; Toxicity Inputs'!C4*'Exposure &amp; Toxicity Inputs'!C8)/'Exposure &amp; Toxicity Inputs'!B22</f>
        <v>5.0502716049382709E-2</v>
      </c>
      <c r="H13" s="24">
        <f>(('Group Mean Concentrations'!E11/1000)*('Exposure &amp; Toxicity Inputs'!B5/1000)*'Exposure &amp; Toxicity Inputs'!B6*'Exposure &amp; Toxicity Inputs'!B7)/('Exposure &amp; Toxicity Inputs'!B4*'Exposure &amp; Toxicity Inputs'!B8)/'Exposure &amp; Toxicity Inputs'!B22</f>
        <v>1.2750708994708993E-2</v>
      </c>
      <c r="I13" s="24">
        <f>(('Group Mean Concentrations'!E11/1000)*('Exposure &amp; Toxicity Inputs'!C5/1000)*'Exposure &amp; Toxicity Inputs'!C6*'Exposure &amp; Toxicity Inputs'!C7)/('Exposure &amp; Toxicity Inputs'!C4*'Exposure &amp; Toxicity Inputs'!C8)/'Exposure &amp; Toxicity Inputs'!B22</f>
        <v>2.9751654320987649E-2</v>
      </c>
      <c r="J13" s="24">
        <f>(('Group Mean Concentrations'!F11/1000)*('Exposure &amp; Toxicity Inputs'!B5/1000)*'Exposure &amp; Toxicity Inputs'!B6*'Exposure &amp; Toxicity Inputs'!B7)/('Exposure &amp; Toxicity Inputs'!B4*'Exposure &amp; Toxicity Inputs'!B8)/'Exposure &amp; Toxicity Inputs'!B22</f>
        <v>1.9940846560846565E-2</v>
      </c>
      <c r="K13" s="24">
        <f>(('Group Mean Concentrations'!F11/1000)*('Exposure &amp; Toxicity Inputs'!C5/1000)*'Exposure &amp; Toxicity Inputs'!C6*'Exposure &amp; Toxicity Inputs'!C7)/('Exposure &amp; Toxicity Inputs'!C4*'Exposure &amp; Toxicity Inputs'!C8)/'Exposure &amp; Toxicity Inputs'!B22</f>
        <v>4.6528641975308642E-2</v>
      </c>
      <c r="L13" s="24">
        <f>(('Group Mean Concentrations'!G11/1000)*('Exposure &amp; Toxicity Inputs'!B5/1000)*'Exposure &amp; Toxicity Inputs'!B6*'Exposure &amp; Toxicity Inputs'!B7)/('Exposure &amp; Toxicity Inputs'!B4*'Exposure &amp; Toxicity Inputs'!B8)/'Exposure &amp; Toxicity Inputs'!B22</f>
        <v>2.0690243386243385E-2</v>
      </c>
      <c r="M13" s="24">
        <f>(('Group Mean Concentrations'!G11/1000)*('Exposure &amp; Toxicity Inputs'!C5/1000)*'Exposure &amp; Toxicity Inputs'!C6*'Exposure &amp; Toxicity Inputs'!C7)/('Exposure &amp; Toxicity Inputs'!C4*'Exposure &amp; Toxicity Inputs'!C8)/'Exposure &amp; Toxicity Inputs'!B22</f>
        <v>4.8277234567901235E-2</v>
      </c>
      <c r="N13" s="24">
        <f>(('Group Mean Concentrations'!H11/1000)*('Exposure &amp; Toxicity Inputs'!B5/1000)*'Exposure &amp; Toxicity Inputs'!B6*'Exposure &amp; Toxicity Inputs'!B7)/('Exposure &amp; Toxicity Inputs'!B4*'Exposure &amp; Toxicity Inputs'!B8)/'Exposure &amp; Toxicity Inputs'!B22</f>
        <v>1.7793932980599645E-2</v>
      </c>
      <c r="O13" s="24">
        <f>(('Group Mean Concentrations'!H11/1000)*('Exposure &amp; Toxicity Inputs'!C5/1000)*'Exposure &amp; Toxicity Inputs'!C6*'Exposure &amp; Toxicity Inputs'!C7)/('Exposure &amp; Toxicity Inputs'!C4*'Exposure &amp; Toxicity Inputs'!C8)/'Exposure &amp; Toxicity Inputs'!B22</f>
        <v>4.1519176954732499E-2</v>
      </c>
    </row>
    <row r="14" spans="1:15" ht="15" customHeight="1" x14ac:dyDescent="0.25">
      <c r="A14" s="15" t="s">
        <v>33</v>
      </c>
      <c r="B14" s="24">
        <f>(('Group Mean Concentrations'!B12/1000)*('Exposure &amp; Toxicity Inputs'!B5/1000)*'Exposure &amp; Toxicity Inputs'!B6*'Exposure &amp; Toxicity Inputs'!B7)/('Exposure &amp; Toxicity Inputs'!B4*'Exposure &amp; Toxicity Inputs'!B8)/'Exposure &amp; Toxicity Inputs'!B23</f>
        <v>1.7619047619047621E-3</v>
      </c>
      <c r="C14" s="24">
        <f>(('Group Mean Concentrations'!B12/1000)*('Exposure &amp; Toxicity Inputs'!C5/1000)*'Exposure &amp; Toxicity Inputs'!C6*'Exposure &amp; Toxicity Inputs'!C7)/('Exposure &amp; Toxicity Inputs'!C4*'Exposure &amp; Toxicity Inputs'!C8)/'Exposure &amp; Toxicity Inputs'!B23</f>
        <v>4.1111111111111105E-3</v>
      </c>
      <c r="D14" s="24">
        <f>(('Group Mean Concentrations'!C12/1000)*('Exposure &amp; Toxicity Inputs'!B5/1000)*'Exposure &amp; Toxicity Inputs'!B6*'Exposure &amp; Toxicity Inputs'!B7)/('Exposure &amp; Toxicity Inputs'!B4*'Exposure &amp; Toxicity Inputs'!B8)/'Exposure &amp; Toxicity Inputs'!B23</f>
        <v>1.7619047619047621E-3</v>
      </c>
      <c r="E14" s="24">
        <f>(('Group Mean Concentrations'!C12/1000)*('Exposure &amp; Toxicity Inputs'!C5/1000)*'Exposure &amp; Toxicity Inputs'!C6*'Exposure &amp; Toxicity Inputs'!C7)/('Exposure &amp; Toxicity Inputs'!C4*'Exposure &amp; Toxicity Inputs'!C8)/'Exposure &amp; Toxicity Inputs'!B23</f>
        <v>4.1111111111111105E-3</v>
      </c>
      <c r="F14" s="24">
        <f>(('Group Mean Concentrations'!D12/1000)*('Exposure &amp; Toxicity Inputs'!B5/1000)*'Exposure &amp; Toxicity Inputs'!B6*'Exposure &amp; Toxicity Inputs'!B7)/('Exposure &amp; Toxicity Inputs'!B4*'Exposure &amp; Toxicity Inputs'!B8)/'Exposure &amp; Toxicity Inputs'!B23</f>
        <v>5.9607195767195772E-3</v>
      </c>
      <c r="G14" s="24">
        <f>(('Group Mean Concentrations'!D12/1000)*('Exposure &amp; Toxicity Inputs'!C5/1000)*'Exposure &amp; Toxicity Inputs'!C6*'Exposure &amp; Toxicity Inputs'!C7)/('Exposure &amp; Toxicity Inputs'!C4*'Exposure &amp; Toxicity Inputs'!C8)/'Exposure &amp; Toxicity Inputs'!B23</f>
        <v>1.3908345679012347E-2</v>
      </c>
      <c r="H14" s="24">
        <f>(('Group Mean Concentrations'!E12/1000)*('Exposure &amp; Toxicity Inputs'!B5/1000)*'Exposure &amp; Toxicity Inputs'!B6*'Exposure &amp; Toxicity Inputs'!B7)/('Exposure &amp; Toxicity Inputs'!B4*'Exposure &amp; Toxicity Inputs'!B8)/'Exposure &amp; Toxicity Inputs'!B23</f>
        <v>1.7619047619047621E-3</v>
      </c>
      <c r="I14" s="24">
        <f>(('Group Mean Concentrations'!E12/1000)*('Exposure &amp; Toxicity Inputs'!C5/1000)*'Exposure &amp; Toxicity Inputs'!C6*'Exposure &amp; Toxicity Inputs'!C7)/('Exposure &amp; Toxicity Inputs'!C4*'Exposure &amp; Toxicity Inputs'!C8)/'Exposure &amp; Toxicity Inputs'!B23</f>
        <v>4.1111111111111105E-3</v>
      </c>
      <c r="J14" s="24">
        <f>(('Group Mean Concentrations'!F12/1000)*('Exposure &amp; Toxicity Inputs'!B5/1000)*'Exposure &amp; Toxicity Inputs'!B6*'Exposure &amp; Toxicity Inputs'!B7)/('Exposure &amp; Toxicity Inputs'!B4*'Exposure &amp; Toxicity Inputs'!B8)/'Exposure &amp; Toxicity Inputs'!B23</f>
        <v>3.3785502645502642E-3</v>
      </c>
      <c r="K14" s="24">
        <f>(('Group Mean Concentrations'!F12/1000)*('Exposure &amp; Toxicity Inputs'!C5/1000)*'Exposure &amp; Toxicity Inputs'!C6*'Exposure &amp; Toxicity Inputs'!C7)/('Exposure &amp; Toxicity Inputs'!C4*'Exposure &amp; Toxicity Inputs'!C8)/'Exposure &amp; Toxicity Inputs'!B23</f>
        <v>7.8832839506172824E-3</v>
      </c>
      <c r="L14" s="24">
        <f>(('Group Mean Concentrations'!G12/1000)*('Exposure &amp; Toxicity Inputs'!B5/1000)*'Exposure &amp; Toxicity Inputs'!B6*'Exposure &amp; Toxicity Inputs'!B7)/('Exposure &amp; Toxicity Inputs'!B4*'Exposure &amp; Toxicity Inputs'!B8)/'Exposure &amp; Toxicity Inputs'!B23</f>
        <v>4.344074074074074E-3</v>
      </c>
      <c r="M14" s="24">
        <f>(('Group Mean Concentrations'!G12/1000)*('Exposure &amp; Toxicity Inputs'!C5/1000)*'Exposure &amp; Toxicity Inputs'!C6*'Exposure &amp; Toxicity Inputs'!C7)/('Exposure &amp; Toxicity Inputs'!C4*'Exposure &amp; Toxicity Inputs'!C8)/'Exposure &amp; Toxicity Inputs'!B23</f>
        <v>1.0136172839506173E-2</v>
      </c>
      <c r="N14" s="24">
        <f>(('Group Mean Concentrations'!H12/1000)*('Exposure &amp; Toxicity Inputs'!B5/1000)*'Exposure &amp; Toxicity Inputs'!B6*'Exposure &amp; Toxicity Inputs'!B7)/('Exposure &amp; Toxicity Inputs'!B4*'Exposure &amp; Toxicity Inputs'!B8)/'Exposure &amp; Toxicity Inputs'!B23</f>
        <v>3.1615097001763668E-3</v>
      </c>
      <c r="O14" s="24">
        <f>(('Group Mean Concentrations'!H12/1000)*('Exposure &amp; Toxicity Inputs'!C5/1000)*'Exposure &amp; Toxicity Inputs'!C6*'Exposure &amp; Toxicity Inputs'!C7)/('Exposure &amp; Toxicity Inputs'!C4*'Exposure &amp; Toxicity Inputs'!C8)/'Exposure &amp; Toxicity Inputs'!B23</f>
        <v>7.3768559670781891E-3</v>
      </c>
    </row>
    <row r="15" spans="1:15" ht="15" customHeight="1" x14ac:dyDescent="0.25">
      <c r="A15" s="15" t="s">
        <v>34</v>
      </c>
      <c r="B15" s="24">
        <f>(('Group Mean Concentrations'!B13/1000)*('Exposure &amp; Toxicity Inputs'!B5/1000)*'Exposure &amp; Toxicity Inputs'!B6*'Exposure &amp; Toxicity Inputs'!B7)/('Exposure &amp; Toxicity Inputs'!B4*'Exposure &amp; Toxicity Inputs'!B8)/'Exposure &amp; Toxicity Inputs'!B24</f>
        <v>7.9963068783068785E-3</v>
      </c>
      <c r="C15" s="24">
        <f>(('Group Mean Concentrations'!B13/1000)*('Exposure &amp; Toxicity Inputs'!C5/1000)*'Exposure &amp; Toxicity Inputs'!C6*'Exposure &amp; Toxicity Inputs'!C7)/('Exposure &amp; Toxicity Inputs'!C4*'Exposure &amp; Toxicity Inputs'!C8)/'Exposure &amp; Toxicity Inputs'!B24</f>
        <v>1.8658049382716053E-2</v>
      </c>
      <c r="D15" s="24">
        <f>(('Group Mean Concentrations'!C13/1000)*('Exposure &amp; Toxicity Inputs'!B5/1000)*'Exposure &amp; Toxicity Inputs'!B6*'Exposure &amp; Toxicity Inputs'!B7)/('Exposure &amp; Toxicity Inputs'!B4*'Exposure &amp; Toxicity Inputs'!B8)/'Exposure &amp; Toxicity Inputs'!B24</f>
        <v>5.9344867724867717E-3</v>
      </c>
      <c r="E15" s="24">
        <f>(('Group Mean Concentrations'!C13/1000)*('Exposure &amp; Toxicity Inputs'!C5/1000)*'Exposure &amp; Toxicity Inputs'!C6*'Exposure &amp; Toxicity Inputs'!C7)/('Exposure &amp; Toxicity Inputs'!C4*'Exposure &amp; Toxicity Inputs'!C8)/'Exposure &amp; Toxicity Inputs'!B24</f>
        <v>1.3847135802469135E-2</v>
      </c>
      <c r="F15" s="24">
        <f>(('Group Mean Concentrations'!D13/1000)*('Exposure &amp; Toxicity Inputs'!B5/1000)*'Exposure &amp; Toxicity Inputs'!B6*'Exposure &amp; Toxicity Inputs'!B7)/('Exposure &amp; Toxicity Inputs'!B4*'Exposure &amp; Toxicity Inputs'!B8)/'Exposure &amp; Toxicity Inputs'!B24</f>
        <v>1.4960920634920629E-2</v>
      </c>
      <c r="G15" s="24">
        <f>(('Group Mean Concentrations'!D13/1000)*('Exposure &amp; Toxicity Inputs'!C5/1000)*'Exposure &amp; Toxicity Inputs'!C6*'Exposure &amp; Toxicity Inputs'!C7)/('Exposure &amp; Toxicity Inputs'!C4*'Exposure &amp; Toxicity Inputs'!C8)/'Exposure &amp; Toxicity Inputs'!B24</f>
        <v>3.4908814814814809E-2</v>
      </c>
      <c r="H15" s="24">
        <f>(('Group Mean Concentrations'!E13/1000)*('Exposure &amp; Toxicity Inputs'!B5/1000)*'Exposure &amp; Toxicity Inputs'!B6*'Exposure &amp; Toxicity Inputs'!B7)/('Exposure &amp; Toxicity Inputs'!B4*'Exposure &amp; Toxicity Inputs'!B8)/'Exposure &amp; Toxicity Inputs'!B24</f>
        <v>4.4666243386243401E-3</v>
      </c>
      <c r="I15" s="24">
        <f>(('Group Mean Concentrations'!E13/1000)*('Exposure &amp; Toxicity Inputs'!C5/1000)*'Exposure &amp; Toxicity Inputs'!C6*'Exposure &amp; Toxicity Inputs'!C7)/('Exposure &amp; Toxicity Inputs'!C4*'Exposure &amp; Toxicity Inputs'!C8)/'Exposure &amp; Toxicity Inputs'!B24</f>
        <v>1.0422123456790125E-2</v>
      </c>
      <c r="J15" s="24">
        <f>(('Group Mean Concentrations'!F13/1000)*('Exposure &amp; Toxicity Inputs'!B5/1000)*'Exposure &amp; Toxicity Inputs'!B6*'Exposure &amp; Toxicity Inputs'!B7)/('Exposure &amp; Toxicity Inputs'!B4*'Exposure &amp; Toxicity Inputs'!B8)/'Exposure &amp; Toxicity Inputs'!B24</f>
        <v>1.1078465608465609E-2</v>
      </c>
      <c r="K15" s="24">
        <f>(('Group Mean Concentrations'!F13/1000)*('Exposure &amp; Toxicity Inputs'!C5/1000)*'Exposure &amp; Toxicity Inputs'!C6*'Exposure &amp; Toxicity Inputs'!C7)/('Exposure &amp; Toxicity Inputs'!C4*'Exposure &amp; Toxicity Inputs'!C8)/'Exposure &amp; Toxicity Inputs'!B24</f>
        <v>2.5849753086419749E-2</v>
      </c>
      <c r="L15" s="24">
        <f>(('Group Mean Concentrations'!G13/1000)*('Exposure &amp; Toxicity Inputs'!B5/1000)*'Exposure &amp; Toxicity Inputs'!B6*'Exposure &amp; Toxicity Inputs'!B7)/('Exposure &amp; Toxicity Inputs'!B4*'Exposure &amp; Toxicity Inputs'!B8)/'Exposure &amp; Toxicity Inputs'!B24</f>
        <v>1.334662433862434E-2</v>
      </c>
      <c r="M15" s="24">
        <f>(('Group Mean Concentrations'!G13/1000)*('Exposure &amp; Toxicity Inputs'!C5/1000)*'Exposure &amp; Toxicity Inputs'!C6*'Exposure &amp; Toxicity Inputs'!C7)/('Exposure &amp; Toxicity Inputs'!C4*'Exposure &amp; Toxicity Inputs'!C8)/'Exposure &amp; Toxicity Inputs'!B24</f>
        <v>3.1142123456790124E-2</v>
      </c>
      <c r="N15" s="24">
        <f>(('Group Mean Concentrations'!H13/1000)*('Exposure &amp; Toxicity Inputs'!B5/1000)*'Exposure &amp; Toxicity Inputs'!B6*'Exposure &amp; Toxicity Inputs'!B7)/('Exposure &amp; Toxicity Inputs'!B4*'Exposure &amp; Toxicity Inputs'!B8)/'Exposure &amp; Toxicity Inputs'!B24</f>
        <v>9.6305714285714345E-3</v>
      </c>
      <c r="O15" s="24">
        <f>(('Group Mean Concentrations'!H13/1000)*('Exposure &amp; Toxicity Inputs'!C5/1000)*'Exposure &amp; Toxicity Inputs'!C6*'Exposure &amp; Toxicity Inputs'!C7)/('Exposure &amp; Toxicity Inputs'!C4*'Exposure &amp; Toxicity Inputs'!C8)/'Exposure &amp; Toxicity Inputs'!B24</f>
        <v>2.2471333333333343E-2</v>
      </c>
    </row>
    <row r="16" spans="1:15" ht="15" customHeight="1" x14ac:dyDescent="0.25">
      <c r="A16" s="15" t="s">
        <v>35</v>
      </c>
      <c r="B16" s="24">
        <f>(('Group Mean Concentrations'!B14/1000)*('Exposure &amp; Toxicity Inputs'!B5/1000)*'Exposure &amp; Toxicity Inputs'!B6*'Exposure &amp; Toxicity Inputs'!B7)/('Exposure &amp; Toxicity Inputs'!B4*'Exposure &amp; Toxicity Inputs'!B8)/'Exposure &amp; Toxicity Inputs'!B25</f>
        <v>1.7619047619047618E-2</v>
      </c>
      <c r="C16" s="24">
        <f>(('Group Mean Concentrations'!B14/1000)*('Exposure &amp; Toxicity Inputs'!C5/1000)*'Exposure &amp; Toxicity Inputs'!C6*'Exposure &amp; Toxicity Inputs'!C7)/('Exposure &amp; Toxicity Inputs'!C4*'Exposure &amp; Toxicity Inputs'!C8)/'Exposure &amp; Toxicity Inputs'!B25</f>
        <v>4.1111111111111105E-2</v>
      </c>
      <c r="D16" s="24">
        <f>(('Group Mean Concentrations'!C14/1000)*('Exposure &amp; Toxicity Inputs'!B5/1000)*'Exposure &amp; Toxicity Inputs'!B6*'Exposure &amp; Toxicity Inputs'!B7)/('Exposure &amp; Toxicity Inputs'!B4*'Exposure &amp; Toxicity Inputs'!B8)/'Exposure &amp; Toxicity Inputs'!B25</f>
        <v>5.36637037037037E-2</v>
      </c>
      <c r="E16" s="24">
        <f>(('Group Mean Concentrations'!C14/1000)*('Exposure &amp; Toxicity Inputs'!C5/1000)*'Exposure &amp; Toxicity Inputs'!C6*'Exposure &amp; Toxicity Inputs'!C7)/('Exposure &amp; Toxicity Inputs'!C4*'Exposure &amp; Toxicity Inputs'!C8)/'Exposure &amp; Toxicity Inputs'!B25</f>
        <v>0.1252153086419753</v>
      </c>
      <c r="F16" s="24">
        <f>(('Group Mean Concentrations'!D14/1000)*('Exposure &amp; Toxicity Inputs'!B5/1000)*'Exposure &amp; Toxicity Inputs'!B6*'Exposure &amp; Toxicity Inputs'!B7)/('Exposure &amp; Toxicity Inputs'!B4*'Exposure &amp; Toxicity Inputs'!B8)/'Exposure &amp; Toxicity Inputs'!B25</f>
        <v>0.17958507936507934</v>
      </c>
      <c r="G16" s="24">
        <f>(('Group Mean Concentrations'!D14/1000)*('Exposure &amp; Toxicity Inputs'!C5/1000)*'Exposure &amp; Toxicity Inputs'!C6*'Exposure &amp; Toxicity Inputs'!C7)/('Exposure &amp; Toxicity Inputs'!C4*'Exposure &amp; Toxicity Inputs'!C8)/'Exposure &amp; Toxicity Inputs'!B25</f>
        <v>0.41903185185185182</v>
      </c>
      <c r="H16" s="24">
        <f>(('Group Mean Concentrations'!E14/1000)*('Exposure &amp; Toxicity Inputs'!B5/1000)*'Exposure &amp; Toxicity Inputs'!B6*'Exposure &amp; Toxicity Inputs'!B7)/('Exposure &amp; Toxicity Inputs'!B4*'Exposure &amp; Toxicity Inputs'!B8)/'Exposure &amp; Toxicity Inputs'!B25</f>
        <v>6.0061375661375656E-2</v>
      </c>
      <c r="I16" s="24">
        <f>(('Group Mean Concentrations'!E14/1000)*('Exposure &amp; Toxicity Inputs'!C5/1000)*'Exposure &amp; Toxicity Inputs'!C6*'Exposure &amp; Toxicity Inputs'!C7)/('Exposure &amp; Toxicity Inputs'!C4*'Exposure &amp; Toxicity Inputs'!C8)/'Exposure &amp; Toxicity Inputs'!B25</f>
        <v>0.14014320987654316</v>
      </c>
      <c r="J16" s="24">
        <f>(('Group Mean Concentrations'!F14/1000)*('Exposure &amp; Toxicity Inputs'!B5/1000)*'Exposure &amp; Toxicity Inputs'!B6*'Exposure &amp; Toxicity Inputs'!B7)/('Exposure &amp; Toxicity Inputs'!B4*'Exposure &amp; Toxicity Inputs'!B8)/'Exposure &amp; Toxicity Inputs'!B25</f>
        <v>7.4011746031746026E-2</v>
      </c>
      <c r="K16" s="24">
        <f>(('Group Mean Concentrations'!F14/1000)*('Exposure &amp; Toxicity Inputs'!C5/1000)*'Exposure &amp; Toxicity Inputs'!C6*'Exposure &amp; Toxicity Inputs'!C7)/('Exposure &amp; Toxicity Inputs'!C4*'Exposure &amp; Toxicity Inputs'!C8)/'Exposure &amp; Toxicity Inputs'!B25</f>
        <v>0.17269407407407408</v>
      </c>
      <c r="L16" s="24">
        <f>(('Group Mean Concentrations'!G14/1000)*('Exposure &amp; Toxicity Inputs'!B5/1000)*'Exposure &amp; Toxicity Inputs'!B6*'Exposure &amp; Toxicity Inputs'!B7)/('Exposure &amp; Toxicity Inputs'!B4*'Exposure &amp; Toxicity Inputs'!B8)/'Exposure &amp; Toxicity Inputs'!B25</f>
        <v>0.11679470899470898</v>
      </c>
      <c r="M16" s="24">
        <f>(('Group Mean Concentrations'!G14/1000)*('Exposure &amp; Toxicity Inputs'!C5/1000)*'Exposure &amp; Toxicity Inputs'!C6*'Exposure &amp; Toxicity Inputs'!C7)/('Exposure &amp; Toxicity Inputs'!C4*'Exposure &amp; Toxicity Inputs'!C8)/'Exposure &amp; Toxicity Inputs'!B25</f>
        <v>0.27252098765432098</v>
      </c>
      <c r="N16" s="24">
        <f>(('Group Mean Concentrations'!H14/1000)*('Exposure &amp; Toxicity Inputs'!B5/1000)*'Exposure &amp; Toxicity Inputs'!B6*'Exposure &amp; Toxicity Inputs'!B7)/('Exposure &amp; Toxicity Inputs'!B4*'Exposure &amp; Toxicity Inputs'!B8)/'Exposure &amp; Toxicity Inputs'!B25</f>
        <v>8.3622610229276875E-2</v>
      </c>
      <c r="O16" s="24">
        <f>(('Group Mean Concentrations'!H14/1000)*('Exposure &amp; Toxicity Inputs'!C5/1000)*'Exposure &amp; Toxicity Inputs'!C6*'Exposure &amp; Toxicity Inputs'!C7)/('Exposure &amp; Toxicity Inputs'!C4*'Exposure &amp; Toxicity Inputs'!C8)/'Exposure &amp; Toxicity Inputs'!B25</f>
        <v>0.19511942386831274</v>
      </c>
    </row>
    <row r="17" spans="1:15" ht="15" customHeight="1" x14ac:dyDescent="0.25">
      <c r="A17" s="15" t="s">
        <v>36</v>
      </c>
      <c r="B17" s="24">
        <f>(('Group Mean Concentrations'!B15/1000)*('Exposure &amp; Toxicity Inputs'!B5/1000)*'Exposure &amp; Toxicity Inputs'!B6*'Exposure &amp; Toxicity Inputs'!B7)/('Exposure &amp; Toxicity Inputs'!B4*'Exposure &amp; Toxicity Inputs'!B8)/'Exposure &amp; Toxicity Inputs'!B26</f>
        <v>1.057142857142857E-2</v>
      </c>
      <c r="C17" s="24">
        <f>(('Group Mean Concentrations'!B15/1000)*('Exposure &amp; Toxicity Inputs'!C5/1000)*'Exposure &amp; Toxicity Inputs'!C6*'Exposure &amp; Toxicity Inputs'!C7)/('Exposure &amp; Toxicity Inputs'!C4*'Exposure &amp; Toxicity Inputs'!C8)/'Exposure &amp; Toxicity Inputs'!B26</f>
        <v>2.466666666666666E-2</v>
      </c>
      <c r="D17" s="24">
        <f>(('Group Mean Concentrations'!C15/1000)*('Exposure &amp; Toxicity Inputs'!B5/1000)*'Exposure &amp; Toxicity Inputs'!B6*'Exposure &amp; Toxicity Inputs'!B7)/('Exposure &amp; Toxicity Inputs'!B4*'Exposure &amp; Toxicity Inputs'!B8)/'Exposure &amp; Toxicity Inputs'!B26</f>
        <v>8.8720126984126971E-2</v>
      </c>
      <c r="E17" s="24">
        <f>(('Group Mean Concentrations'!C15/1000)*('Exposure &amp; Toxicity Inputs'!C5/1000)*'Exposure &amp; Toxicity Inputs'!C6*'Exposure &amp; Toxicity Inputs'!C7)/('Exposure &amp; Toxicity Inputs'!C4*'Exposure &amp; Toxicity Inputs'!C8)/'Exposure &amp; Toxicity Inputs'!B26</f>
        <v>0.20701362962962963</v>
      </c>
      <c r="F17" s="24">
        <f>(('Group Mean Concentrations'!D15/1000)*('Exposure &amp; Toxicity Inputs'!B5/1000)*'Exposure &amp; Toxicity Inputs'!B6*'Exposure &amp; Toxicity Inputs'!B7)/('Exposure &amp; Toxicity Inputs'!B4*'Exposure &amp; Toxicity Inputs'!B8)/'Exposure &amp; Toxicity Inputs'!B26</f>
        <v>0.13258920634920635</v>
      </c>
      <c r="G17" s="24">
        <f>(('Group Mean Concentrations'!D15/1000)*('Exposure &amp; Toxicity Inputs'!C5/1000)*'Exposure &amp; Toxicity Inputs'!C6*'Exposure &amp; Toxicity Inputs'!C7)/('Exposure &amp; Toxicity Inputs'!C4*'Exposure &amp; Toxicity Inputs'!C8)/'Exposure &amp; Toxicity Inputs'!B26</f>
        <v>0.30937481481481477</v>
      </c>
      <c r="H17" s="24">
        <f>(('Group Mean Concentrations'!E15/1000)*('Exposure &amp; Toxicity Inputs'!B5/1000)*'Exposure &amp; Toxicity Inputs'!B6*'Exposure &amp; Toxicity Inputs'!B7)/('Exposure &amp; Toxicity Inputs'!B4*'Exposure &amp; Toxicity Inputs'!B8)/'Exposure &amp; Toxicity Inputs'!B26</f>
        <v>4.6779746031746026E-2</v>
      </c>
      <c r="I17" s="24">
        <f>(('Group Mean Concentrations'!E15/1000)*('Exposure &amp; Toxicity Inputs'!C5/1000)*'Exposure &amp; Toxicity Inputs'!C6*'Exposure &amp; Toxicity Inputs'!C7)/('Exposure &amp; Toxicity Inputs'!C4*'Exposure &amp; Toxicity Inputs'!C8)/'Exposure &amp; Toxicity Inputs'!B26</f>
        <v>0.10915274074074072</v>
      </c>
      <c r="J17" s="24">
        <f>(('Group Mean Concentrations'!F15/1000)*('Exposure &amp; Toxicity Inputs'!B5/1000)*'Exposure &amp; Toxicity Inputs'!B6*'Exposure &amp; Toxicity Inputs'!B7)/('Exposure &amp; Toxicity Inputs'!B4*'Exposure &amp; Toxicity Inputs'!B8)/'Exposure &amp; Toxicity Inputs'!B26</f>
        <v>8.7324698412698395E-2</v>
      </c>
      <c r="K17" s="24">
        <f>(('Group Mean Concentrations'!F15/1000)*('Exposure &amp; Toxicity Inputs'!C5/1000)*'Exposure &amp; Toxicity Inputs'!C6*'Exposure &amp; Toxicity Inputs'!C7)/('Exposure &amp; Toxicity Inputs'!C4*'Exposure &amp; Toxicity Inputs'!C8)/'Exposure &amp; Toxicity Inputs'!B26</f>
        <v>0.20375762962962957</v>
      </c>
      <c r="L17" s="24">
        <f>(('Group Mean Concentrations'!G15/1000)*('Exposure &amp; Toxicity Inputs'!B5/1000)*'Exposure &amp; Toxicity Inputs'!B6*'Exposure &amp; Toxicity Inputs'!B7)/('Exposure &amp; Toxicity Inputs'!B4*'Exposure &amp; Toxicity Inputs'!B8)/'Exposure &amp; Toxicity Inputs'!B26</f>
        <v>9.7776317460317452E-2</v>
      </c>
      <c r="M17" s="24">
        <f>(('Group Mean Concentrations'!G15/1000)*('Exposure &amp; Toxicity Inputs'!C5/1000)*'Exposure &amp; Toxicity Inputs'!C6*'Exposure &amp; Toxicity Inputs'!C7)/('Exposure &amp; Toxicity Inputs'!C4*'Exposure &amp; Toxicity Inputs'!C8)/'Exposure &amp; Toxicity Inputs'!B26</f>
        <v>0.2281447407407407</v>
      </c>
      <c r="N17" s="24">
        <f>(('Group Mean Concentrations'!H15/1000)*('Exposure &amp; Toxicity Inputs'!B5/1000)*'Exposure &amp; Toxicity Inputs'!B6*'Exposure &amp; Toxicity Inputs'!B7)/('Exposure &amp; Toxicity Inputs'!B4*'Exposure &amp; Toxicity Inputs'!B8)/'Exposure &amp; Toxicity Inputs'!B26</f>
        <v>7.7293587301587308E-2</v>
      </c>
      <c r="O17" s="24">
        <f>(('Group Mean Concentrations'!H15/1000)*('Exposure &amp; Toxicity Inputs'!C5/1000)*'Exposure &amp; Toxicity Inputs'!C6*'Exposure &amp; Toxicity Inputs'!C7)/('Exposure &amp; Toxicity Inputs'!C4*'Exposure &amp; Toxicity Inputs'!C8)/'Exposure &amp; Toxicity Inputs'!B26</f>
        <v>0.18035170370370371</v>
      </c>
    </row>
    <row r="18" spans="1:15" ht="15" customHeight="1" x14ac:dyDescent="0.25">
      <c r="A18" s="15" t="s">
        <v>37</v>
      </c>
      <c r="B18" s="24">
        <f>(('Group Mean Concentrations'!B16/1000)*('Exposure &amp; Toxicity Inputs'!B5/1000)*'Exposure &amp; Toxicity Inputs'!B6*'Exposure &amp; Toxicity Inputs'!B7)/('Exposure &amp; Toxicity Inputs'!B4*'Exposure &amp; Toxicity Inputs'!B8)/'Exposure &amp; Toxicity Inputs'!B27</f>
        <v>1.0571428571428572E-3</v>
      </c>
      <c r="C18" s="24">
        <f>(('Group Mean Concentrations'!B16/1000)*('Exposure &amp; Toxicity Inputs'!C5/1000)*'Exposure &amp; Toxicity Inputs'!C6*'Exposure &amp; Toxicity Inputs'!C7)/('Exposure &amp; Toxicity Inputs'!C4*'Exposure &amp; Toxicity Inputs'!C8)/'Exposure &amp; Toxicity Inputs'!B27</f>
        <v>2.4666666666666661E-3</v>
      </c>
      <c r="D18" s="24">
        <f>(('Group Mean Concentrations'!C16/1000)*('Exposure &amp; Toxicity Inputs'!B5/1000)*'Exposure &amp; Toxicity Inputs'!B6*'Exposure &amp; Toxicity Inputs'!B7)/('Exposure &amp; Toxicity Inputs'!B4*'Exposure &amp; Toxicity Inputs'!B8)/'Exposure &amp; Toxicity Inputs'!B27</f>
        <v>3.1094095238095231E-3</v>
      </c>
      <c r="E18" s="24">
        <f>(('Group Mean Concentrations'!C16/1000)*('Exposure &amp; Toxicity Inputs'!C5/1000)*'Exposure &amp; Toxicity Inputs'!C6*'Exposure &amp; Toxicity Inputs'!C7)/('Exposure &amp; Toxicity Inputs'!C4*'Exposure &amp; Toxicity Inputs'!C8)/'Exposure &amp; Toxicity Inputs'!B27</f>
        <v>7.2552888888888882E-3</v>
      </c>
      <c r="F18" s="24">
        <f>(('Group Mean Concentrations'!D16/1000)*('Exposure &amp; Toxicity Inputs'!B5/1000)*'Exposure &amp; Toxicity Inputs'!B6*'Exposure &amp; Toxicity Inputs'!B7)/('Exposure &amp; Toxicity Inputs'!B4*'Exposure &amp; Toxicity Inputs'!B8)/'Exposure &amp; Toxicity Inputs'!B27</f>
        <v>5.4525079365079368E-3</v>
      </c>
      <c r="G18" s="24">
        <f>(('Group Mean Concentrations'!D16/1000)*('Exposure &amp; Toxicity Inputs'!C5/1000)*'Exposure &amp; Toxicity Inputs'!C6*'Exposure &amp; Toxicity Inputs'!C7)/('Exposure &amp; Toxicity Inputs'!C4*'Exposure &amp; Toxicity Inputs'!C8)/'Exposure &amp; Toxicity Inputs'!B27</f>
        <v>1.2722518518518518E-2</v>
      </c>
      <c r="H18" s="24">
        <f>(('Group Mean Concentrations'!E16/1000)*('Exposure &amp; Toxicity Inputs'!B5/1000)*'Exposure &amp; Toxicity Inputs'!B6*'Exposure &amp; Toxicity Inputs'!B7)/('Exposure &amp; Toxicity Inputs'!B4*'Exposure &amp; Toxicity Inputs'!B8)/'Exposure &amp; Toxicity Inputs'!B27</f>
        <v>2.0066920634920632E-3</v>
      </c>
      <c r="I18" s="24">
        <f>(('Group Mean Concentrations'!E16/1000)*('Exposure &amp; Toxicity Inputs'!C5/1000)*'Exposure &amp; Toxicity Inputs'!C6*'Exposure &amp; Toxicity Inputs'!C7)/('Exposure &amp; Toxicity Inputs'!C4*'Exposure &amp; Toxicity Inputs'!C8)/'Exposure &amp; Toxicity Inputs'!B27</f>
        <v>4.6822814814814805E-3</v>
      </c>
      <c r="J18" s="24">
        <f>(('Group Mean Concentrations'!F16/1000)*('Exposure &amp; Toxicity Inputs'!B5/1000)*'Exposure &amp; Toxicity Inputs'!B6*'Exposure &amp; Toxicity Inputs'!B7)/('Exposure &amp; Toxicity Inputs'!B4*'Exposure &amp; Toxicity Inputs'!B8)/'Exposure &amp; Toxicity Inputs'!B27</f>
        <v>3.3680571428571422E-3</v>
      </c>
      <c r="K18" s="24">
        <f>(('Group Mean Concentrations'!F16/1000)*('Exposure &amp; Toxicity Inputs'!C5/1000)*'Exposure &amp; Toxicity Inputs'!C6*'Exposure &amp; Toxicity Inputs'!C7)/('Exposure &amp; Toxicity Inputs'!C4*'Exposure &amp; Toxicity Inputs'!C8)/'Exposure &amp; Toxicity Inputs'!B27</f>
        <v>7.8587999999999991E-3</v>
      </c>
      <c r="L18" s="24">
        <f>(('Group Mean Concentrations'!G16/1000)*('Exposure &amp; Toxicity Inputs'!B5/1000)*'Exposure &amp; Toxicity Inputs'!B6*'Exposure &amp; Toxicity Inputs'!B7)/('Exposure &amp; Toxicity Inputs'!B4*'Exposure &amp; Toxicity Inputs'!B8)/'Exposure &amp; Toxicity Inputs'!B27</f>
        <v>4.2443111111111105E-3</v>
      </c>
      <c r="M18" s="24">
        <f>(('Group Mean Concentrations'!G16/1000)*('Exposure &amp; Toxicity Inputs'!C5/1000)*'Exposure &amp; Toxicity Inputs'!C6*'Exposure &amp; Toxicity Inputs'!C7)/('Exposure &amp; Toxicity Inputs'!C4*'Exposure &amp; Toxicity Inputs'!C8)/'Exposure &amp; Toxicity Inputs'!B27</f>
        <v>9.9033925925925918E-3</v>
      </c>
      <c r="N18" s="24">
        <f>(('Group Mean Concentrations'!H16/1000)*('Exposure &amp; Toxicity Inputs'!B5/1000)*'Exposure &amp; Toxicity Inputs'!B6*'Exposure &amp; Toxicity Inputs'!B7)/('Exposure &amp; Toxicity Inputs'!B4*'Exposure &amp; Toxicity Inputs'!B8)/'Exposure &amp; Toxicity Inputs'!B27</f>
        <v>3.2063534391534388E-3</v>
      </c>
      <c r="O18" s="24">
        <f>(('Group Mean Concentrations'!H16/1000)*('Exposure &amp; Toxicity Inputs'!C5/1000)*'Exposure &amp; Toxicity Inputs'!C6*'Exposure &amp; Toxicity Inputs'!C7)/('Exposure &amp; Toxicity Inputs'!C4*'Exposure &amp; Toxicity Inputs'!C8)/'Exposure &amp; Toxicity Inputs'!B27</f>
        <v>7.4814913580246905E-3</v>
      </c>
    </row>
    <row r="19" spans="1:15" ht="15" customHeight="1" x14ac:dyDescent="0.25">
      <c r="A19" s="15" t="s">
        <v>38</v>
      </c>
      <c r="B19" s="24">
        <f>(('Group Mean Concentrations'!B17/1000)*('Exposure &amp; Toxicity Inputs'!B5/1000)*'Exposure &amp; Toxicity Inputs'!B6*'Exposure &amp; Toxicity Inputs'!B7)/('Exposure &amp; Toxicity Inputs'!B4*'Exposure &amp; Toxicity Inputs'!B8)/'Exposure &amp; Toxicity Inputs'!B28</f>
        <v>0.11202100122100121</v>
      </c>
      <c r="C19" s="24">
        <f>(('Group Mean Concentrations'!B17/1000)*('Exposure &amp; Toxicity Inputs'!C5/1000)*'Exposure &amp; Toxicity Inputs'!C6*'Exposure &amp; Toxicity Inputs'!C7)/('Exposure &amp; Toxicity Inputs'!C4*'Exposure &amp; Toxicity Inputs'!C8)/'Exposure &amp; Toxicity Inputs'!B28</f>
        <v>0.26138233618233619</v>
      </c>
      <c r="D19" s="24">
        <f>(('Group Mean Concentrations'!C17/1000)*('Exposure &amp; Toxicity Inputs'!B5/1000)*'Exposure &amp; Toxicity Inputs'!B6*'Exposure &amp; Toxicity Inputs'!B7)/('Exposure &amp; Toxicity Inputs'!B4*'Exposure &amp; Toxicity Inputs'!B8)/'Exposure &amp; Toxicity Inputs'!B28</f>
        <v>0.21212429792429796</v>
      </c>
      <c r="E19" s="24">
        <f>(('Group Mean Concentrations'!C17/1000)*('Exposure &amp; Toxicity Inputs'!C5/1000)*'Exposure &amp; Toxicity Inputs'!C6*'Exposure &amp; Toxicity Inputs'!C7)/('Exposure &amp; Toxicity Inputs'!C4*'Exposure &amp; Toxicity Inputs'!C8)/'Exposure &amp; Toxicity Inputs'!B28</f>
        <v>0.49495669515669521</v>
      </c>
      <c r="F19" s="24">
        <f>(('Group Mean Concentrations'!D17/1000)*('Exposure &amp; Toxicity Inputs'!B5/1000)*'Exposure &amp; Toxicity Inputs'!B6*'Exposure &amp; Toxicity Inputs'!B7)/('Exposure &amp; Toxicity Inputs'!B4*'Exposure &amp; Toxicity Inputs'!B8)/'Exposure &amp; Toxicity Inputs'!B28</f>
        <v>0.34117704517704506</v>
      </c>
      <c r="G19" s="24">
        <f>(('Group Mean Concentrations'!D17/1000)*('Exposure &amp; Toxicity Inputs'!C5/1000)*'Exposure &amp; Toxicity Inputs'!C6*'Exposure &amp; Toxicity Inputs'!C7)/('Exposure &amp; Toxicity Inputs'!C4*'Exposure &amp; Toxicity Inputs'!C8)/'Exposure &amp; Toxicity Inputs'!B28</f>
        <v>0.79607977207977187</v>
      </c>
      <c r="H19" s="24">
        <f>(('Group Mean Concentrations'!E17/1000)*('Exposure &amp; Toxicity Inputs'!B5/1000)*'Exposure &amp; Toxicity Inputs'!B6*'Exposure &amp; Toxicity Inputs'!B7)/('Exposure &amp; Toxicity Inputs'!B4*'Exposure &amp; Toxicity Inputs'!B8)/'Exposure &amp; Toxicity Inputs'!B28</f>
        <v>0.11371062271062271</v>
      </c>
      <c r="I19" s="24">
        <f>(('Group Mean Concentrations'!E17/1000)*('Exposure &amp; Toxicity Inputs'!C5/1000)*'Exposure &amp; Toxicity Inputs'!C6*'Exposure &amp; Toxicity Inputs'!C7)/('Exposure &amp; Toxicity Inputs'!C4*'Exposure &amp; Toxicity Inputs'!C8)/'Exposure &amp; Toxicity Inputs'!B28</f>
        <v>0.26532478632478634</v>
      </c>
      <c r="J19" s="24">
        <f>(('Group Mean Concentrations'!F17/1000)*('Exposure &amp; Toxicity Inputs'!B5/1000)*'Exposure &amp; Toxicity Inputs'!B6*'Exposure &amp; Toxicity Inputs'!B7)/('Exposure &amp; Toxicity Inputs'!B4*'Exposure &amp; Toxicity Inputs'!B8)/'Exposure &amp; Toxicity Inputs'!B28</f>
        <v>0.21809670329670333</v>
      </c>
      <c r="K19" s="24">
        <f>(('Group Mean Concentrations'!F17/1000)*('Exposure &amp; Toxicity Inputs'!C5/1000)*'Exposure &amp; Toxicity Inputs'!C6*'Exposure &amp; Toxicity Inputs'!C7)/('Exposure &amp; Toxicity Inputs'!C4*'Exposure &amp; Toxicity Inputs'!C8)/'Exposure &amp; Toxicity Inputs'!B28</f>
        <v>0.50889230769230775</v>
      </c>
      <c r="L19" s="24">
        <f>(('Group Mean Concentrations'!G17/1000)*('Exposure &amp; Toxicity Inputs'!B5/1000)*'Exposure &amp; Toxicity Inputs'!B6*'Exposure &amp; Toxicity Inputs'!B7)/('Exposure &amp; Toxicity Inputs'!B4*'Exposure &amp; Toxicity Inputs'!B8)/'Exposure &amp; Toxicity Inputs'!B28</f>
        <v>0.33351501831501834</v>
      </c>
      <c r="M19" s="24">
        <f>(('Group Mean Concentrations'!G17/1000)*('Exposure &amp; Toxicity Inputs'!C5/1000)*'Exposure &amp; Toxicity Inputs'!C6*'Exposure &amp; Toxicity Inputs'!C7)/('Exposure &amp; Toxicity Inputs'!C4*'Exposure &amp; Toxicity Inputs'!C8)/'Exposure &amp; Toxicity Inputs'!B28</f>
        <v>0.77820170940170952</v>
      </c>
      <c r="N19" s="24">
        <f>(('Group Mean Concentrations'!H17/1000)*('Exposure &amp; Toxicity Inputs'!B5/1000)*'Exposure &amp; Toxicity Inputs'!B6*'Exposure &amp; Toxicity Inputs'!B7)/('Exposure &amp; Toxicity Inputs'!B4*'Exposure &amp; Toxicity Inputs'!B8)/'Exposure &amp; Toxicity Inputs'!B28</f>
        <v>0.22177411477411471</v>
      </c>
      <c r="O19" s="24">
        <f>(('Group Mean Concentrations'!H17/1000)*('Exposure &amp; Toxicity Inputs'!C5/1000)*'Exposure &amp; Toxicity Inputs'!C6*'Exposure &amp; Toxicity Inputs'!C7)/('Exposure &amp; Toxicity Inputs'!C4*'Exposure &amp; Toxicity Inputs'!C8)/'Exposure &amp; Toxicity Inputs'!B28</f>
        <v>0.5174729344729343</v>
      </c>
    </row>
    <row r="20" spans="1:15" ht="15" customHeight="1" x14ac:dyDescent="0.25">
      <c r="A20" s="17" t="s">
        <v>121</v>
      </c>
      <c r="B20" s="25">
        <f t="shared" ref="B20:O20" si="0">SUM(B6:B19)</f>
        <v>0.19162550280830279</v>
      </c>
      <c r="C20" s="25">
        <f t="shared" si="0"/>
        <v>0.4471261732193732</v>
      </c>
      <c r="D20" s="25">
        <f t="shared" si="0"/>
        <v>0.42439216247456246</v>
      </c>
      <c r="E20" s="25">
        <f t="shared" si="0"/>
        <v>0.99024837910731245</v>
      </c>
      <c r="F20" s="25">
        <f t="shared" si="0"/>
        <v>0.76973414570614551</v>
      </c>
      <c r="G20" s="25">
        <f t="shared" si="0"/>
        <v>1.7960463399810063</v>
      </c>
      <c r="H20" s="25">
        <f t="shared" si="0"/>
        <v>0.27088513487993487</v>
      </c>
      <c r="I20" s="25">
        <f t="shared" si="0"/>
        <v>0.63206531471984806</v>
      </c>
      <c r="J20" s="25">
        <f t="shared" si="0"/>
        <v>0.45669885779405783</v>
      </c>
      <c r="K20" s="25">
        <f t="shared" si="0"/>
        <v>1.0656306681861347</v>
      </c>
      <c r="L20" s="25">
        <f t="shared" si="0"/>
        <v>0.65816781831501836</v>
      </c>
      <c r="M20" s="25">
        <f t="shared" si="0"/>
        <v>1.5357249094017096</v>
      </c>
      <c r="N20" s="25">
        <f t="shared" si="0"/>
        <v>0.46191727032967023</v>
      </c>
      <c r="O20" s="25">
        <f t="shared" si="0"/>
        <v>1.0778069641025638</v>
      </c>
    </row>
    <row r="23" spans="1:15" ht="15" customHeight="1" x14ac:dyDescent="0.25">
      <c r="A23" s="3" t="s">
        <v>122</v>
      </c>
    </row>
    <row r="24" spans="1:15" ht="15" customHeight="1" x14ac:dyDescent="0.25">
      <c r="A24" s="4" t="s">
        <v>75</v>
      </c>
      <c r="B24" s="46" t="s">
        <v>41</v>
      </c>
      <c r="C24" s="46"/>
      <c r="D24" s="46" t="s">
        <v>54</v>
      </c>
      <c r="E24" s="46"/>
      <c r="F24" s="46" t="s">
        <v>64</v>
      </c>
      <c r="G24" s="46"/>
      <c r="H24" s="46" t="s">
        <v>46</v>
      </c>
      <c r="I24" s="46"/>
      <c r="J24" s="46" t="s">
        <v>42</v>
      </c>
      <c r="K24" s="46"/>
      <c r="L24" s="46" t="s">
        <v>50</v>
      </c>
      <c r="M24" s="46"/>
      <c r="N24" s="46" t="s">
        <v>84</v>
      </c>
      <c r="O24" s="46"/>
    </row>
    <row r="25" spans="1:15" ht="15" customHeight="1" x14ac:dyDescent="0.25">
      <c r="A25" s="4"/>
      <c r="B25" s="4" t="s">
        <v>89</v>
      </c>
      <c r="C25" s="4" t="s">
        <v>90</v>
      </c>
      <c r="D25" s="4" t="s">
        <v>89</v>
      </c>
      <c r="E25" s="4" t="s">
        <v>90</v>
      </c>
      <c r="F25" s="4" t="s">
        <v>89</v>
      </c>
      <c r="G25" s="4" t="s">
        <v>90</v>
      </c>
      <c r="H25" s="4" t="s">
        <v>89</v>
      </c>
      <c r="I25" s="4" t="s">
        <v>90</v>
      </c>
      <c r="J25" s="4" t="s">
        <v>89</v>
      </c>
      <c r="K25" s="4" t="s">
        <v>90</v>
      </c>
      <c r="L25" s="4" t="s">
        <v>89</v>
      </c>
      <c r="M25" s="4" t="s">
        <v>90</v>
      </c>
      <c r="N25" s="4" t="s">
        <v>89</v>
      </c>
      <c r="O25" s="4" t="s">
        <v>90</v>
      </c>
    </row>
    <row r="26" spans="1:15" ht="15" customHeight="1" x14ac:dyDescent="0.25">
      <c r="A26" s="15" t="s">
        <v>25</v>
      </c>
      <c r="B26" s="26">
        <f>(('Group Mean Concentrations'!B4/1000)*('Exposure &amp; Toxicity Inputs'!B5/1000)*'Exposure &amp; Toxicity Inputs'!B6*'Exposure &amp; Toxicity Inputs'!B7)/('Exposure &amp; Toxicity Inputs'!B4*'Exposure &amp; Toxicity Inputs'!B9)*'Exposure &amp; Toxicity Inputs'!C15</f>
        <v>3.0455580952380958E-7</v>
      </c>
      <c r="C26" s="26">
        <f>(('Group Mean Concentrations'!B4/1000)*('Exposure &amp; Toxicity Inputs'!C5/1000)*'Exposure &amp; Toxicity Inputs'!C6*'Exposure &amp; Toxicity Inputs'!C7)/('Exposure &amp; Toxicity Inputs'!C4*'Exposure &amp; Toxicity Inputs'!B9)*'Exposure &amp; Toxicity Inputs'!C15</f>
        <v>6.0911161904761906E-8</v>
      </c>
      <c r="D26" s="26">
        <f>(('Group Mean Concentrations'!C4/1000)*('Exposure &amp; Toxicity Inputs'!B5/1000)*'Exposure &amp; Toxicity Inputs'!B6*'Exposure &amp; Toxicity Inputs'!B7)/('Exposure &amp; Toxicity Inputs'!B4*'Exposure &amp; Toxicity Inputs'!B9)*'Exposure &amp; Toxicity Inputs'!C15</f>
        <v>5.4924679365079361E-7</v>
      </c>
      <c r="E26" s="26">
        <f>(('Group Mean Concentrations'!C4/1000)*('Exposure &amp; Toxicity Inputs'!C5/1000)*'Exposure &amp; Toxicity Inputs'!C6*'Exposure &amp; Toxicity Inputs'!C7)/('Exposure &amp; Toxicity Inputs'!C4*'Exposure &amp; Toxicity Inputs'!B9)*'Exposure &amp; Toxicity Inputs'!C15</f>
        <v>1.0984935873015874E-7</v>
      </c>
      <c r="F26" s="26">
        <f>(('Group Mean Concentrations'!D4/1000)*('Exposure &amp; Toxicity Inputs'!B5/1000)*'Exposure &amp; Toxicity Inputs'!B6*'Exposure &amp; Toxicity Inputs'!B7)/('Exposure &amp; Toxicity Inputs'!B4*'Exposure &amp; Toxicity Inputs'!B9)*'Exposure &amp; Toxicity Inputs'!C15</f>
        <v>1.2522491428571429E-6</v>
      </c>
      <c r="G26" s="26">
        <f>(('Group Mean Concentrations'!D4/1000)*('Exposure &amp; Toxicity Inputs'!C5/1000)*'Exposure &amp; Toxicity Inputs'!C6*'Exposure &amp; Toxicity Inputs'!C7)/('Exposure &amp; Toxicity Inputs'!C4*'Exposure &amp; Toxicity Inputs'!B9)*'Exposure &amp; Toxicity Inputs'!C15</f>
        <v>2.5044982857142863E-7</v>
      </c>
      <c r="H26" s="26">
        <f>(('Group Mean Concentrations'!E4/1000)*('Exposure &amp; Toxicity Inputs'!B5/1000)*'Exposure &amp; Toxicity Inputs'!B6*'Exposure &amp; Toxicity Inputs'!B7)/('Exposure &amp; Toxicity Inputs'!B4*'Exposure &amp; Toxicity Inputs'!B9)*'Exposure &amp; Toxicity Inputs'!C15</f>
        <v>3.8662533333333343E-7</v>
      </c>
      <c r="I26" s="26">
        <f>(('Group Mean Concentrations'!E4/1000)*('Exposure &amp; Toxicity Inputs'!C5/1000)*'Exposure &amp; Toxicity Inputs'!C6*'Exposure &amp; Toxicity Inputs'!C7)/('Exposure &amp; Toxicity Inputs'!C4*'Exposure &amp; Toxicity Inputs'!B9)*'Exposure &amp; Toxicity Inputs'!C15</f>
        <v>7.7325066666666678E-8</v>
      </c>
      <c r="J26" s="26">
        <f>(('Group Mean Concentrations'!F4/1000)*('Exposure &amp; Toxicity Inputs'!B5/1000)*'Exposure &amp; Toxicity Inputs'!B6*'Exposure &amp; Toxicity Inputs'!B7)/('Exposure &amp; Toxicity Inputs'!B4*'Exposure &amp; Toxicity Inputs'!B9)*'Exposure &amp; Toxicity Inputs'!C15</f>
        <v>6.7868101587301591E-7</v>
      </c>
      <c r="K26" s="26">
        <f>(('Group Mean Concentrations'!F4/1000)*('Exposure &amp; Toxicity Inputs'!C5/1000)*'Exposure &amp; Toxicity Inputs'!C6*'Exposure &amp; Toxicity Inputs'!C7)/('Exposure &amp; Toxicity Inputs'!C4*'Exposure &amp; Toxicity Inputs'!B9)*'Exposure &amp; Toxicity Inputs'!C15</f>
        <v>1.357362031746032E-7</v>
      </c>
      <c r="L26" s="26">
        <f>(('Group Mean Concentrations'!G4/1000)*('Exposure &amp; Toxicity Inputs'!B5/1000)*'Exposure &amp; Toxicity Inputs'!B6*'Exposure &amp; Toxicity Inputs'!B7)/('Exposure &amp; Toxicity Inputs'!B4*'Exposure &amp; Toxicity Inputs'!B9)*'Exposure &amp; Toxicity Inputs'!C15</f>
        <v>1.0407453968253969E-6</v>
      </c>
      <c r="M26" s="26">
        <f>(('Group Mean Concentrations'!G4/1000)*('Exposure &amp; Toxicity Inputs'!C5/1000)*'Exposure &amp; Toxicity Inputs'!C6*'Exposure &amp; Toxicity Inputs'!C7)/('Exposure &amp; Toxicity Inputs'!C4*'Exposure &amp; Toxicity Inputs'!B9)*'Exposure &amp; Toxicity Inputs'!C15</f>
        <v>2.0814907936507939E-7</v>
      </c>
      <c r="N26" s="26">
        <f>(('Group Mean Concentrations'!H4/1000)*('Exposure &amp; Toxicity Inputs'!B5/1000)*'Exposure &amp; Toxicity Inputs'!B6*'Exposure &amp; Toxicity Inputs'!B7)/('Exposure &amp; Toxicity Inputs'!B4*'Exposure &amp; Toxicity Inputs'!B9)*'Exposure &amp; Toxicity Inputs'!C15</f>
        <v>7.0201724867724869E-7</v>
      </c>
      <c r="O26" s="26">
        <f>(('Group Mean Concentrations'!H4/1000)*('Exposure &amp; Toxicity Inputs'!C5/1000)*'Exposure &amp; Toxicity Inputs'!C6*'Exposure &amp; Toxicity Inputs'!C7)/('Exposure &amp; Toxicity Inputs'!C4*'Exposure &amp; Toxicity Inputs'!B9)*'Exposure &amp; Toxicity Inputs'!C15</f>
        <v>1.4040344973544973E-7</v>
      </c>
    </row>
    <row r="27" spans="1:15" ht="15" customHeight="1" x14ac:dyDescent="0.25">
      <c r="A27" s="15" t="s">
        <v>26</v>
      </c>
      <c r="B27" s="26">
        <f>(('Group Mean Concentrations'!B5/1000)*('Exposure &amp; Toxicity Inputs'!B5/1000)*'Exposure &amp; Toxicity Inputs'!B6*'Exposure &amp; Toxicity Inputs'!B7)/('Exposure &amp; Toxicity Inputs'!B4*'Exposure &amp; Toxicity Inputs'!B9)*'Exposure &amp; Toxicity Inputs'!C16</f>
        <v>4.5136241269841265E-7</v>
      </c>
      <c r="C27" s="26">
        <f>(('Group Mean Concentrations'!B5/1000)*('Exposure &amp; Toxicity Inputs'!C5/1000)*'Exposure &amp; Toxicity Inputs'!C6*'Exposure &amp; Toxicity Inputs'!C7)/('Exposure &amp; Toxicity Inputs'!C4*'Exposure &amp; Toxicity Inputs'!B9)*'Exposure &amp; Toxicity Inputs'!C16</f>
        <v>9.0272482539682547E-8</v>
      </c>
      <c r="D27" s="26">
        <f>(('Group Mean Concentrations'!C5/1000)*('Exposure &amp; Toxicity Inputs'!B5/1000)*'Exposure &amp; Toxicity Inputs'!B6*'Exposure &amp; Toxicity Inputs'!B7)/('Exposure &amp; Toxicity Inputs'!B4*'Exposure &amp; Toxicity Inputs'!B9)*'Exposure &amp; Toxicity Inputs'!C16</f>
        <v>1.0776067936507939E-6</v>
      </c>
      <c r="E27" s="26">
        <f>(('Group Mean Concentrations'!C5/1000)*('Exposure &amp; Toxicity Inputs'!C5/1000)*'Exposure &amp; Toxicity Inputs'!C6*'Exposure &amp; Toxicity Inputs'!C7)/('Exposure &amp; Toxicity Inputs'!C4*'Exposure &amp; Toxicity Inputs'!B9)*'Exposure &amp; Toxicity Inputs'!C16</f>
        <v>2.1552135873015878E-7</v>
      </c>
      <c r="F27" s="26">
        <f>(('Group Mean Concentrations'!D5/1000)*('Exposure &amp; Toxicity Inputs'!B5/1000)*'Exposure &amp; Toxicity Inputs'!B6*'Exposure &amp; Toxicity Inputs'!B7)/('Exposure &amp; Toxicity Inputs'!B4*'Exposure &amp; Toxicity Inputs'!B9)*'Exposure &amp; Toxicity Inputs'!C16</f>
        <v>1.4413085714285717E-6</v>
      </c>
      <c r="G27" s="26">
        <f>(('Group Mean Concentrations'!D5/1000)*('Exposure &amp; Toxicity Inputs'!C5/1000)*'Exposure &amp; Toxicity Inputs'!C6*'Exposure &amp; Toxicity Inputs'!C7)/('Exposure &amp; Toxicity Inputs'!C4*'Exposure &amp; Toxicity Inputs'!B9)*'Exposure &amp; Toxicity Inputs'!C16</f>
        <v>2.8826171428571431E-7</v>
      </c>
      <c r="H27" s="26">
        <f>(('Group Mean Concentrations'!E5/1000)*('Exposure &amp; Toxicity Inputs'!B5/1000)*'Exposure &amp; Toxicity Inputs'!B6*'Exposure &amp; Toxicity Inputs'!B7)/('Exposure &amp; Toxicity Inputs'!B4*'Exposure &amp; Toxicity Inputs'!B9)*'Exposure &amp; Toxicity Inputs'!C16</f>
        <v>5.629050793650794E-7</v>
      </c>
      <c r="I27" s="26">
        <f>(('Group Mean Concentrations'!E5/1000)*('Exposure &amp; Toxicity Inputs'!C5/1000)*'Exposure &amp; Toxicity Inputs'!C6*'Exposure &amp; Toxicity Inputs'!C7)/('Exposure &amp; Toxicity Inputs'!C4*'Exposure &amp; Toxicity Inputs'!B9)*'Exposure &amp; Toxicity Inputs'!C16</f>
        <v>1.1258101587301588E-7</v>
      </c>
      <c r="J27" s="26">
        <f>(('Group Mean Concentrations'!F5/1000)*('Exposure &amp; Toxicity Inputs'!B5/1000)*'Exposure &amp; Toxicity Inputs'!B6*'Exposure &amp; Toxicity Inputs'!B7)/('Exposure &amp; Toxicity Inputs'!B4*'Exposure &amp; Toxicity Inputs'!B9)*'Exposure &amp; Toxicity Inputs'!C16</f>
        <v>7.7213244444444437E-7</v>
      </c>
      <c r="K27" s="26">
        <f>(('Group Mean Concentrations'!F5/1000)*('Exposure &amp; Toxicity Inputs'!C5/1000)*'Exposure &amp; Toxicity Inputs'!C6*'Exposure &amp; Toxicity Inputs'!C7)/('Exposure &amp; Toxicity Inputs'!C4*'Exposure &amp; Toxicity Inputs'!B9)*'Exposure &amp; Toxicity Inputs'!C16</f>
        <v>1.5442648888888887E-7</v>
      </c>
      <c r="L27" s="26">
        <f>(('Group Mean Concentrations'!G5/1000)*('Exposure &amp; Toxicity Inputs'!B5/1000)*'Exposure &amp; Toxicity Inputs'!B6*'Exposure &amp; Toxicity Inputs'!B7)/('Exposure &amp; Toxicity Inputs'!B4*'Exposure &amp; Toxicity Inputs'!B9)*'Exposure &amp; Toxicity Inputs'!C16</f>
        <v>1.6352402539682542E-6</v>
      </c>
      <c r="M27" s="26">
        <f>(('Group Mean Concentrations'!G5/1000)*('Exposure &amp; Toxicity Inputs'!C5/1000)*'Exposure &amp; Toxicity Inputs'!C6*'Exposure &amp; Toxicity Inputs'!C7)/('Exposure &amp; Toxicity Inputs'!C4*'Exposure &amp; Toxicity Inputs'!B9)*'Exposure &amp; Toxicity Inputs'!C16</f>
        <v>3.2704805079365079E-7</v>
      </c>
      <c r="N27" s="26">
        <f>(('Group Mean Concentrations'!H5/1000)*('Exposure &amp; Toxicity Inputs'!B5/1000)*'Exposure &amp; Toxicity Inputs'!B6*'Exposure &amp; Toxicity Inputs'!B7)/('Exposure &amp; Toxicity Inputs'!B4*'Exposure &amp; Toxicity Inputs'!B9)*'Exposure &amp; Toxicity Inputs'!C16</f>
        <v>9.9009259259259259E-7</v>
      </c>
      <c r="O27" s="26">
        <f>(('Group Mean Concentrations'!H5/1000)*('Exposure &amp; Toxicity Inputs'!C5/1000)*'Exposure &amp; Toxicity Inputs'!C6*'Exposure &amp; Toxicity Inputs'!C7)/('Exposure &amp; Toxicity Inputs'!C4*'Exposure &amp; Toxicity Inputs'!B9)*'Exposure &amp; Toxicity Inputs'!C16</f>
        <v>1.9801851851851852E-7</v>
      </c>
    </row>
    <row r="28" spans="1:15" ht="15" customHeight="1" x14ac:dyDescent="0.25">
      <c r="A28" s="15" t="s">
        <v>27</v>
      </c>
      <c r="B28" s="26">
        <f>(('Group Mean Concentrations'!B6/1000)*('Exposure &amp; Toxicity Inputs'!B5/1000)*'Exposure &amp; Toxicity Inputs'!B6*'Exposure &amp; Toxicity Inputs'!B7)/('Exposure &amp; Toxicity Inputs'!B4*'Exposure &amp; Toxicity Inputs'!B9)*'Exposure &amp; Toxicity Inputs'!C17</f>
        <v>1.7971428571428572E-7</v>
      </c>
      <c r="C28" s="26">
        <f>(('Group Mean Concentrations'!B6/1000)*('Exposure &amp; Toxicity Inputs'!C5/1000)*'Exposure &amp; Toxicity Inputs'!C6*'Exposure &amp; Toxicity Inputs'!C7)/('Exposure &amp; Toxicity Inputs'!C4*'Exposure &amp; Toxicity Inputs'!B9)*'Exposure &amp; Toxicity Inputs'!C17</f>
        <v>3.594285714285714E-8</v>
      </c>
      <c r="D28" s="26">
        <f>(('Group Mean Concentrations'!C6/1000)*('Exposure &amp; Toxicity Inputs'!B5/1000)*'Exposure &amp; Toxicity Inputs'!B6*'Exposure &amp; Toxicity Inputs'!B7)/('Exposure &amp; Toxicity Inputs'!B4*'Exposure &amp; Toxicity Inputs'!B9)*'Exposure &amp; Toxicity Inputs'!C17</f>
        <v>1.7971428571428572E-7</v>
      </c>
      <c r="E28" s="26">
        <f>(('Group Mean Concentrations'!C6/1000)*('Exposure &amp; Toxicity Inputs'!C5/1000)*'Exposure &amp; Toxicity Inputs'!C6*'Exposure &amp; Toxicity Inputs'!C7)/('Exposure &amp; Toxicity Inputs'!C4*'Exposure &amp; Toxicity Inputs'!B9)*'Exposure &amp; Toxicity Inputs'!C17</f>
        <v>3.594285714285714E-8</v>
      </c>
      <c r="F28" s="26">
        <f>(('Group Mean Concentrations'!D6/1000)*('Exposure &amp; Toxicity Inputs'!B5/1000)*'Exposure &amp; Toxicity Inputs'!B6*'Exposure &amp; Toxicity Inputs'!B7)/('Exposure &amp; Toxicity Inputs'!B4*'Exposure &amp; Toxicity Inputs'!B9)*'Exposure &amp; Toxicity Inputs'!C17</f>
        <v>9.571982222222223E-7</v>
      </c>
      <c r="G28" s="26">
        <f>(('Group Mean Concentrations'!D6/1000)*('Exposure &amp; Toxicity Inputs'!C5/1000)*'Exposure &amp; Toxicity Inputs'!C6*'Exposure &amp; Toxicity Inputs'!C7)/('Exposure &amp; Toxicity Inputs'!C4*'Exposure &amp; Toxicity Inputs'!B9)*'Exposure &amp; Toxicity Inputs'!C17</f>
        <v>1.9143964444444447E-7</v>
      </c>
      <c r="H28" s="26">
        <f>(('Group Mean Concentrations'!E6/1000)*('Exposure &amp; Toxicity Inputs'!B5/1000)*'Exposure &amp; Toxicity Inputs'!B6*'Exposure &amp; Toxicity Inputs'!B7)/('Exposure &amp; Toxicity Inputs'!B4*'Exposure &amp; Toxicity Inputs'!B9)*'Exposure &amp; Toxicity Inputs'!C17</f>
        <v>1.7971428571428572E-7</v>
      </c>
      <c r="I28" s="26">
        <f>(('Group Mean Concentrations'!E6/1000)*('Exposure &amp; Toxicity Inputs'!C5/1000)*'Exposure &amp; Toxicity Inputs'!C6*'Exposure &amp; Toxicity Inputs'!C7)/('Exposure &amp; Toxicity Inputs'!C4*'Exposure &amp; Toxicity Inputs'!B9)*'Exposure &amp; Toxicity Inputs'!C17</f>
        <v>3.594285714285714E-8</v>
      </c>
      <c r="J28" s="26">
        <f>(('Group Mean Concentrations'!F6/1000)*('Exposure &amp; Toxicity Inputs'!B5/1000)*'Exposure &amp; Toxicity Inputs'!B6*'Exposure &amp; Toxicity Inputs'!B7)/('Exposure &amp; Toxicity Inputs'!B4*'Exposure &amp; Toxicity Inputs'!B9)*'Exposure &amp; Toxicity Inputs'!C17</f>
        <v>4.6186571428571423E-7</v>
      </c>
      <c r="K28" s="26">
        <f>(('Group Mean Concentrations'!F6/1000)*('Exposure &amp; Toxicity Inputs'!C5/1000)*'Exposure &amp; Toxicity Inputs'!C6*'Exposure &amp; Toxicity Inputs'!C7)/('Exposure &amp; Toxicity Inputs'!C4*'Exposure &amp; Toxicity Inputs'!B9)*'Exposure &amp; Toxicity Inputs'!C17</f>
        <v>9.2373142857142856E-8</v>
      </c>
      <c r="L28" s="26">
        <f>(('Group Mean Concentrations'!G6/1000)*('Exposure &amp; Toxicity Inputs'!B5/1000)*'Exposure &amp; Toxicity Inputs'!B6*'Exposure &amp; Toxicity Inputs'!B7)/('Exposure &amp; Toxicity Inputs'!B4*'Exposure &amp; Toxicity Inputs'!B9)*'Exposure &amp; Toxicity Inputs'!C17</f>
        <v>6.7504679365079364E-7</v>
      </c>
      <c r="M28" s="26">
        <f>(('Group Mean Concentrations'!G6/1000)*('Exposure &amp; Toxicity Inputs'!C5/1000)*'Exposure &amp; Toxicity Inputs'!C6*'Exposure &amp; Toxicity Inputs'!C7)/('Exposure &amp; Toxicity Inputs'!C4*'Exposure &amp; Toxicity Inputs'!B9)*'Exposure &amp; Toxicity Inputs'!C17</f>
        <v>1.3500935873015875E-7</v>
      </c>
      <c r="N28" s="26">
        <f>(('Group Mean Concentrations'!H6/1000)*('Exposure &amp; Toxicity Inputs'!B5/1000)*'Exposure &amp; Toxicity Inputs'!B6*'Exposure &amp; Toxicity Inputs'!B7)/('Exposure &amp; Toxicity Inputs'!B4*'Exposure &amp; Toxicity Inputs'!B9)*'Exposure &amp; Toxicity Inputs'!C17</f>
        <v>4.3887559788359792E-7</v>
      </c>
      <c r="O28" s="26">
        <f>(('Group Mean Concentrations'!H6/1000)*('Exposure &amp; Toxicity Inputs'!C5/1000)*'Exposure &amp; Toxicity Inputs'!C6*'Exposure &amp; Toxicity Inputs'!C7)/('Exposure &amp; Toxicity Inputs'!C4*'Exposure &amp; Toxicity Inputs'!B9)*'Exposure &amp; Toxicity Inputs'!C17</f>
        <v>8.7775119576719573E-8</v>
      </c>
    </row>
    <row r="29" spans="1:15" ht="15" customHeight="1" x14ac:dyDescent="0.25">
      <c r="A29" s="15" t="s">
        <v>28</v>
      </c>
      <c r="B29" s="26">
        <f>(('Group Mean Concentrations'!B7/1000)*('Exposure &amp; Toxicity Inputs'!B5/1000)*'Exposure &amp; Toxicity Inputs'!B6*'Exposure &amp; Toxicity Inputs'!B7)/('Exposure &amp; Toxicity Inputs'!B4*'Exposure &amp; Toxicity Inputs'!B9)*'Exposure &amp; Toxicity Inputs'!C18</f>
        <v>6.0276171428571427E-7</v>
      </c>
      <c r="C29" s="26">
        <f>(('Group Mean Concentrations'!B7/1000)*('Exposure &amp; Toxicity Inputs'!C5/1000)*'Exposure &amp; Toxicity Inputs'!C6*'Exposure &amp; Toxicity Inputs'!C7)/('Exposure &amp; Toxicity Inputs'!C4*'Exposure &amp; Toxicity Inputs'!B9)*'Exposure &amp; Toxicity Inputs'!C18</f>
        <v>1.2055234285714287E-7</v>
      </c>
      <c r="D29" s="26">
        <f>(('Group Mean Concentrations'!C7/1000)*('Exposure &amp; Toxicity Inputs'!B5/1000)*'Exposure &amp; Toxicity Inputs'!B6*'Exposure &amp; Toxicity Inputs'!B7)/('Exposure &amp; Toxicity Inputs'!B4*'Exposure &amp; Toxicity Inputs'!B9)*'Exposure &amp; Toxicity Inputs'!C18</f>
        <v>7.6526336507936528E-7</v>
      </c>
      <c r="E29" s="26">
        <f>(('Group Mean Concentrations'!C7/1000)*('Exposure &amp; Toxicity Inputs'!C5/1000)*'Exposure &amp; Toxicity Inputs'!C6*'Exposure &amp; Toxicity Inputs'!C7)/('Exposure &amp; Toxicity Inputs'!C4*'Exposure &amp; Toxicity Inputs'!B9)*'Exposure &amp; Toxicity Inputs'!C18</f>
        <v>1.5305267301587305E-7</v>
      </c>
      <c r="F29" s="26">
        <f>(('Group Mean Concentrations'!D7/1000)*('Exposure &amp; Toxicity Inputs'!B5/1000)*'Exposure &amp; Toxicity Inputs'!B6*'Exposure &amp; Toxicity Inputs'!B7)/('Exposure &amp; Toxicity Inputs'!B4*'Exposure &amp; Toxicity Inputs'!B9)*'Exposure &amp; Toxicity Inputs'!C18</f>
        <v>1.1869130158730162E-6</v>
      </c>
      <c r="G29" s="26">
        <f>(('Group Mean Concentrations'!D7/1000)*('Exposure &amp; Toxicity Inputs'!C5/1000)*'Exposure &amp; Toxicity Inputs'!C6*'Exposure &amp; Toxicity Inputs'!C7)/('Exposure &amp; Toxicity Inputs'!C4*'Exposure &amp; Toxicity Inputs'!B9)*'Exposure &amp; Toxicity Inputs'!C18</f>
        <v>2.3738260317460323E-7</v>
      </c>
      <c r="H29" s="26">
        <f>(('Group Mean Concentrations'!E7/1000)*('Exposure &amp; Toxicity Inputs'!B5/1000)*'Exposure &amp; Toxicity Inputs'!B6*'Exposure &amp; Toxicity Inputs'!B7)/('Exposure &amp; Toxicity Inputs'!B4*'Exposure &amp; Toxicity Inputs'!B9)*'Exposure &amp; Toxicity Inputs'!C18</f>
        <v>5.2049250793650807E-7</v>
      </c>
      <c r="I29" s="26">
        <f>(('Group Mean Concentrations'!E7/1000)*('Exposure &amp; Toxicity Inputs'!C5/1000)*'Exposure &amp; Toxicity Inputs'!C6*'Exposure &amp; Toxicity Inputs'!C7)/('Exposure &amp; Toxicity Inputs'!C4*'Exposure &amp; Toxicity Inputs'!B9)*'Exposure &amp; Toxicity Inputs'!C18</f>
        <v>1.0409850158730161E-7</v>
      </c>
      <c r="J29" s="26">
        <f>(('Group Mean Concentrations'!F7/1000)*('Exposure &amp; Toxicity Inputs'!B5/1000)*'Exposure &amp; Toxicity Inputs'!B6*'Exposure &amp; Toxicity Inputs'!B7)/('Exposure &amp; Toxicity Inputs'!B4*'Exposure &amp; Toxicity Inputs'!B9)*'Exposure &amp; Toxicity Inputs'!C18</f>
        <v>8.5476107936507936E-7</v>
      </c>
      <c r="K29" s="26">
        <f>(('Group Mean Concentrations'!F7/1000)*('Exposure &amp; Toxicity Inputs'!C5/1000)*'Exposure &amp; Toxicity Inputs'!C6*'Exposure &amp; Toxicity Inputs'!C7)/('Exposure &amp; Toxicity Inputs'!C4*'Exposure &amp; Toxicity Inputs'!B9)*'Exposure &amp; Toxicity Inputs'!C18</f>
        <v>1.7095221587301586E-7</v>
      </c>
      <c r="L29" s="26">
        <f>(('Group Mean Concentrations'!G7/1000)*('Exposure &amp; Toxicity Inputs'!B5/1000)*'Exposure &amp; Toxicity Inputs'!B6*'Exposure &amp; Toxicity Inputs'!B7)/('Exposure &amp; Toxicity Inputs'!B4*'Exposure &amp; Toxicity Inputs'!B9)*'Exposure &amp; Toxicity Inputs'!C18</f>
        <v>1.1796845079365079E-6</v>
      </c>
      <c r="M29" s="26">
        <f>(('Group Mean Concentrations'!G7/1000)*('Exposure &amp; Toxicity Inputs'!C5/1000)*'Exposure &amp; Toxicity Inputs'!C6*'Exposure &amp; Toxicity Inputs'!C7)/('Exposure &amp; Toxicity Inputs'!C4*'Exposure &amp; Toxicity Inputs'!B9)*'Exposure &amp; Toxicity Inputs'!C18</f>
        <v>2.3593690158730164E-7</v>
      </c>
      <c r="N29" s="26">
        <f>(('Group Mean Concentrations'!H7/1000)*('Exposure &amp; Toxicity Inputs'!B5/1000)*'Exposure &amp; Toxicity Inputs'!B6*'Exposure &amp; Toxicity Inputs'!B7)/('Exposure &amp; Toxicity Inputs'!B4*'Exposure &amp; Toxicity Inputs'!B9)*'Exposure &amp; Toxicity Inputs'!C18</f>
        <v>8.5164603174603161E-7</v>
      </c>
      <c r="O29" s="26">
        <f>(('Group Mean Concentrations'!H7/1000)*('Exposure &amp; Toxicity Inputs'!C5/1000)*'Exposure &amp; Toxicity Inputs'!C6*'Exposure &amp; Toxicity Inputs'!C7)/('Exposure &amp; Toxicity Inputs'!C4*'Exposure &amp; Toxicity Inputs'!B9)*'Exposure &amp; Toxicity Inputs'!C18</f>
        <v>1.7032920634920632E-7</v>
      </c>
    </row>
    <row r="30" spans="1:15" ht="15" customHeight="1" x14ac:dyDescent="0.25">
      <c r="A30" s="15" t="s">
        <v>29</v>
      </c>
      <c r="B30" s="26">
        <f>(('Group Mean Concentrations'!B8/1000)*('Exposure &amp; Toxicity Inputs'!B5/1000)*'Exposure &amp; Toxicity Inputs'!B6*'Exposure &amp; Toxicity Inputs'!B7)/('Exposure &amp; Toxicity Inputs'!B4*'Exposure &amp; Toxicity Inputs'!B9)*'Exposure &amp; Toxicity Inputs'!C19</f>
        <v>6.8095739682539682E-7</v>
      </c>
      <c r="C30" s="26">
        <f>(('Group Mean Concentrations'!B8/1000)*('Exposure &amp; Toxicity Inputs'!C5/1000)*'Exposure &amp; Toxicity Inputs'!C6*'Exposure &amp; Toxicity Inputs'!C7)/('Exposure &amp; Toxicity Inputs'!C4*'Exposure &amp; Toxicity Inputs'!B9)*'Exposure &amp; Toxicity Inputs'!C19</f>
        <v>1.361914793650794E-7</v>
      </c>
      <c r="D30" s="26">
        <f>(('Group Mean Concentrations'!C8/1000)*('Exposure &amp; Toxicity Inputs'!B5/1000)*'Exposure &amp; Toxicity Inputs'!B6*'Exposure &amp; Toxicity Inputs'!B7)/('Exposure &amp; Toxicity Inputs'!B4*'Exposure &amp; Toxicity Inputs'!B9)*'Exposure &amp; Toxicity Inputs'!C19</f>
        <v>1.7907130793650792E-6</v>
      </c>
      <c r="E30" s="26">
        <f>(('Group Mean Concentrations'!C8/1000)*('Exposure &amp; Toxicity Inputs'!C5/1000)*'Exposure &amp; Toxicity Inputs'!C6*'Exposure &amp; Toxicity Inputs'!C7)/('Exposure &amp; Toxicity Inputs'!C4*'Exposure &amp; Toxicity Inputs'!B9)*'Exposure &amp; Toxicity Inputs'!C19</f>
        <v>3.5814261587301591E-7</v>
      </c>
      <c r="F30" s="26">
        <f>(('Group Mean Concentrations'!D8/1000)*('Exposure &amp; Toxicity Inputs'!B5/1000)*'Exposure &amp; Toxicity Inputs'!B6*'Exposure &amp; Toxicity Inputs'!B7)/('Exposure &amp; Toxicity Inputs'!B4*'Exposure &amp; Toxicity Inputs'!B9)*'Exposure &amp; Toxicity Inputs'!C19</f>
        <v>2.277219619047619E-6</v>
      </c>
      <c r="G30" s="26">
        <f>(('Group Mean Concentrations'!D8/1000)*('Exposure &amp; Toxicity Inputs'!C5/1000)*'Exposure &amp; Toxicity Inputs'!C6*'Exposure &amp; Toxicity Inputs'!C7)/('Exposure &amp; Toxicity Inputs'!C4*'Exposure &amp; Toxicity Inputs'!B9)*'Exposure &amp; Toxicity Inputs'!C19</f>
        <v>4.5544392380952378E-7</v>
      </c>
      <c r="H30" s="26">
        <f>(('Group Mean Concentrations'!E8/1000)*('Exposure &amp; Toxicity Inputs'!B5/1000)*'Exposure &amp; Toxicity Inputs'!B6*'Exposure &amp; Toxicity Inputs'!B7)/('Exposure &amp; Toxicity Inputs'!B4*'Exposure &amp; Toxicity Inputs'!B9)*'Exposure &amp; Toxicity Inputs'!C19</f>
        <v>1.1890296507936505E-6</v>
      </c>
      <c r="I30" s="26">
        <f>(('Group Mean Concentrations'!E8/1000)*('Exposure &amp; Toxicity Inputs'!C5/1000)*'Exposure &amp; Toxicity Inputs'!C6*'Exposure &amp; Toxicity Inputs'!C7)/('Exposure &amp; Toxicity Inputs'!C4*'Exposure &amp; Toxicity Inputs'!B9)*'Exposure &amp; Toxicity Inputs'!C19</f>
        <v>2.378059301587301E-7</v>
      </c>
      <c r="J30" s="26">
        <f>(('Group Mean Concentrations'!F8/1000)*('Exposure &amp; Toxicity Inputs'!B5/1000)*'Exposure &amp; Toxicity Inputs'!B6*'Exposure &amp; Toxicity Inputs'!B7)/('Exposure &amp; Toxicity Inputs'!B4*'Exposure &amp; Toxicity Inputs'!B9)*'Exposure &amp; Toxicity Inputs'!C19</f>
        <v>1.5693450158730158E-6</v>
      </c>
      <c r="K30" s="26">
        <f>(('Group Mean Concentrations'!F8/1000)*('Exposure &amp; Toxicity Inputs'!C5/1000)*'Exposure &amp; Toxicity Inputs'!C6*'Exposure &amp; Toxicity Inputs'!C7)/('Exposure &amp; Toxicity Inputs'!C4*'Exposure &amp; Toxicity Inputs'!B9)*'Exposure &amp; Toxicity Inputs'!C19</f>
        <v>3.1386900317460316E-7</v>
      </c>
      <c r="L30" s="26">
        <f>(('Group Mean Concentrations'!G8/1000)*('Exposure &amp; Toxicity Inputs'!B5/1000)*'Exposure &amp; Toxicity Inputs'!B6*'Exposure &amp; Toxicity Inputs'!B7)/('Exposure &amp; Toxicity Inputs'!B4*'Exposure &amp; Toxicity Inputs'!B9)*'Exposure &amp; Toxicity Inputs'!C19</f>
        <v>1.9905154285714291E-6</v>
      </c>
      <c r="M30" s="26">
        <f>(('Group Mean Concentrations'!G8/1000)*('Exposure &amp; Toxicity Inputs'!C5/1000)*'Exposure &amp; Toxicity Inputs'!C6*'Exposure &amp; Toxicity Inputs'!C7)/('Exposure &amp; Toxicity Inputs'!C4*'Exposure &amp; Toxicity Inputs'!B9)*'Exposure &amp; Toxicity Inputs'!C19</f>
        <v>3.9810308571428575E-7</v>
      </c>
      <c r="N30" s="26">
        <f>(('Group Mean Concentrations'!H8/1000)*('Exposure &amp; Toxicity Inputs'!B5/1000)*'Exposure &amp; Toxicity Inputs'!B6*'Exposure &amp; Toxicity Inputs'!B7)/('Exposure &amp; Toxicity Inputs'!B4*'Exposure &amp; Toxicity Inputs'!B9)*'Exposure &amp; Toxicity Inputs'!C19</f>
        <v>1.5829633650793652E-6</v>
      </c>
      <c r="O30" s="26">
        <f>(('Group Mean Concentrations'!H8/1000)*('Exposure &amp; Toxicity Inputs'!C5/1000)*'Exposure &amp; Toxicity Inputs'!C6*'Exposure &amp; Toxicity Inputs'!C7)/('Exposure &amp; Toxicity Inputs'!C4*'Exposure &amp; Toxicity Inputs'!B9)*'Exposure &amp; Toxicity Inputs'!C19</f>
        <v>3.1659267301587304E-7</v>
      </c>
    </row>
    <row r="31" spans="1:15" ht="15" customHeight="1" x14ac:dyDescent="0.25">
      <c r="A31" s="15" t="s">
        <v>30</v>
      </c>
      <c r="B31" s="26">
        <f>(('Group Mean Concentrations'!B9/1000)*('Exposure &amp; Toxicity Inputs'!B5/1000)*'Exposure &amp; Toxicity Inputs'!B6*'Exposure &amp; Toxicity Inputs'!B7)/('Exposure &amp; Toxicity Inputs'!B4*'Exposure &amp; Toxicity Inputs'!B9)*'Exposure &amp; Toxicity Inputs'!C20</f>
        <v>1.1020479365079363E-6</v>
      </c>
      <c r="C31" s="26">
        <f>(('Group Mean Concentrations'!B9/1000)*('Exposure &amp; Toxicity Inputs'!C5/1000)*'Exposure &amp; Toxicity Inputs'!C6*'Exposure &amp; Toxicity Inputs'!C7)/('Exposure &amp; Toxicity Inputs'!C4*'Exposure &amp; Toxicity Inputs'!B9)*'Exposure &amp; Toxicity Inputs'!C20</f>
        <v>2.2040958730158726E-7</v>
      </c>
      <c r="D31" s="26">
        <f>(('Group Mean Concentrations'!C9/1000)*('Exposure &amp; Toxicity Inputs'!B5/1000)*'Exposure &amp; Toxicity Inputs'!B6*'Exposure &amp; Toxicity Inputs'!B7)/('Exposure &amp; Toxicity Inputs'!B4*'Exposure &amp; Toxicity Inputs'!B9)*'Exposure &amp; Toxicity Inputs'!C20</f>
        <v>1.4873553650793654E-6</v>
      </c>
      <c r="E31" s="26">
        <f>(('Group Mean Concentrations'!C9/1000)*('Exposure &amp; Toxicity Inputs'!C5/1000)*'Exposure &amp; Toxicity Inputs'!C6*'Exposure &amp; Toxicity Inputs'!C7)/('Exposure &amp; Toxicity Inputs'!C4*'Exposure &amp; Toxicity Inputs'!B9)*'Exposure &amp; Toxicity Inputs'!C20</f>
        <v>2.9747107301587303E-7</v>
      </c>
      <c r="F31" s="26">
        <f>(('Group Mean Concentrations'!D9/1000)*('Exposure &amp; Toxicity Inputs'!B5/1000)*'Exposure &amp; Toxicity Inputs'!B6*'Exposure &amp; Toxicity Inputs'!B7)/('Exposure &amp; Toxicity Inputs'!B4*'Exposure &amp; Toxicity Inputs'!B9)*'Exposure &amp; Toxicity Inputs'!C20</f>
        <v>2.2624031746031751E-6</v>
      </c>
      <c r="G31" s="26">
        <f>(('Group Mean Concentrations'!D9/1000)*('Exposure &amp; Toxicity Inputs'!C5/1000)*'Exposure &amp; Toxicity Inputs'!C6*'Exposure &amp; Toxicity Inputs'!C7)/('Exposure &amp; Toxicity Inputs'!C4*'Exposure &amp; Toxicity Inputs'!B9)*'Exposure &amp; Toxicity Inputs'!C20</f>
        <v>4.5248063492063493E-7</v>
      </c>
      <c r="H31" s="26">
        <f>(('Group Mean Concentrations'!E9/1000)*('Exposure &amp; Toxicity Inputs'!B5/1000)*'Exposure &amp; Toxicity Inputs'!B6*'Exposure &amp; Toxicity Inputs'!B7)/('Exposure &amp; Toxicity Inputs'!B4*'Exposure &amp; Toxicity Inputs'!B9)*'Exposure &amp; Toxicity Inputs'!C20</f>
        <v>1.2617140952380956E-6</v>
      </c>
      <c r="I31" s="26">
        <f>(('Group Mean Concentrations'!E9/1000)*('Exposure &amp; Toxicity Inputs'!C5/1000)*'Exposure &amp; Toxicity Inputs'!C6*'Exposure &amp; Toxicity Inputs'!C7)/('Exposure &amp; Toxicity Inputs'!C4*'Exposure &amp; Toxicity Inputs'!B9)*'Exposure &amp; Toxicity Inputs'!C20</f>
        <v>2.5234281904761908E-7</v>
      </c>
      <c r="J31" s="26">
        <f>(('Group Mean Concentrations'!F9/1000)*('Exposure &amp; Toxicity Inputs'!B5/1000)*'Exposure &amp; Toxicity Inputs'!B6*'Exposure &amp; Toxicity Inputs'!B7)/('Exposure &amp; Toxicity Inputs'!B4*'Exposure &amp; Toxicity Inputs'!B9)*'Exposure &amp; Toxicity Inputs'!C20</f>
        <v>1.2855162539682539E-6</v>
      </c>
      <c r="K31" s="26">
        <f>(('Group Mean Concentrations'!F9/1000)*('Exposure &amp; Toxicity Inputs'!C5/1000)*'Exposure &amp; Toxicity Inputs'!C6*'Exposure &amp; Toxicity Inputs'!C7)/('Exposure &amp; Toxicity Inputs'!C4*'Exposure &amp; Toxicity Inputs'!B9)*'Exposure &amp; Toxicity Inputs'!C20</f>
        <v>2.5710325079365079E-7</v>
      </c>
      <c r="L31" s="26">
        <f>(('Group Mean Concentrations'!G9/1000)*('Exposure &amp; Toxicity Inputs'!B5/1000)*'Exposure &amp; Toxicity Inputs'!B6*'Exposure &amp; Toxicity Inputs'!B7)/('Exposure &amp; Toxicity Inputs'!B4*'Exposure &amp; Toxicity Inputs'!B9)*'Exposure &amp; Toxicity Inputs'!C20</f>
        <v>2.3045761269841269E-6</v>
      </c>
      <c r="M31" s="26">
        <f>(('Group Mean Concentrations'!G9/1000)*('Exposure &amp; Toxicity Inputs'!C5/1000)*'Exposure &amp; Toxicity Inputs'!C6*'Exposure &amp; Toxicity Inputs'!C7)/('Exposure &amp; Toxicity Inputs'!C4*'Exposure &amp; Toxicity Inputs'!B9)*'Exposure &amp; Toxicity Inputs'!C20</f>
        <v>4.6091522539682542E-7</v>
      </c>
      <c r="N31" s="26">
        <f>(('Group Mean Concentrations'!H9/1000)*('Exposure &amp; Toxicity Inputs'!B5/1000)*'Exposure &amp; Toxicity Inputs'!B6*'Exposure &amp; Toxicity Inputs'!B7)/('Exposure &amp; Toxicity Inputs'!B4*'Exposure &amp; Toxicity Inputs'!B9)*'Exposure &amp; Toxicity Inputs'!C20</f>
        <v>1.6172688253968255E-6</v>
      </c>
      <c r="O31" s="26">
        <f>(('Group Mean Concentrations'!H9/1000)*('Exposure &amp; Toxicity Inputs'!C5/1000)*'Exposure &amp; Toxicity Inputs'!C6*'Exposure &amp; Toxicity Inputs'!C7)/('Exposure &amp; Toxicity Inputs'!C4*'Exposure &amp; Toxicity Inputs'!B9)*'Exposure &amp; Toxicity Inputs'!C20</f>
        <v>3.2345376507936508E-7</v>
      </c>
    </row>
    <row r="32" spans="1:15" ht="15" customHeight="1" x14ac:dyDescent="0.25">
      <c r="A32" s="15" t="s">
        <v>31</v>
      </c>
      <c r="B32" s="26">
        <f>(('Group Mean Concentrations'!B10/1000)*('Exposure &amp; Toxicity Inputs'!B5/1000)*'Exposure &amp; Toxicity Inputs'!B6*'Exposure &amp; Toxicity Inputs'!B7)/('Exposure &amp; Toxicity Inputs'!B4*'Exposure &amp; Toxicity Inputs'!B9)*'Exposure &amp; Toxicity Inputs'!C21</f>
        <v>1.418136E-5</v>
      </c>
      <c r="C32" s="26">
        <f>(('Group Mean Concentrations'!B10/1000)*('Exposure &amp; Toxicity Inputs'!C5/1000)*'Exposure &amp; Toxicity Inputs'!C6*'Exposure &amp; Toxicity Inputs'!C7)/('Exposure &amp; Toxicity Inputs'!C4*'Exposure &amp; Toxicity Inputs'!B9)*'Exposure &amp; Toxicity Inputs'!C21</f>
        <v>2.8362719999999999E-6</v>
      </c>
      <c r="D32" s="26">
        <f>(('Group Mean Concentrations'!C10/1000)*('Exposure &amp; Toxicity Inputs'!B5/1000)*'Exposure &amp; Toxicity Inputs'!B6*'Exposure &amp; Toxicity Inputs'!B7)/('Exposure &amp; Toxicity Inputs'!B4*'Exposure &amp; Toxicity Inputs'!B9)*'Exposure &amp; Toxicity Inputs'!C21</f>
        <v>1.2260319999999995E-5</v>
      </c>
      <c r="E32" s="26">
        <f>(('Group Mean Concentrations'!C10/1000)*('Exposure &amp; Toxicity Inputs'!C5/1000)*'Exposure &amp; Toxicity Inputs'!C6*'Exposure &amp; Toxicity Inputs'!C7)/('Exposure &amp; Toxicity Inputs'!C4*'Exposure &amp; Toxicity Inputs'!B9)*'Exposure &amp; Toxicity Inputs'!C21</f>
        <v>2.4520639999999992E-6</v>
      </c>
      <c r="F32" s="26">
        <f>(('Group Mean Concentrations'!D10/1000)*('Exposure &amp; Toxicity Inputs'!B5/1000)*'Exposure &amp; Toxicity Inputs'!B6*'Exposure &amp; Toxicity Inputs'!B7)/('Exposure &amp; Toxicity Inputs'!B4*'Exposure &amp; Toxicity Inputs'!B9)*'Exposure &amp; Toxicity Inputs'!C21</f>
        <v>2.4955760000000003E-5</v>
      </c>
      <c r="G32" s="26">
        <f>(('Group Mean Concentrations'!D10/1000)*('Exposure &amp; Toxicity Inputs'!C5/1000)*'Exposure &amp; Toxicity Inputs'!C6*'Exposure &amp; Toxicity Inputs'!C7)/('Exposure &amp; Toxicity Inputs'!C4*'Exposure &amp; Toxicity Inputs'!B9)*'Exposure &amp; Toxicity Inputs'!C21</f>
        <v>4.9911520000000001E-6</v>
      </c>
      <c r="H32" s="26">
        <f>(('Group Mean Concentrations'!E10/1000)*('Exposure &amp; Toxicity Inputs'!B5/1000)*'Exposure &amp; Toxicity Inputs'!B6*'Exposure &amp; Toxicity Inputs'!B7)/('Exposure &amp; Toxicity Inputs'!B4*'Exposure &amp; Toxicity Inputs'!B9)*'Exposure &amp; Toxicity Inputs'!C21</f>
        <v>9.8789999999999998E-6</v>
      </c>
      <c r="I32" s="26">
        <f>(('Group Mean Concentrations'!E10/1000)*('Exposure &amp; Toxicity Inputs'!C5/1000)*'Exposure &amp; Toxicity Inputs'!C6*'Exposure &amp; Toxicity Inputs'!C7)/('Exposure &amp; Toxicity Inputs'!C4*'Exposure &amp; Toxicity Inputs'!B9)*'Exposure &amp; Toxicity Inputs'!C21</f>
        <v>1.9758000000000002E-6</v>
      </c>
      <c r="J32" s="26">
        <f>(('Group Mean Concentrations'!F10/1000)*('Exposure &amp; Toxicity Inputs'!B5/1000)*'Exposure &amp; Toxicity Inputs'!B6*'Exposure &amp; Toxicity Inputs'!B7)/('Exposure &amp; Toxicity Inputs'!B4*'Exposure &amp; Toxicity Inputs'!B9)*'Exposure &amp; Toxicity Inputs'!C21</f>
        <v>1.214784E-5</v>
      </c>
      <c r="K32" s="26">
        <f>(('Group Mean Concentrations'!F10/1000)*('Exposure &amp; Toxicity Inputs'!C5/1000)*'Exposure &amp; Toxicity Inputs'!C6*'Exposure &amp; Toxicity Inputs'!C7)/('Exposure &amp; Toxicity Inputs'!C4*'Exposure &amp; Toxicity Inputs'!B9)*'Exposure &amp; Toxicity Inputs'!C21</f>
        <v>2.4295679999999995E-6</v>
      </c>
      <c r="L32" s="26">
        <f>(('Group Mean Concentrations'!G10/1000)*('Exposure &amp; Toxicity Inputs'!B5/1000)*'Exposure &amp; Toxicity Inputs'!B6*'Exposure &amp; Toxicity Inputs'!B7)/('Exposure &amp; Toxicity Inputs'!B4*'Exposure &amp; Toxicity Inputs'!B9)*'Exposure &amp; Toxicity Inputs'!C21</f>
        <v>2.9370600000000003E-5</v>
      </c>
      <c r="M32" s="26">
        <f>(('Group Mean Concentrations'!G10/1000)*('Exposure &amp; Toxicity Inputs'!C5/1000)*'Exposure &amp; Toxicity Inputs'!C6*'Exposure &amp; Toxicity Inputs'!C7)/('Exposure &amp; Toxicity Inputs'!C4*'Exposure &amp; Toxicity Inputs'!B9)*'Exposure &amp; Toxicity Inputs'!C21</f>
        <v>5.8741199999999999E-6</v>
      </c>
      <c r="N32" s="26">
        <f>(('Group Mean Concentrations'!H10/1000)*('Exposure &amp; Toxicity Inputs'!B5/1000)*'Exposure &amp; Toxicity Inputs'!B6*'Exposure &amp; Toxicity Inputs'!B7)/('Exposure &amp; Toxicity Inputs'!B4*'Exposure &amp; Toxicity Inputs'!B9)*'Exposure &amp; Toxicity Inputs'!C21</f>
        <v>1.7132480000000001E-5</v>
      </c>
      <c r="O32" s="26">
        <f>(('Group Mean Concentrations'!H10/1000)*('Exposure &amp; Toxicity Inputs'!C5/1000)*'Exposure &amp; Toxicity Inputs'!C6*'Exposure &amp; Toxicity Inputs'!C7)/('Exposure &amp; Toxicity Inputs'!C4*'Exposure &amp; Toxicity Inputs'!B9)*'Exposure &amp; Toxicity Inputs'!C21</f>
        <v>3.426496E-6</v>
      </c>
    </row>
    <row r="33" spans="1:15" ht="15" customHeight="1" x14ac:dyDescent="0.25">
      <c r="A33" s="15" t="s">
        <v>32</v>
      </c>
      <c r="B33" s="26">
        <f>(('Group Mean Concentrations'!B11/1000)*('Exposure &amp; Toxicity Inputs'!B5/1000)*'Exposure &amp; Toxicity Inputs'!B6*'Exposure &amp; Toxicity Inputs'!B7)/('Exposure &amp; Toxicity Inputs'!B4*'Exposure &amp; Toxicity Inputs'!B9)*'Exposure &amp; Toxicity Inputs'!C22</f>
        <v>7.3211371428571409E-6</v>
      </c>
      <c r="C33" s="26">
        <f>(('Group Mean Concentrations'!B11/1000)*('Exposure &amp; Toxicity Inputs'!C5/1000)*'Exposure &amp; Toxicity Inputs'!C6*'Exposure &amp; Toxicity Inputs'!C7)/('Exposure &amp; Toxicity Inputs'!C4*'Exposure &amp; Toxicity Inputs'!B9)*'Exposure &amp; Toxicity Inputs'!C22</f>
        <v>1.4642274285714284E-6</v>
      </c>
      <c r="D33" s="26">
        <f>(('Group Mean Concentrations'!C11/1000)*('Exposure &amp; Toxicity Inputs'!B5/1000)*'Exposure &amp; Toxicity Inputs'!B6*'Exposure &amp; Toxicity Inputs'!B7)/('Exposure &amp; Toxicity Inputs'!B4*'Exposure &amp; Toxicity Inputs'!B9)*'Exposure &amp; Toxicity Inputs'!C22</f>
        <v>9.8172628571428541E-6</v>
      </c>
      <c r="E33" s="26">
        <f>(('Group Mean Concentrations'!C11/1000)*('Exposure &amp; Toxicity Inputs'!C5/1000)*'Exposure &amp; Toxicity Inputs'!C6*'Exposure &amp; Toxicity Inputs'!C7)/('Exposure &amp; Toxicity Inputs'!C4*'Exposure &amp; Toxicity Inputs'!B9)*'Exposure &amp; Toxicity Inputs'!C22</f>
        <v>1.9634525714285706E-6</v>
      </c>
      <c r="F33" s="26">
        <f>(('Group Mean Concentrations'!D11/1000)*('Exposure &amp; Toxicity Inputs'!B5/1000)*'Exposure &amp; Toxicity Inputs'!B6*'Exposure &amp; Toxicity Inputs'!B7)/('Exposure &amp; Toxicity Inputs'!B4*'Exposure &amp; Toxicity Inputs'!B9)*'Exposure &amp; Toxicity Inputs'!C22</f>
        <v>1.1687771428571425E-5</v>
      </c>
      <c r="G33" s="26">
        <f>(('Group Mean Concentrations'!D11/1000)*('Exposure &amp; Toxicity Inputs'!C5/1000)*'Exposure &amp; Toxicity Inputs'!C6*'Exposure &amp; Toxicity Inputs'!C7)/('Exposure &amp; Toxicity Inputs'!C4*'Exposure &amp; Toxicity Inputs'!B9)*'Exposure &amp; Toxicity Inputs'!C22</f>
        <v>2.3375542857142855E-6</v>
      </c>
      <c r="H33" s="26">
        <f>(('Group Mean Concentrations'!E11/1000)*('Exposure &amp; Toxicity Inputs'!B5/1000)*'Exposure &amp; Toxicity Inputs'!B6*'Exposure &amp; Toxicity Inputs'!B7)/('Exposure &amp; Toxicity Inputs'!B4*'Exposure &amp; Toxicity Inputs'!B9)*'Exposure &amp; Toxicity Inputs'!C22</f>
        <v>6.8853828571428556E-6</v>
      </c>
      <c r="I33" s="26">
        <f>(('Group Mean Concentrations'!E11/1000)*('Exposure &amp; Toxicity Inputs'!C5/1000)*'Exposure &amp; Toxicity Inputs'!C6*'Exposure &amp; Toxicity Inputs'!C7)/('Exposure &amp; Toxicity Inputs'!C4*'Exposure &amp; Toxicity Inputs'!B9)*'Exposure &amp; Toxicity Inputs'!C22</f>
        <v>1.3770765714285713E-6</v>
      </c>
      <c r="J33" s="26">
        <f>(('Group Mean Concentrations'!F11/1000)*('Exposure &amp; Toxicity Inputs'!B5/1000)*'Exposure &amp; Toxicity Inputs'!B6*'Exposure &amp; Toxicity Inputs'!B7)/('Exposure &amp; Toxicity Inputs'!B4*'Exposure &amp; Toxicity Inputs'!B9)*'Exposure &amp; Toxicity Inputs'!C22</f>
        <v>1.0768057142857143E-5</v>
      </c>
      <c r="K33" s="26">
        <f>(('Group Mean Concentrations'!F11/1000)*('Exposure &amp; Toxicity Inputs'!C5/1000)*'Exposure &amp; Toxicity Inputs'!C6*'Exposure &amp; Toxicity Inputs'!C7)/('Exposure &amp; Toxicity Inputs'!C4*'Exposure &amp; Toxicity Inputs'!B9)*'Exposure &amp; Toxicity Inputs'!C22</f>
        <v>2.1536114285714287E-6</v>
      </c>
      <c r="L33" s="26">
        <f>(('Group Mean Concentrations'!G11/1000)*('Exposure &amp; Toxicity Inputs'!B5/1000)*'Exposure &amp; Toxicity Inputs'!B6*'Exposure &amp; Toxicity Inputs'!B7)/('Exposure &amp; Toxicity Inputs'!B4*'Exposure &amp; Toxicity Inputs'!B9)*'Exposure &amp; Toxicity Inputs'!C22</f>
        <v>1.1172731428571428E-5</v>
      </c>
      <c r="M33" s="26">
        <f>(('Group Mean Concentrations'!G11/1000)*('Exposure &amp; Toxicity Inputs'!C5/1000)*'Exposure &amp; Toxicity Inputs'!C6*'Exposure &amp; Toxicity Inputs'!C7)/('Exposure &amp; Toxicity Inputs'!C4*'Exposure &amp; Toxicity Inputs'!B9)*'Exposure &amp; Toxicity Inputs'!C22</f>
        <v>2.2345462857142856E-6</v>
      </c>
      <c r="N33" s="26">
        <f>(('Group Mean Concentrations'!H11/1000)*('Exposure &amp; Toxicity Inputs'!B5/1000)*'Exposure &amp; Toxicity Inputs'!B6*'Exposure &amp; Toxicity Inputs'!B7)/('Exposure &amp; Toxicity Inputs'!B4*'Exposure &amp; Toxicity Inputs'!B9)*'Exposure &amp; Toxicity Inputs'!C22</f>
        <v>9.6087238095238072E-6</v>
      </c>
      <c r="O33" s="26">
        <f>(('Group Mean Concentrations'!H11/1000)*('Exposure &amp; Toxicity Inputs'!C5/1000)*'Exposure &amp; Toxicity Inputs'!C6*'Exposure &amp; Toxicity Inputs'!C7)/('Exposure &amp; Toxicity Inputs'!C4*'Exposure &amp; Toxicity Inputs'!B9)*'Exposure &amp; Toxicity Inputs'!C22</f>
        <v>1.9217447619047614E-6</v>
      </c>
    </row>
    <row r="34" spans="1:15" ht="15" customHeight="1" x14ac:dyDescent="0.25">
      <c r="A34" s="15" t="s">
        <v>33</v>
      </c>
      <c r="B34" s="26">
        <f>(('Group Mean Concentrations'!B12/1000)*('Exposure &amp; Toxicity Inputs'!B5/1000)*'Exposure &amp; Toxicity Inputs'!B6*'Exposure &amp; Toxicity Inputs'!B7)/('Exposure &amp; Toxicity Inputs'!B4*'Exposure &amp; Toxicity Inputs'!B9)*'Exposure &amp; Toxicity Inputs'!C23</f>
        <v>6.8714285714285717E-7</v>
      </c>
      <c r="C34" s="26">
        <f>(('Group Mean Concentrations'!B12/1000)*('Exposure &amp; Toxicity Inputs'!C5/1000)*'Exposure &amp; Toxicity Inputs'!C6*'Exposure &amp; Toxicity Inputs'!C7)/('Exposure &amp; Toxicity Inputs'!C4*'Exposure &amp; Toxicity Inputs'!B9)*'Exposure &amp; Toxicity Inputs'!C23</f>
        <v>1.3742857142857142E-7</v>
      </c>
      <c r="D34" s="26">
        <f>(('Group Mean Concentrations'!C12/1000)*('Exposure &amp; Toxicity Inputs'!B5/1000)*'Exposure &amp; Toxicity Inputs'!B6*'Exposure &amp; Toxicity Inputs'!B7)/('Exposure &amp; Toxicity Inputs'!B4*'Exposure &amp; Toxicity Inputs'!B9)*'Exposure &amp; Toxicity Inputs'!C23</f>
        <v>6.8714285714285717E-7</v>
      </c>
      <c r="E34" s="26">
        <f>(('Group Mean Concentrations'!C12/1000)*('Exposure &amp; Toxicity Inputs'!C5/1000)*'Exposure &amp; Toxicity Inputs'!C6*'Exposure &amp; Toxicity Inputs'!C7)/('Exposure &amp; Toxicity Inputs'!C4*'Exposure &amp; Toxicity Inputs'!B9)*'Exposure &amp; Toxicity Inputs'!C23</f>
        <v>1.3742857142857142E-7</v>
      </c>
      <c r="F34" s="26">
        <f>(('Group Mean Concentrations'!D12/1000)*('Exposure &amp; Toxicity Inputs'!B5/1000)*'Exposure &amp; Toxicity Inputs'!B6*'Exposure &amp; Toxicity Inputs'!B7)/('Exposure &amp; Toxicity Inputs'!B4*'Exposure &amp; Toxicity Inputs'!B9)*'Exposure &amp; Toxicity Inputs'!C23</f>
        <v>2.3246806349206348E-6</v>
      </c>
      <c r="G34" s="26">
        <f>(('Group Mean Concentrations'!D12/1000)*('Exposure &amp; Toxicity Inputs'!C5/1000)*'Exposure &amp; Toxicity Inputs'!C6*'Exposure &amp; Toxicity Inputs'!C7)/('Exposure &amp; Toxicity Inputs'!C4*'Exposure &amp; Toxicity Inputs'!B9)*'Exposure &amp; Toxicity Inputs'!C23</f>
        <v>4.6493612698412704E-7</v>
      </c>
      <c r="H34" s="26">
        <f>(('Group Mean Concentrations'!E12/1000)*('Exposure &amp; Toxicity Inputs'!B5/1000)*'Exposure &amp; Toxicity Inputs'!B6*'Exposure &amp; Toxicity Inputs'!B7)/('Exposure &amp; Toxicity Inputs'!B4*'Exposure &amp; Toxicity Inputs'!B9)*'Exposure &amp; Toxicity Inputs'!C23</f>
        <v>6.8714285714285717E-7</v>
      </c>
      <c r="I34" s="26">
        <f>(('Group Mean Concentrations'!E12/1000)*('Exposure &amp; Toxicity Inputs'!C5/1000)*'Exposure &amp; Toxicity Inputs'!C6*'Exposure &amp; Toxicity Inputs'!C7)/('Exposure &amp; Toxicity Inputs'!C4*'Exposure &amp; Toxicity Inputs'!B9)*'Exposure &amp; Toxicity Inputs'!C23</f>
        <v>1.3742857142857142E-7</v>
      </c>
      <c r="J34" s="26">
        <f>(('Group Mean Concentrations'!F12/1000)*('Exposure &amp; Toxicity Inputs'!B5/1000)*'Exposure &amp; Toxicity Inputs'!B6*'Exposure &amp; Toxicity Inputs'!B7)/('Exposure &amp; Toxicity Inputs'!B4*'Exposure &amp; Toxicity Inputs'!B9)*'Exposure &amp; Toxicity Inputs'!C23</f>
        <v>1.3176346031746031E-6</v>
      </c>
      <c r="K34" s="26">
        <f>(('Group Mean Concentrations'!F12/1000)*('Exposure &amp; Toxicity Inputs'!C5/1000)*'Exposure &amp; Toxicity Inputs'!C6*'Exposure &amp; Toxicity Inputs'!C7)/('Exposure &amp; Toxicity Inputs'!C4*'Exposure &amp; Toxicity Inputs'!B9)*'Exposure &amp; Toxicity Inputs'!C23</f>
        <v>2.6352692063492057E-7</v>
      </c>
      <c r="L34" s="26">
        <f>(('Group Mean Concentrations'!G12/1000)*('Exposure &amp; Toxicity Inputs'!B5/1000)*'Exposure &amp; Toxicity Inputs'!B6*'Exposure &amp; Toxicity Inputs'!B7)/('Exposure &amp; Toxicity Inputs'!B4*'Exposure &amp; Toxicity Inputs'!B9)*'Exposure &amp; Toxicity Inputs'!C23</f>
        <v>1.6941888888888888E-6</v>
      </c>
      <c r="M34" s="26">
        <f>(('Group Mean Concentrations'!G12/1000)*('Exposure &amp; Toxicity Inputs'!C5/1000)*'Exposure &amp; Toxicity Inputs'!C6*'Exposure &amp; Toxicity Inputs'!C7)/('Exposure &amp; Toxicity Inputs'!C4*'Exposure &amp; Toxicity Inputs'!B9)*'Exposure &amp; Toxicity Inputs'!C23</f>
        <v>3.388377777777777E-7</v>
      </c>
      <c r="N34" s="26">
        <f>(('Group Mean Concentrations'!H12/1000)*('Exposure &amp; Toxicity Inputs'!B5/1000)*'Exposure &amp; Toxicity Inputs'!B6*'Exposure &amp; Toxicity Inputs'!B7)/('Exposure &amp; Toxicity Inputs'!B4*'Exposure &amp; Toxicity Inputs'!B9)*'Exposure &amp; Toxicity Inputs'!C23</f>
        <v>1.2329887830687831E-6</v>
      </c>
      <c r="O34" s="26">
        <f>(('Group Mean Concentrations'!H12/1000)*('Exposure &amp; Toxicity Inputs'!C5/1000)*'Exposure &amp; Toxicity Inputs'!C6*'Exposure &amp; Toxicity Inputs'!C7)/('Exposure &amp; Toxicity Inputs'!C4*'Exposure &amp; Toxicity Inputs'!B9)*'Exposure &amp; Toxicity Inputs'!C23</f>
        <v>2.4659775661375659E-7</v>
      </c>
    </row>
    <row r="35" spans="1:15" ht="15" customHeight="1" x14ac:dyDescent="0.25">
      <c r="A35" s="15" t="s">
        <v>34</v>
      </c>
      <c r="B35" s="26">
        <v>0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</row>
    <row r="36" spans="1:15" ht="15" customHeight="1" x14ac:dyDescent="0.25">
      <c r="A36" s="15" t="s">
        <v>35</v>
      </c>
      <c r="B36" s="26">
        <f>(('Group Mean Concentrations'!B14/1000)*('Exposure &amp; Toxicity Inputs'!B5/1000)*'Exposure &amp; Toxicity Inputs'!B6*'Exposure &amp; Toxicity Inputs'!B7)/('Exposure &amp; Toxicity Inputs'!B4*'Exposure &amp; Toxicity Inputs'!B9)*'Exposure &amp; Toxicity Inputs'!C25</f>
        <v>8.9857142857142854E-6</v>
      </c>
      <c r="C36" s="26">
        <f>(('Group Mean Concentrations'!B14/1000)*('Exposure &amp; Toxicity Inputs'!C5/1000)*'Exposure &amp; Toxicity Inputs'!C6*'Exposure &amp; Toxicity Inputs'!C7)/('Exposure &amp; Toxicity Inputs'!C4*'Exposure &amp; Toxicity Inputs'!B9)*'Exposure &amp; Toxicity Inputs'!C25</f>
        <v>1.7971428571428568E-6</v>
      </c>
      <c r="D36" s="26">
        <f>(('Group Mean Concentrations'!C14/1000)*('Exposure &amp; Toxicity Inputs'!B5/1000)*'Exposure &amp; Toxicity Inputs'!B6*'Exposure &amp; Toxicity Inputs'!B7)/('Exposure &amp; Toxicity Inputs'!B4*'Exposure &amp; Toxicity Inputs'!B9)*'Exposure &amp; Toxicity Inputs'!C25</f>
        <v>2.7368488888888888E-5</v>
      </c>
      <c r="E36" s="26">
        <f>(('Group Mean Concentrations'!C14/1000)*('Exposure &amp; Toxicity Inputs'!C5/1000)*'Exposure &amp; Toxicity Inputs'!C6*'Exposure &amp; Toxicity Inputs'!C7)/('Exposure &amp; Toxicity Inputs'!C4*'Exposure &amp; Toxicity Inputs'!B9)*'Exposure &amp; Toxicity Inputs'!C25</f>
        <v>5.4736977777777775E-6</v>
      </c>
      <c r="F36" s="26">
        <f>(('Group Mean Concentrations'!D14/1000)*('Exposure &amp; Toxicity Inputs'!B5/1000)*'Exposure &amp; Toxicity Inputs'!B6*'Exposure &amp; Toxicity Inputs'!B7)/('Exposure &amp; Toxicity Inputs'!B4*'Exposure &amp; Toxicity Inputs'!B9)*'Exposure &amp; Toxicity Inputs'!C25</f>
        <v>9.1588390476190462E-5</v>
      </c>
      <c r="G36" s="26">
        <f>(('Group Mean Concentrations'!D14/1000)*('Exposure &amp; Toxicity Inputs'!C5/1000)*'Exposure &amp; Toxicity Inputs'!C6*'Exposure &amp; Toxicity Inputs'!C7)/('Exposure &amp; Toxicity Inputs'!C4*'Exposure &amp; Toxicity Inputs'!B9)*'Exposure &amp; Toxicity Inputs'!C25</f>
        <v>1.8317678095238097E-5</v>
      </c>
      <c r="H36" s="26">
        <f>(('Group Mean Concentrations'!E14/1000)*('Exposure &amp; Toxicity Inputs'!B5/1000)*'Exposure &amp; Toxicity Inputs'!B6*'Exposure &amp; Toxicity Inputs'!B7)/('Exposure &amp; Toxicity Inputs'!B4*'Exposure &amp; Toxicity Inputs'!B9)*'Exposure &amp; Toxicity Inputs'!C25</f>
        <v>3.0631301587301585E-5</v>
      </c>
      <c r="I36" s="26">
        <f>(('Group Mean Concentrations'!E14/1000)*('Exposure &amp; Toxicity Inputs'!C5/1000)*'Exposure &amp; Toxicity Inputs'!C6*'Exposure &amp; Toxicity Inputs'!C7)/('Exposure &amp; Toxicity Inputs'!C4*'Exposure &amp; Toxicity Inputs'!B9)*'Exposure &amp; Toxicity Inputs'!C25</f>
        <v>6.1262603174603167E-6</v>
      </c>
      <c r="J36" s="26">
        <f>(('Group Mean Concentrations'!F14/1000)*('Exposure &amp; Toxicity Inputs'!B5/1000)*'Exposure &amp; Toxicity Inputs'!B6*'Exposure &amp; Toxicity Inputs'!B7)/('Exposure &amp; Toxicity Inputs'!B4*'Exposure &amp; Toxicity Inputs'!B9)*'Exposure &amp; Toxicity Inputs'!C25</f>
        <v>3.7745990476190478E-5</v>
      </c>
      <c r="K36" s="26">
        <f>(('Group Mean Concentrations'!F14/1000)*('Exposure &amp; Toxicity Inputs'!C5/1000)*'Exposure &amp; Toxicity Inputs'!C6*'Exposure &amp; Toxicity Inputs'!C7)/('Exposure &amp; Toxicity Inputs'!C4*'Exposure &amp; Toxicity Inputs'!B9)*'Exposure &amp; Toxicity Inputs'!C25</f>
        <v>7.5491980952380951E-6</v>
      </c>
      <c r="L36" s="26">
        <f>(('Group Mean Concentrations'!G14/1000)*('Exposure &amp; Toxicity Inputs'!B5/1000)*'Exposure &amp; Toxicity Inputs'!B6*'Exposure &amp; Toxicity Inputs'!B7)/('Exposure &amp; Toxicity Inputs'!B4*'Exposure &amp; Toxicity Inputs'!B9)*'Exposure &amp; Toxicity Inputs'!C25</f>
        <v>5.9565301587301583E-5</v>
      </c>
      <c r="M36" s="26">
        <f>(('Group Mean Concentrations'!G14/1000)*('Exposure &amp; Toxicity Inputs'!C5/1000)*'Exposure &amp; Toxicity Inputs'!C6*'Exposure &amp; Toxicity Inputs'!C7)/('Exposure &amp; Toxicity Inputs'!C4*'Exposure &amp; Toxicity Inputs'!B9)*'Exposure &amp; Toxicity Inputs'!C25</f>
        <v>1.1913060317460317E-5</v>
      </c>
      <c r="N36" s="26">
        <f>(('Group Mean Concentrations'!H14/1000)*('Exposure &amp; Toxicity Inputs'!B5/1000)*'Exposure &amp; Toxicity Inputs'!B6*'Exposure &amp; Toxicity Inputs'!B7)/('Exposure &amp; Toxicity Inputs'!B4*'Exposure &amp; Toxicity Inputs'!B9)*'Exposure &amp; Toxicity Inputs'!C25</f>
        <v>4.2647531216931209E-5</v>
      </c>
      <c r="O36" s="26">
        <f>(('Group Mean Concentrations'!H14/1000)*('Exposure &amp; Toxicity Inputs'!C5/1000)*'Exposure &amp; Toxicity Inputs'!C6*'Exposure &amp; Toxicity Inputs'!C7)/('Exposure &amp; Toxicity Inputs'!C4*'Exposure &amp; Toxicity Inputs'!B9)*'Exposure &amp; Toxicity Inputs'!C25</f>
        <v>8.5295062433862421E-6</v>
      </c>
    </row>
    <row r="37" spans="1:15" ht="15" customHeight="1" x14ac:dyDescent="0.25">
      <c r="A37" s="15" t="s">
        <v>36</v>
      </c>
      <c r="B37" s="26">
        <f>(('Group Mean Concentrations'!B15/1000)*('Exposure &amp; Toxicity Inputs'!B5/1000)*'Exposure &amp; Toxicity Inputs'!B6*'Exposure &amp; Toxicity Inputs'!B7)/('Exposure &amp; Toxicity Inputs'!B4*'Exposure &amp; Toxicity Inputs'!B9)*'Exposure &amp; Toxicity Inputs'!C26</f>
        <v>8.457142857142857E-6</v>
      </c>
      <c r="C37" s="26">
        <f>(('Group Mean Concentrations'!B15/1000)*('Exposure &amp; Toxicity Inputs'!C5/1000)*'Exposure &amp; Toxicity Inputs'!C6*'Exposure &amp; Toxicity Inputs'!C7)/('Exposure &amp; Toxicity Inputs'!C4*'Exposure &amp; Toxicity Inputs'!B9)*'Exposure &amp; Toxicity Inputs'!C26</f>
        <v>1.6914285714285711E-6</v>
      </c>
      <c r="D37" s="26">
        <f>(('Group Mean Concentrations'!C15/1000)*('Exposure &amp; Toxicity Inputs'!B5/1000)*'Exposure &amp; Toxicity Inputs'!B6*'Exposure &amp; Toxicity Inputs'!B7)/('Exposure &amp; Toxicity Inputs'!B4*'Exposure &amp; Toxicity Inputs'!B9)*'Exposure &amp; Toxicity Inputs'!C26</f>
        <v>7.0976101587301579E-5</v>
      </c>
      <c r="E37" s="26">
        <f>(('Group Mean Concentrations'!C15/1000)*('Exposure &amp; Toxicity Inputs'!C5/1000)*'Exposure &amp; Toxicity Inputs'!C6*'Exposure &amp; Toxicity Inputs'!C7)/('Exposure &amp; Toxicity Inputs'!C4*'Exposure &amp; Toxicity Inputs'!B9)*'Exposure &amp; Toxicity Inputs'!C26</f>
        <v>1.4195220317460317E-5</v>
      </c>
      <c r="F37" s="26">
        <f>(('Group Mean Concentrations'!D15/1000)*('Exposure &amp; Toxicity Inputs'!B5/1000)*'Exposure &amp; Toxicity Inputs'!B6*'Exposure &amp; Toxicity Inputs'!B7)/('Exposure &amp; Toxicity Inputs'!B4*'Exposure &amp; Toxicity Inputs'!B9)*'Exposure &amp; Toxicity Inputs'!C26</f>
        <v>1.0607136507936508E-4</v>
      </c>
      <c r="G37" s="26">
        <f>(('Group Mean Concentrations'!D15/1000)*('Exposure &amp; Toxicity Inputs'!C5/1000)*'Exposure &amp; Toxicity Inputs'!C6*'Exposure &amp; Toxicity Inputs'!C7)/('Exposure &amp; Toxicity Inputs'!C4*'Exposure &amp; Toxicity Inputs'!B9)*'Exposure &amp; Toxicity Inputs'!C26</f>
        <v>2.1214273015873015E-5</v>
      </c>
      <c r="H37" s="26">
        <f>(('Group Mean Concentrations'!E15/1000)*('Exposure &amp; Toxicity Inputs'!B5/1000)*'Exposure &amp; Toxicity Inputs'!B6*'Exposure &amp; Toxicity Inputs'!B7)/('Exposure &amp; Toxicity Inputs'!B4*'Exposure &amp; Toxicity Inputs'!B9)*'Exposure &amp; Toxicity Inputs'!C26</f>
        <v>3.742379682539682E-5</v>
      </c>
      <c r="I37" s="26">
        <f>(('Group Mean Concentrations'!E15/1000)*('Exposure &amp; Toxicity Inputs'!C5/1000)*'Exposure &amp; Toxicity Inputs'!C6*'Exposure &amp; Toxicity Inputs'!C7)/('Exposure &amp; Toxicity Inputs'!C4*'Exposure &amp; Toxicity Inputs'!B9)*'Exposure &amp; Toxicity Inputs'!C26</f>
        <v>7.4847593650793634E-6</v>
      </c>
      <c r="J37" s="26">
        <f>(('Group Mean Concentrations'!F15/1000)*('Exposure &amp; Toxicity Inputs'!B5/1000)*'Exposure &amp; Toxicity Inputs'!B6*'Exposure &amp; Toxicity Inputs'!B7)/('Exposure &amp; Toxicity Inputs'!B4*'Exposure &amp; Toxicity Inputs'!B9)*'Exposure &amp; Toxicity Inputs'!C26</f>
        <v>6.9859758730158721E-5</v>
      </c>
      <c r="K37" s="26">
        <f>(('Group Mean Concentrations'!F15/1000)*('Exposure &amp; Toxicity Inputs'!C5/1000)*'Exposure &amp; Toxicity Inputs'!C6*'Exposure &amp; Toxicity Inputs'!C7)/('Exposure &amp; Toxicity Inputs'!C4*'Exposure &amp; Toxicity Inputs'!B9)*'Exposure &amp; Toxicity Inputs'!C26</f>
        <v>1.3971951746031743E-5</v>
      </c>
      <c r="L37" s="26">
        <f>(('Group Mean Concentrations'!G15/1000)*('Exposure &amp; Toxicity Inputs'!B5/1000)*'Exposure &amp; Toxicity Inputs'!B6*'Exposure &amp; Toxicity Inputs'!B7)/('Exposure &amp; Toxicity Inputs'!B4*'Exposure &amp; Toxicity Inputs'!B9)*'Exposure &amp; Toxicity Inputs'!C26</f>
        <v>7.822105396825396E-5</v>
      </c>
      <c r="M37" s="26">
        <f>(('Group Mean Concentrations'!G15/1000)*('Exposure &amp; Toxicity Inputs'!C5/1000)*'Exposure &amp; Toxicity Inputs'!C6*'Exposure &amp; Toxicity Inputs'!C7)/('Exposure &amp; Toxicity Inputs'!C4*'Exposure &amp; Toxicity Inputs'!B9)*'Exposure &amp; Toxicity Inputs'!C26</f>
        <v>1.5644210793650792E-5</v>
      </c>
      <c r="N37" s="26">
        <f>(('Group Mean Concentrations'!H15/1000)*('Exposure &amp; Toxicity Inputs'!B5/1000)*'Exposure &amp; Toxicity Inputs'!B6*'Exposure &amp; Toxicity Inputs'!B7)/('Exposure &amp; Toxicity Inputs'!B4*'Exposure &amp; Toxicity Inputs'!B9)*'Exposure &amp; Toxicity Inputs'!C26</f>
        <v>6.1834869841269845E-5</v>
      </c>
      <c r="O37" s="26">
        <f>(('Group Mean Concentrations'!H15/1000)*('Exposure &amp; Toxicity Inputs'!C5/1000)*'Exposure &amp; Toxicity Inputs'!C6*'Exposure &amp; Toxicity Inputs'!C7)/('Exposure &amp; Toxicity Inputs'!C4*'Exposure &amp; Toxicity Inputs'!B9)*'Exposure &amp; Toxicity Inputs'!C26</f>
        <v>1.2366973968253968E-5</v>
      </c>
    </row>
    <row r="38" spans="1:15" ht="15" customHeight="1" x14ac:dyDescent="0.25">
      <c r="A38" s="15" t="s">
        <v>37</v>
      </c>
      <c r="B38" s="26">
        <f>(('Group Mean Concentrations'!B16/1000)*('Exposure &amp; Toxicity Inputs'!B5/1000)*'Exposure &amp; Toxicity Inputs'!B6*'Exposure &amp; Toxicity Inputs'!B7)/('Exposure &amp; Toxicity Inputs'!B4*'Exposure &amp; Toxicity Inputs'!B9)*'Exposure &amp; Toxicity Inputs'!C27</f>
        <v>2.3785714285714284E-6</v>
      </c>
      <c r="C38" s="26">
        <f>(('Group Mean Concentrations'!B16/1000)*('Exposure &amp; Toxicity Inputs'!C5/1000)*'Exposure &amp; Toxicity Inputs'!C6*'Exposure &amp; Toxicity Inputs'!C7)/('Exposure &amp; Toxicity Inputs'!C4*'Exposure &amp; Toxicity Inputs'!B9)*'Exposure &amp; Toxicity Inputs'!C27</f>
        <v>4.7571428571428562E-7</v>
      </c>
      <c r="D38" s="26">
        <f>(('Group Mean Concentrations'!C16/1000)*('Exposure &amp; Toxicity Inputs'!B5/1000)*'Exposure &amp; Toxicity Inputs'!B6*'Exposure &amp; Toxicity Inputs'!B7)/('Exposure &amp; Toxicity Inputs'!B4*'Exposure &amp; Toxicity Inputs'!B9)*'Exposure &amp; Toxicity Inputs'!C27</f>
        <v>6.9961714285714272E-6</v>
      </c>
      <c r="E38" s="26">
        <f>(('Group Mean Concentrations'!C16/1000)*('Exposure &amp; Toxicity Inputs'!C5/1000)*'Exposure &amp; Toxicity Inputs'!C6*'Exposure &amp; Toxicity Inputs'!C7)/('Exposure &amp; Toxicity Inputs'!C4*'Exposure &amp; Toxicity Inputs'!B9)*'Exposure &amp; Toxicity Inputs'!C27</f>
        <v>1.3992342857142856E-6</v>
      </c>
      <c r="F38" s="26">
        <f>(('Group Mean Concentrations'!D16/1000)*('Exposure &amp; Toxicity Inputs'!B5/1000)*'Exposure &amp; Toxicity Inputs'!B6*'Exposure &amp; Toxicity Inputs'!B7)/('Exposure &amp; Toxicity Inputs'!B4*'Exposure &amp; Toxicity Inputs'!B9)*'Exposure &amp; Toxicity Inputs'!C27</f>
        <v>1.2268142857142858E-5</v>
      </c>
      <c r="G38" s="26">
        <f>(('Group Mean Concentrations'!D16/1000)*('Exposure &amp; Toxicity Inputs'!C5/1000)*'Exposure &amp; Toxicity Inputs'!C6*'Exposure &amp; Toxicity Inputs'!C7)/('Exposure &amp; Toxicity Inputs'!C4*'Exposure &amp; Toxicity Inputs'!B9)*'Exposure &amp; Toxicity Inputs'!C27</f>
        <v>2.4536285714285712E-6</v>
      </c>
      <c r="H38" s="26">
        <f>(('Group Mean Concentrations'!E16/1000)*('Exposure &amp; Toxicity Inputs'!B5/1000)*'Exposure &amp; Toxicity Inputs'!B6*'Exposure &amp; Toxicity Inputs'!B7)/('Exposure &amp; Toxicity Inputs'!B4*'Exposure &amp; Toxicity Inputs'!B9)*'Exposure &amp; Toxicity Inputs'!C27</f>
        <v>4.5150571428571422E-6</v>
      </c>
      <c r="I38" s="26">
        <f>(('Group Mean Concentrations'!E16/1000)*('Exposure &amp; Toxicity Inputs'!C5/1000)*'Exposure &amp; Toxicity Inputs'!C6*'Exposure &amp; Toxicity Inputs'!C7)/('Exposure &amp; Toxicity Inputs'!C4*'Exposure &amp; Toxicity Inputs'!B9)*'Exposure &amp; Toxicity Inputs'!C27</f>
        <v>9.0301142857142836E-7</v>
      </c>
      <c r="J38" s="26">
        <f>(('Group Mean Concentrations'!F16/1000)*('Exposure &amp; Toxicity Inputs'!B5/1000)*'Exposure &amp; Toxicity Inputs'!B6*'Exposure &amp; Toxicity Inputs'!B7)/('Exposure &amp; Toxicity Inputs'!B4*'Exposure &amp; Toxicity Inputs'!B9)*'Exposure &amp; Toxicity Inputs'!C27</f>
        <v>7.5781285714285706E-6</v>
      </c>
      <c r="K38" s="26">
        <f>(('Group Mean Concentrations'!F16/1000)*('Exposure &amp; Toxicity Inputs'!C5/1000)*'Exposure &amp; Toxicity Inputs'!C6*'Exposure &amp; Toxicity Inputs'!C7)/('Exposure &amp; Toxicity Inputs'!C4*'Exposure &amp; Toxicity Inputs'!B9)*'Exposure &amp; Toxicity Inputs'!C27</f>
        <v>1.5156257142857144E-6</v>
      </c>
      <c r="L38" s="26">
        <f>(('Group Mean Concentrations'!G16/1000)*('Exposure &amp; Toxicity Inputs'!B5/1000)*'Exposure &amp; Toxicity Inputs'!B6*'Exposure &amp; Toxicity Inputs'!B7)/('Exposure &amp; Toxicity Inputs'!B4*'Exposure &amp; Toxicity Inputs'!B9)*'Exposure &amp; Toxicity Inputs'!C27</f>
        <v>9.5496999999999994E-6</v>
      </c>
      <c r="M38" s="26">
        <f>(('Group Mean Concentrations'!G16/1000)*('Exposure &amp; Toxicity Inputs'!C5/1000)*'Exposure &amp; Toxicity Inputs'!C6*'Exposure &amp; Toxicity Inputs'!C7)/('Exposure &amp; Toxicity Inputs'!C4*'Exposure &amp; Toxicity Inputs'!B9)*'Exposure &amp; Toxicity Inputs'!C27</f>
        <v>1.90994E-6</v>
      </c>
      <c r="N38" s="26">
        <f>(('Group Mean Concentrations'!H16/1000)*('Exposure &amp; Toxicity Inputs'!B5/1000)*'Exposure &amp; Toxicity Inputs'!B6*'Exposure &amp; Toxicity Inputs'!B7)/('Exposure &amp; Toxicity Inputs'!B4*'Exposure &amp; Toxicity Inputs'!B9)*'Exposure &amp; Toxicity Inputs'!C27</f>
        <v>7.2142952380952374E-6</v>
      </c>
      <c r="O38" s="26">
        <f>(('Group Mean Concentrations'!H16/1000)*('Exposure &amp; Toxicity Inputs'!C5/1000)*'Exposure &amp; Toxicity Inputs'!C6*'Exposure &amp; Toxicity Inputs'!C7)/('Exposure &amp; Toxicity Inputs'!C4*'Exposure &amp; Toxicity Inputs'!B9)*'Exposure &amp; Toxicity Inputs'!C27</f>
        <v>1.4428590476190474E-6</v>
      </c>
    </row>
    <row r="39" spans="1:15" ht="15" customHeight="1" x14ac:dyDescent="0.25">
      <c r="A39" s="15" t="s">
        <v>38</v>
      </c>
      <c r="B39" s="26">
        <f>(('Group Mean Concentrations'!B17/1000)*('Exposure &amp; Toxicity Inputs'!B5/1000)*'Exposure &amp; Toxicity Inputs'!B6*'Exposure &amp; Toxicity Inputs'!B7)/('Exposure &amp; Toxicity Inputs'!B4*'Exposure &amp; Toxicity Inputs'!B9)*'Exposure &amp; Toxicity Inputs'!C28</f>
        <v>1.3252084444444441E-5</v>
      </c>
      <c r="C39" s="26">
        <f>(('Group Mean Concentrations'!B17/1000)*('Exposure &amp; Toxicity Inputs'!C5/1000)*'Exposure &amp; Toxicity Inputs'!C6*'Exposure &amp; Toxicity Inputs'!C7)/('Exposure &amp; Toxicity Inputs'!C4*'Exposure &amp; Toxicity Inputs'!B9)*'Exposure &amp; Toxicity Inputs'!C28</f>
        <v>2.650416888888889E-6</v>
      </c>
      <c r="D39" s="26">
        <f>(('Group Mean Concentrations'!C17/1000)*('Exposure &amp; Toxicity Inputs'!B5/1000)*'Exposure &amp; Toxicity Inputs'!B6*'Exposure &amp; Toxicity Inputs'!B7)/('Exposure &amp; Toxicity Inputs'!B4*'Exposure &amp; Toxicity Inputs'!B9)*'Exposure &amp; Toxicity Inputs'!C28</f>
        <v>2.5094304444444448E-5</v>
      </c>
      <c r="E39" s="26">
        <f>(('Group Mean Concentrations'!C17/1000)*('Exposure &amp; Toxicity Inputs'!C5/1000)*'Exposure &amp; Toxicity Inputs'!C6*'Exposure &amp; Toxicity Inputs'!C7)/('Exposure &amp; Toxicity Inputs'!C4*'Exposure &amp; Toxicity Inputs'!B9)*'Exposure &amp; Toxicity Inputs'!C28</f>
        <v>5.018860888888889E-6</v>
      </c>
      <c r="F39" s="26">
        <f>(('Group Mean Concentrations'!D17/1000)*('Exposure &amp; Toxicity Inputs'!B5/1000)*'Exposure &amp; Toxicity Inputs'!B6*'Exposure &amp; Toxicity Inputs'!B7)/('Exposure &amp; Toxicity Inputs'!B4*'Exposure &amp; Toxicity Inputs'!B9)*'Exposure &amp; Toxicity Inputs'!C28</f>
        <v>4.0361244444444431E-5</v>
      </c>
      <c r="G39" s="26">
        <f>(('Group Mean Concentrations'!D17/1000)*('Exposure &amp; Toxicity Inputs'!C5/1000)*'Exposure &amp; Toxicity Inputs'!C6*'Exposure &amp; Toxicity Inputs'!C7)/('Exposure &amp; Toxicity Inputs'!C4*'Exposure &amp; Toxicity Inputs'!B9)*'Exposure &amp; Toxicity Inputs'!C28</f>
        <v>8.0722488888888856E-6</v>
      </c>
      <c r="H39" s="26">
        <f>(('Group Mean Concentrations'!E17/1000)*('Exposure &amp; Toxicity Inputs'!B5/1000)*'Exposure &amp; Toxicity Inputs'!B6*'Exposure &amp; Toxicity Inputs'!B7)/('Exposure &amp; Toxicity Inputs'!B4*'Exposure &amp; Toxicity Inputs'!B9)*'Exposure &amp; Toxicity Inputs'!C28</f>
        <v>1.3451966666666666E-5</v>
      </c>
      <c r="I39" s="26">
        <f>(('Group Mean Concentrations'!E17/1000)*('Exposure &amp; Toxicity Inputs'!C5/1000)*'Exposure &amp; Toxicity Inputs'!C6*'Exposure &amp; Toxicity Inputs'!C7)/('Exposure &amp; Toxicity Inputs'!C4*'Exposure &amp; Toxicity Inputs'!B9)*'Exposure &amp; Toxicity Inputs'!C28</f>
        <v>2.6903933333333328E-6</v>
      </c>
      <c r="J39" s="26">
        <f>(('Group Mean Concentrations'!F17/1000)*('Exposure &amp; Toxicity Inputs'!B5/1000)*'Exposure &amp; Toxicity Inputs'!B6*'Exposure &amp; Toxicity Inputs'!B7)/('Exposure &amp; Toxicity Inputs'!B4*'Exposure &amp; Toxicity Inputs'!B9)*'Exposure &amp; Toxicity Inputs'!C28</f>
        <v>2.5800840000000001E-5</v>
      </c>
      <c r="K39" s="26">
        <f>(('Group Mean Concentrations'!F17/1000)*('Exposure &amp; Toxicity Inputs'!C5/1000)*'Exposure &amp; Toxicity Inputs'!C6*'Exposure &amp; Toxicity Inputs'!C7)/('Exposure &amp; Toxicity Inputs'!C4*'Exposure &amp; Toxicity Inputs'!B9)*'Exposure &amp; Toxicity Inputs'!C28</f>
        <v>5.1601680000000001E-6</v>
      </c>
      <c r="L39" s="26">
        <f>(('Group Mean Concentrations'!G17/1000)*('Exposure &amp; Toxicity Inputs'!B5/1000)*'Exposure &amp; Toxicity Inputs'!B6*'Exposure &amp; Toxicity Inputs'!B7)/('Exposure &amp; Toxicity Inputs'!B4*'Exposure &amp; Toxicity Inputs'!B9)*'Exposure &amp; Toxicity Inputs'!C28</f>
        <v>3.9454826666666671E-5</v>
      </c>
      <c r="M39" s="26">
        <f>(('Group Mean Concentrations'!G17/1000)*('Exposure &amp; Toxicity Inputs'!C5/1000)*'Exposure &amp; Toxicity Inputs'!C6*'Exposure &amp; Toxicity Inputs'!C7)/('Exposure &amp; Toxicity Inputs'!C4*'Exposure &amp; Toxicity Inputs'!B9)*'Exposure &amp; Toxicity Inputs'!C28</f>
        <v>7.8909653333333336E-6</v>
      </c>
      <c r="N39" s="26">
        <f>(('Group Mean Concentrations'!H17/1000)*('Exposure &amp; Toxicity Inputs'!B5/1000)*'Exposure &amp; Toxicity Inputs'!B6*'Exposure &amp; Toxicity Inputs'!B7)/('Exposure &amp; Toxicity Inputs'!B4*'Exposure &amp; Toxicity Inputs'!B9)*'Exposure &amp; Toxicity Inputs'!C28</f>
        <v>2.6235877777777769E-5</v>
      </c>
      <c r="O39" s="26">
        <f>(('Group Mean Concentrations'!H17/1000)*('Exposure &amp; Toxicity Inputs'!C5/1000)*'Exposure &amp; Toxicity Inputs'!C6*'Exposure &amp; Toxicity Inputs'!C7)/('Exposure &amp; Toxicity Inputs'!C4*'Exposure &amp; Toxicity Inputs'!B9)*'Exposure &amp; Toxicity Inputs'!C28</f>
        <v>5.2471755555555535E-6</v>
      </c>
    </row>
    <row r="40" spans="1:15" ht="15" customHeight="1" x14ac:dyDescent="0.25">
      <c r="A40" s="17" t="s">
        <v>123</v>
      </c>
      <c r="B40" s="27">
        <f t="shared" ref="B40:O40" si="1">SUM(B26:B39)</f>
        <v>5.8584552571428569E-5</v>
      </c>
      <c r="C40" s="27">
        <f t="shared" si="1"/>
        <v>1.1716910514285712E-5</v>
      </c>
      <c r="D40" s="27">
        <f t="shared" si="1"/>
        <v>1.5904969174603174E-4</v>
      </c>
      <c r="E40" s="27">
        <f t="shared" si="1"/>
        <v>3.1809938349206347E-5</v>
      </c>
      <c r="F40" s="27">
        <f t="shared" si="1"/>
        <v>2.986346466666666E-4</v>
      </c>
      <c r="G40" s="27">
        <f t="shared" si="1"/>
        <v>5.9726929333333328E-5</v>
      </c>
      <c r="H40" s="27">
        <f t="shared" si="1"/>
        <v>1.0757412888888887E-4</v>
      </c>
      <c r="I40" s="27">
        <f t="shared" si="1"/>
        <v>2.1514825777777773E-5</v>
      </c>
      <c r="J40" s="27">
        <f t="shared" si="1"/>
        <v>1.7084055104761903E-4</v>
      </c>
      <c r="K40" s="27">
        <f t="shared" si="1"/>
        <v>3.4168110209523808E-5</v>
      </c>
      <c r="L40" s="27">
        <f t="shared" si="1"/>
        <v>2.3785421104761904E-4</v>
      </c>
      <c r="M40" s="27">
        <f t="shared" si="1"/>
        <v>4.7570842209523808E-5</v>
      </c>
      <c r="N40" s="27">
        <f t="shared" si="1"/>
        <v>1.7208963032804231E-4</v>
      </c>
      <c r="O40" s="27">
        <f t="shared" si="1"/>
        <v>3.4417926065608461E-5</v>
      </c>
    </row>
    <row r="42" spans="1:15" ht="15" customHeight="1" x14ac:dyDescent="0.25">
      <c r="A42" s="47" t="s">
        <v>124</v>
      </c>
      <c r="B42" s="47"/>
      <c r="C42" s="47"/>
      <c r="D42" s="47"/>
      <c r="E42" s="47"/>
      <c r="F42" s="47"/>
      <c r="G42" s="47"/>
      <c r="H42" s="47"/>
    </row>
  </sheetData>
  <mergeCells count="17">
    <mergeCell ref="A1:O1"/>
    <mergeCell ref="A2:O2"/>
    <mergeCell ref="B4:C4"/>
    <mergeCell ref="D4:E4"/>
    <mergeCell ref="F4:G4"/>
    <mergeCell ref="H4:I4"/>
    <mergeCell ref="J4:K4"/>
    <mergeCell ref="L4:M4"/>
    <mergeCell ref="N4:O4"/>
    <mergeCell ref="L24:M24"/>
    <mergeCell ref="N24:O24"/>
    <mergeCell ref="A42:H42"/>
    <mergeCell ref="B24:C24"/>
    <mergeCell ref="D24:E24"/>
    <mergeCell ref="F24:G24"/>
    <mergeCell ref="H24:I24"/>
    <mergeCell ref="J24:K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16" style="1" customWidth="1"/>
    <col min="2" max="2" width="10" style="1" customWidth="1"/>
    <col min="3" max="3" width="13" style="1" customWidth="1"/>
    <col min="4" max="4" width="16" style="1" customWidth="1"/>
  </cols>
  <sheetData>
    <row r="1" spans="1:4" ht="15.75" customHeight="1" x14ac:dyDescent="0.25">
      <c r="A1" s="44" t="s">
        <v>125</v>
      </c>
      <c r="B1" s="44"/>
      <c r="C1" s="44"/>
      <c r="D1" s="44"/>
    </row>
    <row r="3" spans="1:4" ht="15" customHeight="1" x14ac:dyDescent="0.25">
      <c r="A3" s="4" t="s">
        <v>126</v>
      </c>
      <c r="B3" s="4" t="s">
        <v>127</v>
      </c>
      <c r="C3" s="4" t="s">
        <v>128</v>
      </c>
      <c r="D3" s="4" t="s">
        <v>129</v>
      </c>
    </row>
    <row r="4" spans="1:4" ht="15" customHeight="1" x14ac:dyDescent="0.25">
      <c r="A4" s="15" t="s">
        <v>41</v>
      </c>
      <c r="B4" s="15" t="s">
        <v>89</v>
      </c>
      <c r="C4" s="7">
        <f>'Risk Assessment'!B20</f>
        <v>0.19162550280830279</v>
      </c>
      <c r="D4" s="26">
        <f>'Risk Assessment'!B40</f>
        <v>5.8584552571428569E-5</v>
      </c>
    </row>
    <row r="5" spans="1:4" ht="15" customHeight="1" x14ac:dyDescent="0.25">
      <c r="A5" s="15" t="s">
        <v>41</v>
      </c>
      <c r="B5" s="15" t="s">
        <v>90</v>
      </c>
      <c r="C5" s="7">
        <f>'Risk Assessment'!C20</f>
        <v>0.4471261732193732</v>
      </c>
      <c r="D5" s="26">
        <f>'Risk Assessment'!C40</f>
        <v>1.1716910514285712E-5</v>
      </c>
    </row>
    <row r="6" spans="1:4" ht="15" customHeight="1" x14ac:dyDescent="0.25">
      <c r="A6" s="15" t="s">
        <v>54</v>
      </c>
      <c r="B6" s="15" t="s">
        <v>89</v>
      </c>
      <c r="C6" s="7">
        <f>'Risk Assessment'!D20</f>
        <v>0.42439216247456246</v>
      </c>
      <c r="D6" s="26">
        <f>'Risk Assessment'!D40</f>
        <v>1.5904969174603174E-4</v>
      </c>
    </row>
    <row r="7" spans="1:4" ht="15" customHeight="1" x14ac:dyDescent="0.25">
      <c r="A7" s="15" t="s">
        <v>54</v>
      </c>
      <c r="B7" s="15" t="s">
        <v>90</v>
      </c>
      <c r="C7" s="7">
        <f>'Risk Assessment'!E20</f>
        <v>0.99024837910731245</v>
      </c>
      <c r="D7" s="26">
        <f>'Risk Assessment'!E40</f>
        <v>3.1809938349206347E-5</v>
      </c>
    </row>
    <row r="8" spans="1:4" ht="15" customHeight="1" x14ac:dyDescent="0.25">
      <c r="A8" s="15" t="s">
        <v>64</v>
      </c>
      <c r="B8" s="15" t="s">
        <v>89</v>
      </c>
      <c r="C8" s="7">
        <f>'Risk Assessment'!F20</f>
        <v>0.76973414570614551</v>
      </c>
      <c r="D8" s="26">
        <f>'Risk Assessment'!F40</f>
        <v>2.986346466666666E-4</v>
      </c>
    </row>
    <row r="9" spans="1:4" ht="15" customHeight="1" x14ac:dyDescent="0.25">
      <c r="A9" s="15" t="s">
        <v>64</v>
      </c>
      <c r="B9" s="15" t="s">
        <v>90</v>
      </c>
      <c r="C9" s="7">
        <f>'Risk Assessment'!G20</f>
        <v>1.7960463399810063</v>
      </c>
      <c r="D9" s="26">
        <f>'Risk Assessment'!G40</f>
        <v>5.9726929333333328E-5</v>
      </c>
    </row>
    <row r="10" spans="1:4" ht="15" customHeight="1" x14ac:dyDescent="0.25">
      <c r="A10" s="15" t="s">
        <v>46</v>
      </c>
      <c r="B10" s="15" t="s">
        <v>89</v>
      </c>
      <c r="C10" s="7">
        <f>'Risk Assessment'!H20</f>
        <v>0.27088513487993487</v>
      </c>
      <c r="D10" s="26">
        <f>'Risk Assessment'!H40</f>
        <v>1.0757412888888887E-4</v>
      </c>
    </row>
    <row r="11" spans="1:4" ht="15" customHeight="1" x14ac:dyDescent="0.25">
      <c r="A11" s="15" t="s">
        <v>46</v>
      </c>
      <c r="B11" s="15" t="s">
        <v>90</v>
      </c>
      <c r="C11" s="7">
        <f>'Risk Assessment'!I20</f>
        <v>0.63206531471984806</v>
      </c>
      <c r="D11" s="26">
        <f>'Risk Assessment'!I40</f>
        <v>2.1514825777777773E-5</v>
      </c>
    </row>
    <row r="12" spans="1:4" ht="15" customHeight="1" x14ac:dyDescent="0.25">
      <c r="A12" s="15" t="s">
        <v>42</v>
      </c>
      <c r="B12" s="15" t="s">
        <v>89</v>
      </c>
      <c r="C12" s="7">
        <f>'Risk Assessment'!J20</f>
        <v>0.45669885779405783</v>
      </c>
      <c r="D12" s="26">
        <f>'Risk Assessment'!J40</f>
        <v>1.7084055104761903E-4</v>
      </c>
    </row>
    <row r="13" spans="1:4" ht="15" customHeight="1" x14ac:dyDescent="0.25">
      <c r="A13" s="15" t="s">
        <v>42</v>
      </c>
      <c r="B13" s="15" t="s">
        <v>90</v>
      </c>
      <c r="C13" s="7">
        <f>'Risk Assessment'!K20</f>
        <v>1.0656306681861347</v>
      </c>
      <c r="D13" s="26">
        <f>'Risk Assessment'!K40</f>
        <v>3.4168110209523808E-5</v>
      </c>
    </row>
    <row r="14" spans="1:4" ht="15" customHeight="1" x14ac:dyDescent="0.25">
      <c r="A14" s="15" t="s">
        <v>50</v>
      </c>
      <c r="B14" s="15" t="s">
        <v>89</v>
      </c>
      <c r="C14" s="7">
        <f>'Risk Assessment'!L20</f>
        <v>0.65816781831501836</v>
      </c>
      <c r="D14" s="26">
        <f>'Risk Assessment'!L40</f>
        <v>2.3785421104761904E-4</v>
      </c>
    </row>
    <row r="15" spans="1:4" ht="15" customHeight="1" x14ac:dyDescent="0.25">
      <c r="A15" s="15" t="s">
        <v>50</v>
      </c>
      <c r="B15" s="15" t="s">
        <v>90</v>
      </c>
      <c r="C15" s="7">
        <f>'Risk Assessment'!M20</f>
        <v>1.5357249094017096</v>
      </c>
      <c r="D15" s="26">
        <f>'Risk Assessment'!M40</f>
        <v>4.7570842209523808E-5</v>
      </c>
    </row>
    <row r="16" spans="1:4" ht="15" customHeight="1" x14ac:dyDescent="0.25">
      <c r="A16" s="13" t="s">
        <v>84</v>
      </c>
      <c r="B16" s="13" t="s">
        <v>89</v>
      </c>
      <c r="C16" s="25">
        <f>'Risk Assessment'!N20</f>
        <v>0.46191727032967023</v>
      </c>
      <c r="D16" s="27">
        <f>'Risk Assessment'!N40</f>
        <v>1.7208963032804231E-4</v>
      </c>
    </row>
    <row r="17" spans="1:6" ht="15" customHeight="1" x14ac:dyDescent="0.25">
      <c r="A17" s="13" t="s">
        <v>84</v>
      </c>
      <c r="B17" s="13" t="s">
        <v>90</v>
      </c>
      <c r="C17" s="25">
        <f>'Risk Assessment'!O20</f>
        <v>1.0778069641025638</v>
      </c>
      <c r="D17" s="27">
        <f>'Risk Assessment'!O40</f>
        <v>3.4417926065608461E-5</v>
      </c>
    </row>
    <row r="19" spans="1:6" ht="32.25" customHeight="1" x14ac:dyDescent="0.25">
      <c r="A19" s="45" t="s">
        <v>130</v>
      </c>
      <c r="B19" s="45"/>
      <c r="C19" s="45"/>
      <c r="D19" s="45"/>
      <c r="E19" s="45"/>
      <c r="F19" s="45"/>
    </row>
  </sheetData>
  <mergeCells count="2">
    <mergeCell ref="A1:D1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16" style="1" customWidth="1"/>
    <col min="2" max="2" width="40" style="1" customWidth="1"/>
    <col min="3" max="3" width="8" style="1" customWidth="1"/>
  </cols>
  <sheetData>
    <row r="1" spans="1:3" ht="15.75" customHeight="1" x14ac:dyDescent="0.25">
      <c r="A1" s="44" t="s">
        <v>131</v>
      </c>
      <c r="B1" s="44"/>
      <c r="C1" s="44"/>
    </row>
    <row r="3" spans="1:3" ht="15" customHeight="1" x14ac:dyDescent="0.25">
      <c r="A3" s="4" t="s">
        <v>126</v>
      </c>
      <c r="B3" s="4" t="s">
        <v>132</v>
      </c>
      <c r="C3" s="4" t="s">
        <v>81</v>
      </c>
    </row>
    <row r="4" spans="1:3" ht="15" customHeight="1" x14ac:dyDescent="0.25">
      <c r="A4" s="15" t="s">
        <v>41</v>
      </c>
      <c r="B4" s="15" t="str">
        <f>TEXT('Group Mean Concentrations'!B19,"0.00")&amp;" ± "&amp;TEXT('Group Mean Concentrations'!B20,"0.00")</f>
        <v>20.86 ± 12.26</v>
      </c>
      <c r="C4" s="15">
        <v>9</v>
      </c>
    </row>
    <row r="5" spans="1:3" ht="15" customHeight="1" x14ac:dyDescent="0.25">
      <c r="A5" s="15" t="s">
        <v>54</v>
      </c>
      <c r="B5" s="15" t="str">
        <f>TEXT('Group Mean Concentrations'!C19,"0.00")&amp;" ± "&amp;TEXT('Group Mean Concentrations'!C20,"0.00")</f>
        <v>35.26 ± 12.68</v>
      </c>
      <c r="C5" s="15">
        <v>9</v>
      </c>
    </row>
    <row r="6" spans="1:3" ht="15" customHeight="1" x14ac:dyDescent="0.25">
      <c r="A6" s="15" t="s">
        <v>64</v>
      </c>
      <c r="B6" s="15" t="str">
        <f>TEXT('Group Mean Concentrations'!D19,"0.00")&amp;" ± "&amp;TEXT('Group Mean Concentrations'!D20,"0.00")</f>
        <v>60.06 ± 14.39</v>
      </c>
      <c r="C6" s="15">
        <v>9</v>
      </c>
    </row>
    <row r="7" spans="1:3" ht="15" customHeight="1" x14ac:dyDescent="0.25">
      <c r="A7" s="15" t="s">
        <v>46</v>
      </c>
      <c r="B7" s="15" t="str">
        <f>TEXT('Group Mean Concentrations'!E19,"0.00")&amp;" ± "&amp;TEXT('Group Mean Concentrations'!E20,"0.00")</f>
        <v>24.54 ± 17.22</v>
      </c>
      <c r="C7" s="15">
        <v>9</v>
      </c>
    </row>
    <row r="8" spans="1:3" ht="15" customHeight="1" x14ac:dyDescent="0.25">
      <c r="A8" s="15" t="s">
        <v>42</v>
      </c>
      <c r="B8" s="15" t="str">
        <f>TEXT('Group Mean Concentrations'!F19,"0.00")&amp;" ± "&amp;TEXT('Group Mean Concentrations'!F20,"0.00")</f>
        <v>37.73 ± 15.81</v>
      </c>
      <c r="C8" s="15">
        <v>9</v>
      </c>
    </row>
    <row r="9" spans="1:3" ht="15" customHeight="1" x14ac:dyDescent="0.25">
      <c r="A9" s="15" t="s">
        <v>50</v>
      </c>
      <c r="B9" s="15" t="str">
        <f>TEXT('Group Mean Concentrations'!G19,"0.00")&amp;" ± "&amp;TEXT('Group Mean Concentrations'!G20,"0.00")</f>
        <v>53.90 ± 19.21</v>
      </c>
      <c r="C9" s="15">
        <v>9</v>
      </c>
    </row>
    <row r="10" spans="1:3" ht="15" customHeight="1" x14ac:dyDescent="0.25">
      <c r="A10" s="8" t="s">
        <v>133</v>
      </c>
      <c r="B10" s="28" t="str">
        <f>"Kruskal–Wallis H = "&amp;TEXT('Kruskal-Wallis Test'!D52,"0.00")&amp;", p = "&amp;TEXT('Kruskal-Wallis Test'!F52,"0.0000")</f>
        <v>Kruskal–Wallis H = 17.55, p = 0.0002</v>
      </c>
    </row>
    <row r="11" spans="1:3" ht="15" customHeight="1" x14ac:dyDescent="0.25">
      <c r="A11" s="8" t="s">
        <v>134</v>
      </c>
      <c r="B11" s="28" t="str">
        <f>"Kruskal–Wallis H = "&amp;TEXT('Kruskal-Wallis Test'!D53,"0.00")&amp;", p = "&amp;TEXT('Kruskal-Wallis Test'!F53,"0.0000")</f>
        <v>Kruskal–Wallis H = 7.33, p = 0.0257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0"/>
  <sheetViews>
    <sheetView showGridLines="0" zoomScaleNormal="100" workbookViewId="0">
      <pane ySplit="4" topLeftCell="A5" activePane="bottomLeft" state="frozen"/>
      <selection pane="bottomLeft" sqref="A1:H1"/>
    </sheetView>
  </sheetViews>
  <sheetFormatPr defaultColWidth="8.7109375" defaultRowHeight="15" x14ac:dyDescent="0.25"/>
  <cols>
    <col min="1" max="1" width="30" style="1" customWidth="1"/>
    <col min="2" max="2" width="60" style="1" customWidth="1"/>
    <col min="3" max="3" width="18" style="1" customWidth="1"/>
    <col min="4" max="4" width="13" style="1" customWidth="1"/>
    <col min="5" max="5" width="16" style="1" customWidth="1"/>
    <col min="6" max="6" width="11" style="1" customWidth="1"/>
    <col min="7" max="7" width="34" style="1" customWidth="1"/>
  </cols>
  <sheetData>
    <row r="1" spans="1:8" ht="15.75" customHeight="1" x14ac:dyDescent="0.25">
      <c r="A1" s="44" t="s">
        <v>135</v>
      </c>
      <c r="B1" s="44"/>
      <c r="C1" s="44"/>
      <c r="D1" s="44"/>
      <c r="E1" s="44"/>
      <c r="F1" s="44"/>
      <c r="G1" s="44"/>
      <c r="H1" s="44"/>
    </row>
    <row r="2" spans="1:8" ht="15" customHeight="1" x14ac:dyDescent="0.25">
      <c r="A2" s="47" t="s">
        <v>136</v>
      </c>
      <c r="B2" s="47"/>
      <c r="C2" s="47"/>
      <c r="D2" s="47"/>
      <c r="E2" s="47"/>
      <c r="F2" s="47"/>
      <c r="G2" s="47"/>
      <c r="H2" s="47"/>
    </row>
    <row r="4" spans="1:8" ht="23.25" customHeight="1" x14ac:dyDescent="0.25">
      <c r="A4" s="4" t="s">
        <v>22</v>
      </c>
      <c r="B4" s="4" t="s">
        <v>23</v>
      </c>
      <c r="C4" s="4" t="s">
        <v>24</v>
      </c>
      <c r="D4" s="4" t="s">
        <v>39</v>
      </c>
      <c r="E4" s="4" t="s">
        <v>137</v>
      </c>
      <c r="F4" s="4" t="s">
        <v>138</v>
      </c>
    </row>
    <row r="5" spans="1:8" ht="15" customHeight="1" x14ac:dyDescent="0.25">
      <c r="A5" s="15" t="str">
        <f>'Raw Data'!A4</f>
        <v>RUR1</v>
      </c>
      <c r="B5" s="15" t="str">
        <f>'Raw Data'!B4</f>
        <v>Up-stream</v>
      </c>
      <c r="C5" s="15" t="str">
        <f>'Raw Data'!C4</f>
        <v>Rui</v>
      </c>
      <c r="D5" s="7">
        <f>'Raw Data'!R4</f>
        <v>17.593</v>
      </c>
      <c r="E5" s="29">
        <f>1+COUNTIF('Raw Data'!R$4:R$30,"&lt;"&amp;D5)+(COUNTIF('Raw Data'!R$4:R$30,"="&amp;D5)-1)/2</f>
        <v>5</v>
      </c>
      <c r="F5" s="15">
        <f>COUNTIF('Raw Data'!R$4:R$30,"="&amp;D5)</f>
        <v>1</v>
      </c>
    </row>
    <row r="6" spans="1:8" ht="15" customHeight="1" x14ac:dyDescent="0.25">
      <c r="A6" s="15" t="str">
        <f>'Raw Data'!A5</f>
        <v>RUR2</v>
      </c>
      <c r="B6" s="15" t="str">
        <f>'Raw Data'!B5</f>
        <v>Up-stream</v>
      </c>
      <c r="C6" s="15" t="str">
        <f>'Raw Data'!C5</f>
        <v>Rui</v>
      </c>
      <c r="D6" s="7">
        <f>'Raw Data'!R5</f>
        <v>19.917999999999999</v>
      </c>
      <c r="E6" s="29">
        <f>1+COUNTIF('Raw Data'!R$4:R$30,"&lt;"&amp;D6)+(COUNTIF('Raw Data'!R$4:R$30,"="&amp;D6)-1)/2</f>
        <v>8</v>
      </c>
      <c r="F6" s="15">
        <f>COUNTIF('Raw Data'!R$4:R$30,"="&amp;D6)</f>
        <v>1</v>
      </c>
    </row>
    <row r="7" spans="1:8" ht="15" customHeight="1" x14ac:dyDescent="0.25">
      <c r="A7" s="15" t="str">
        <f>'Raw Data'!A6</f>
        <v>RUR3</v>
      </c>
      <c r="B7" s="15" t="str">
        <f>'Raw Data'!B6</f>
        <v>Up-stream</v>
      </c>
      <c r="C7" s="15" t="str">
        <f>'Raw Data'!C6</f>
        <v>Rui</v>
      </c>
      <c r="D7" s="7">
        <f>'Raw Data'!R6</f>
        <v>19.670000000000002</v>
      </c>
      <c r="E7" s="29">
        <f>1+COUNTIF('Raw Data'!R$4:R$30,"&lt;"&amp;D7)+(COUNTIF('Raw Data'!R$4:R$30,"="&amp;D7)-1)/2</f>
        <v>7</v>
      </c>
      <c r="F7" s="15">
        <f>COUNTIF('Raw Data'!R$4:R$30,"="&amp;D7)</f>
        <v>1</v>
      </c>
    </row>
    <row r="8" spans="1:8" ht="15" customHeight="1" x14ac:dyDescent="0.25">
      <c r="A8" s="15" t="str">
        <f>'Raw Data'!A7</f>
        <v>CUR1</v>
      </c>
      <c r="B8" s="15" t="str">
        <f>'Raw Data'!B7</f>
        <v>Up-stream</v>
      </c>
      <c r="C8" s="15" t="str">
        <f>'Raw Data'!C7</f>
        <v>Catla</v>
      </c>
      <c r="D8" s="7">
        <f>'Raw Data'!R7</f>
        <v>8.6999999999999993</v>
      </c>
      <c r="E8" s="29">
        <f>1+COUNTIF('Raw Data'!R$4:R$30,"&lt;"&amp;D8)+(COUNTIF('Raw Data'!R$4:R$30,"="&amp;D8)-1)/2</f>
        <v>3</v>
      </c>
      <c r="F8" s="15">
        <f>COUNTIF('Raw Data'!R$4:R$30,"="&amp;D8)</f>
        <v>1</v>
      </c>
    </row>
    <row r="9" spans="1:8" ht="15" customHeight="1" x14ac:dyDescent="0.25">
      <c r="A9" s="15" t="str">
        <f>'Raw Data'!A8</f>
        <v>CUR2</v>
      </c>
      <c r="B9" s="15" t="str">
        <f>'Raw Data'!B8</f>
        <v>Up-stream</v>
      </c>
      <c r="C9" s="15" t="str">
        <f>'Raw Data'!C8</f>
        <v>Catla</v>
      </c>
      <c r="D9" s="7">
        <f>'Raw Data'!R8</f>
        <v>7</v>
      </c>
      <c r="E9" s="29">
        <f>1+COUNTIF('Raw Data'!R$4:R$30,"&lt;"&amp;D9)+(COUNTIF('Raw Data'!R$4:R$30,"="&amp;D9)-1)/2</f>
        <v>1</v>
      </c>
      <c r="F9" s="15">
        <f>COUNTIF('Raw Data'!R$4:R$30,"="&amp;D9)</f>
        <v>1</v>
      </c>
    </row>
    <row r="10" spans="1:8" ht="15" customHeight="1" x14ac:dyDescent="0.25">
      <c r="A10" s="15" t="str">
        <f>'Raw Data'!A9</f>
        <v>CUR3</v>
      </c>
      <c r="B10" s="15" t="str">
        <f>'Raw Data'!B9</f>
        <v>Up-stream</v>
      </c>
      <c r="C10" s="15" t="str">
        <f>'Raw Data'!C9</f>
        <v>Catla</v>
      </c>
      <c r="D10" s="7">
        <f>'Raw Data'!R9</f>
        <v>8.0210000000000008</v>
      </c>
      <c r="E10" s="29">
        <f>1+COUNTIF('Raw Data'!R$4:R$30,"&lt;"&amp;D10)+(COUNTIF('Raw Data'!R$4:R$30,"="&amp;D10)-1)/2</f>
        <v>2</v>
      </c>
      <c r="F10" s="15">
        <f>COUNTIF('Raw Data'!R$4:R$30,"="&amp;D10)</f>
        <v>1</v>
      </c>
    </row>
    <row r="11" spans="1:8" ht="15" customHeight="1" x14ac:dyDescent="0.25">
      <c r="A11" s="15" t="str">
        <f>'Raw Data'!A10</f>
        <v>MUR1</v>
      </c>
      <c r="B11" s="15" t="str">
        <f>'Raw Data'!B10</f>
        <v>Up-stream</v>
      </c>
      <c r="C11" s="15" t="str">
        <f>'Raw Data'!C10</f>
        <v>Mrigal</v>
      </c>
      <c r="D11" s="7">
        <f>'Raw Data'!R10</f>
        <v>36.289999999999992</v>
      </c>
      <c r="E11" s="29">
        <f>1+COUNTIF('Raw Data'!R$4:R$30,"&lt;"&amp;D11)+(COUNTIF('Raw Data'!R$4:R$30,"="&amp;D11)-1)/2</f>
        <v>11</v>
      </c>
      <c r="F11" s="15">
        <f>COUNTIF('Raw Data'!R$4:R$30,"="&amp;D11)</f>
        <v>1</v>
      </c>
    </row>
    <row r="12" spans="1:8" ht="15" customHeight="1" x14ac:dyDescent="0.25">
      <c r="A12" s="15" t="str">
        <f>'Raw Data'!A11</f>
        <v>MUR2</v>
      </c>
      <c r="B12" s="15" t="str">
        <f>'Raw Data'!B11</f>
        <v>Up-stream</v>
      </c>
      <c r="C12" s="15" t="str">
        <f>'Raw Data'!C11</f>
        <v>Mrigal</v>
      </c>
      <c r="D12" s="7">
        <f>'Raw Data'!R11</f>
        <v>31.437999999999999</v>
      </c>
      <c r="E12" s="29">
        <f>1+COUNTIF('Raw Data'!R$4:R$30,"&lt;"&amp;D12)+(COUNTIF('Raw Data'!R$4:R$30,"="&amp;D12)-1)/2</f>
        <v>10</v>
      </c>
      <c r="F12" s="15">
        <f>COUNTIF('Raw Data'!R$4:R$30,"="&amp;D12)</f>
        <v>1</v>
      </c>
    </row>
    <row r="13" spans="1:8" ht="15" customHeight="1" x14ac:dyDescent="0.25">
      <c r="A13" s="15" t="str">
        <f>'Raw Data'!A12</f>
        <v>MUR3</v>
      </c>
      <c r="B13" s="15" t="str">
        <f>'Raw Data'!B12</f>
        <v>Up-stream</v>
      </c>
      <c r="C13" s="15" t="str">
        <f>'Raw Data'!C12</f>
        <v>Mrigal</v>
      </c>
      <c r="D13" s="7">
        <f>'Raw Data'!R12</f>
        <v>39.149000000000001</v>
      </c>
      <c r="E13" s="29">
        <f>1+COUNTIF('Raw Data'!R$4:R$30,"&lt;"&amp;D13)+(COUNTIF('Raw Data'!R$4:R$30,"="&amp;D13)-1)/2</f>
        <v>14</v>
      </c>
      <c r="F13" s="15">
        <f>COUNTIF('Raw Data'!R$4:R$30,"="&amp;D13)</f>
        <v>1</v>
      </c>
    </row>
    <row r="14" spans="1:8" ht="15" customHeight="1" x14ac:dyDescent="0.25">
      <c r="A14" s="15" t="str">
        <f>'Raw Data'!A13</f>
        <v>RMR1</v>
      </c>
      <c r="B14" s="15" t="str">
        <f>'Raw Data'!B13</f>
        <v>Mid-stream</v>
      </c>
      <c r="C14" s="15" t="str">
        <f>'Raw Data'!C13</f>
        <v>Rui</v>
      </c>
      <c r="D14" s="7">
        <f>'Raw Data'!R13</f>
        <v>38.556000000000004</v>
      </c>
      <c r="E14" s="29">
        <f>1+COUNTIF('Raw Data'!R$4:R$30,"&lt;"&amp;D14)+(COUNTIF('Raw Data'!R$4:R$30,"="&amp;D14)-1)/2</f>
        <v>13</v>
      </c>
      <c r="F14" s="15">
        <f>COUNTIF('Raw Data'!R$4:R$30,"="&amp;D14)</f>
        <v>1</v>
      </c>
    </row>
    <row r="15" spans="1:8" ht="15" customHeight="1" x14ac:dyDescent="0.25">
      <c r="A15" s="15" t="str">
        <f>'Raw Data'!A14</f>
        <v>RMR2</v>
      </c>
      <c r="B15" s="15" t="str">
        <f>'Raw Data'!B14</f>
        <v>Mid-stream</v>
      </c>
      <c r="C15" s="15" t="str">
        <f>'Raw Data'!C14</f>
        <v>Rui</v>
      </c>
      <c r="D15" s="7">
        <f>'Raw Data'!R14</f>
        <v>40.044999999999995</v>
      </c>
      <c r="E15" s="29">
        <f>1+COUNTIF('Raw Data'!R$4:R$30,"&lt;"&amp;D15)+(COUNTIF('Raw Data'!R$4:R$30,"="&amp;D15)-1)/2</f>
        <v>15</v>
      </c>
      <c r="F15" s="15">
        <f>COUNTIF('Raw Data'!R$4:R$30,"="&amp;D15)</f>
        <v>1</v>
      </c>
    </row>
    <row r="16" spans="1:8" ht="15" customHeight="1" x14ac:dyDescent="0.25">
      <c r="A16" s="15" t="str">
        <f>'Raw Data'!A15</f>
        <v>RMR3</v>
      </c>
      <c r="B16" s="15" t="str">
        <f>'Raw Data'!B15</f>
        <v>Mid-stream</v>
      </c>
      <c r="C16" s="15" t="str">
        <f>'Raw Data'!C15</f>
        <v>Rui</v>
      </c>
      <c r="D16" s="7">
        <f>'Raw Data'!R15</f>
        <v>37.494999999999997</v>
      </c>
      <c r="E16" s="29">
        <f>1+COUNTIF('Raw Data'!R$4:R$30,"&lt;"&amp;D16)+(COUNTIF('Raw Data'!R$4:R$30,"="&amp;D16)-1)/2</f>
        <v>12</v>
      </c>
      <c r="F16" s="15">
        <f>COUNTIF('Raw Data'!R$4:R$30,"="&amp;D16)</f>
        <v>1</v>
      </c>
    </row>
    <row r="17" spans="1:6" ht="15" customHeight="1" x14ac:dyDescent="0.25">
      <c r="A17" s="15" t="str">
        <f>'Raw Data'!A16</f>
        <v>CMR1</v>
      </c>
      <c r="B17" s="15" t="str">
        <f>'Raw Data'!B16</f>
        <v>Mid-stream</v>
      </c>
      <c r="C17" s="15" t="str">
        <f>'Raw Data'!C16</f>
        <v>Catla</v>
      </c>
      <c r="D17" s="7">
        <f>'Raw Data'!R16</f>
        <v>19.371000000000002</v>
      </c>
      <c r="E17" s="29">
        <f>1+COUNTIF('Raw Data'!R$4:R$30,"&lt;"&amp;D17)+(COUNTIF('Raw Data'!R$4:R$30,"="&amp;D17)-1)/2</f>
        <v>6</v>
      </c>
      <c r="F17" s="15">
        <f>COUNTIF('Raw Data'!R$4:R$30,"="&amp;D17)</f>
        <v>1</v>
      </c>
    </row>
    <row r="18" spans="1:6" ht="15" customHeight="1" x14ac:dyDescent="0.25">
      <c r="A18" s="15" t="str">
        <f>'Raw Data'!A17</f>
        <v>CMR2</v>
      </c>
      <c r="B18" s="15" t="str">
        <f>'Raw Data'!B17</f>
        <v>Mid-stream</v>
      </c>
      <c r="C18" s="15" t="str">
        <f>'Raw Data'!C17</f>
        <v>Catla</v>
      </c>
      <c r="D18" s="7">
        <f>'Raw Data'!R17</f>
        <v>16.626999999999999</v>
      </c>
      <c r="E18" s="29">
        <f>1+COUNTIF('Raw Data'!R$4:R$30,"&lt;"&amp;D18)+(COUNTIF('Raw Data'!R$4:R$30,"="&amp;D18)-1)/2</f>
        <v>4</v>
      </c>
      <c r="F18" s="15">
        <f>COUNTIF('Raw Data'!R$4:R$30,"="&amp;D18)</f>
        <v>1</v>
      </c>
    </row>
    <row r="19" spans="1:6" ht="15" customHeight="1" x14ac:dyDescent="0.25">
      <c r="A19" s="15" t="str">
        <f>'Raw Data'!A18</f>
        <v>CMR3</v>
      </c>
      <c r="B19" s="15" t="str">
        <f>'Raw Data'!B18</f>
        <v>Mid-stream</v>
      </c>
      <c r="C19" s="15" t="str">
        <f>'Raw Data'!C18</f>
        <v>Catla</v>
      </c>
      <c r="D19" s="7">
        <f>'Raw Data'!R18</f>
        <v>22.064999999999998</v>
      </c>
      <c r="E19" s="29">
        <f>1+COUNTIF('Raw Data'!R$4:R$30,"&lt;"&amp;D19)+(COUNTIF('Raw Data'!R$4:R$30,"="&amp;D19)-1)/2</f>
        <v>9</v>
      </c>
      <c r="F19" s="15">
        <f>COUNTIF('Raw Data'!R$4:R$30,"="&amp;D19)</f>
        <v>1</v>
      </c>
    </row>
    <row r="20" spans="1:6" ht="15" customHeight="1" x14ac:dyDescent="0.25">
      <c r="A20" s="15" t="str">
        <f>'Raw Data'!A19</f>
        <v>MMR1</v>
      </c>
      <c r="B20" s="15" t="str">
        <f>'Raw Data'!B19</f>
        <v>Mid-stream</v>
      </c>
      <c r="C20" s="15" t="str">
        <f>'Raw Data'!C19</f>
        <v>Mrigal</v>
      </c>
      <c r="D20" s="7">
        <f>'Raw Data'!R19</f>
        <v>47.421999999999997</v>
      </c>
      <c r="E20" s="29">
        <f>1+COUNTIF('Raw Data'!R$4:R$30,"&lt;"&amp;D20)+(COUNTIF('Raw Data'!R$4:R$30,"="&amp;D20)-1)/2</f>
        <v>19</v>
      </c>
      <c r="F20" s="15">
        <f>COUNTIF('Raw Data'!R$4:R$30,"="&amp;D20)</f>
        <v>1</v>
      </c>
    </row>
    <row r="21" spans="1:6" ht="15" customHeight="1" x14ac:dyDescent="0.25">
      <c r="A21" s="15" t="str">
        <f>'Raw Data'!A20</f>
        <v>MMR2</v>
      </c>
      <c r="B21" s="15" t="str">
        <f>'Raw Data'!B20</f>
        <v>Mid-stream</v>
      </c>
      <c r="C21" s="15" t="str">
        <f>'Raw Data'!C20</f>
        <v>Mrigal</v>
      </c>
      <c r="D21" s="7">
        <f>'Raw Data'!R20</f>
        <v>45.998999999999995</v>
      </c>
      <c r="E21" s="29">
        <f>1+COUNTIF('Raw Data'!R$4:R$30,"&lt;"&amp;D21)+(COUNTIF('Raw Data'!R$4:R$30,"="&amp;D21)-1)/2</f>
        <v>17</v>
      </c>
      <c r="F21" s="15">
        <f>COUNTIF('Raw Data'!R$4:R$30,"="&amp;D21)</f>
        <v>1</v>
      </c>
    </row>
    <row r="22" spans="1:6" ht="15" customHeight="1" x14ac:dyDescent="0.25">
      <c r="A22" s="15" t="str">
        <f>'Raw Data'!A21</f>
        <v>MMR3</v>
      </c>
      <c r="B22" s="15" t="str">
        <f>'Raw Data'!B21</f>
        <v>Mid-stream</v>
      </c>
      <c r="C22" s="15" t="str">
        <f>'Raw Data'!C21</f>
        <v>Mrigal</v>
      </c>
      <c r="D22" s="7">
        <f>'Raw Data'!R21</f>
        <v>49.743000000000002</v>
      </c>
      <c r="E22" s="29">
        <f>1+COUNTIF('Raw Data'!R$4:R$30,"&lt;"&amp;D22)+(COUNTIF('Raw Data'!R$4:R$30,"="&amp;D22)-1)/2</f>
        <v>21</v>
      </c>
      <c r="F22" s="15">
        <f>COUNTIF('Raw Data'!R$4:R$30,"="&amp;D22)</f>
        <v>1</v>
      </c>
    </row>
    <row r="23" spans="1:6" ht="15" customHeight="1" x14ac:dyDescent="0.25">
      <c r="A23" s="15" t="str">
        <f>'Raw Data'!A22</f>
        <v>RDR1</v>
      </c>
      <c r="B23" s="15" t="str">
        <f>'Raw Data'!B22</f>
        <v>Down-stream</v>
      </c>
      <c r="C23" s="15" t="str">
        <f>'Raw Data'!C22</f>
        <v>Rui</v>
      </c>
      <c r="D23" s="7">
        <f>'Raw Data'!R22</f>
        <v>55.048000000000002</v>
      </c>
      <c r="E23" s="29">
        <f>1+COUNTIF('Raw Data'!R$4:R$30,"&lt;"&amp;D23)+(COUNTIF('Raw Data'!R$4:R$30,"="&amp;D23)-1)/2</f>
        <v>23</v>
      </c>
      <c r="F23" s="15">
        <f>COUNTIF('Raw Data'!R$4:R$30,"="&amp;D23)</f>
        <v>1</v>
      </c>
    </row>
    <row r="24" spans="1:6" ht="15" customHeight="1" x14ac:dyDescent="0.25">
      <c r="A24" s="15" t="str">
        <f>'Raw Data'!A23</f>
        <v>RDR2</v>
      </c>
      <c r="B24" s="15" t="str">
        <f>'Raw Data'!B23</f>
        <v>Down-stream</v>
      </c>
      <c r="C24" s="15" t="str">
        <f>'Raw Data'!C23</f>
        <v>Rui</v>
      </c>
      <c r="D24" s="7">
        <f>'Raw Data'!R23</f>
        <v>54.188999999999993</v>
      </c>
      <c r="E24" s="29">
        <f>1+COUNTIF('Raw Data'!R$4:R$30,"&lt;"&amp;D24)+(COUNTIF('Raw Data'!R$4:R$30,"="&amp;D24)-1)/2</f>
        <v>22</v>
      </c>
      <c r="F24" s="15">
        <f>COUNTIF('Raw Data'!R$4:R$30,"="&amp;D24)</f>
        <v>1</v>
      </c>
    </row>
    <row r="25" spans="1:6" ht="15" customHeight="1" x14ac:dyDescent="0.25">
      <c r="A25" s="15" t="str">
        <f>'Raw Data'!A24</f>
        <v>RDR3</v>
      </c>
      <c r="B25" s="15" t="str">
        <f>'Raw Data'!B24</f>
        <v>Down-stream</v>
      </c>
      <c r="C25" s="15" t="str">
        <f>'Raw Data'!C24</f>
        <v>Rui</v>
      </c>
      <c r="D25" s="7">
        <f>'Raw Data'!R24</f>
        <v>57.087000000000003</v>
      </c>
      <c r="E25" s="29">
        <f>1+COUNTIF('Raw Data'!R$4:R$30,"&lt;"&amp;D25)+(COUNTIF('Raw Data'!R$4:R$30,"="&amp;D25)-1)/2</f>
        <v>24</v>
      </c>
      <c r="F25" s="15">
        <f>COUNTIF('Raw Data'!R$4:R$30,"="&amp;D25)</f>
        <v>1</v>
      </c>
    </row>
    <row r="26" spans="1:6" ht="15" customHeight="1" x14ac:dyDescent="0.25">
      <c r="A26" s="15" t="str">
        <f>'Raw Data'!A25</f>
        <v>CDR1</v>
      </c>
      <c r="B26" s="15" t="str">
        <f>'Raw Data'!B25</f>
        <v>Down-stream</v>
      </c>
      <c r="C26" s="15" t="str">
        <f>'Raw Data'!C25</f>
        <v>Catla</v>
      </c>
      <c r="D26" s="7">
        <f>'Raw Data'!R25</f>
        <v>43.220999999999997</v>
      </c>
      <c r="E26" s="29">
        <f>1+COUNTIF('Raw Data'!R$4:R$30,"&lt;"&amp;D26)+(COUNTIF('Raw Data'!R$4:R$30,"="&amp;D26)-1)/2</f>
        <v>16</v>
      </c>
      <c r="F26" s="15">
        <f>COUNTIF('Raw Data'!R$4:R$30,"="&amp;D26)</f>
        <v>1</v>
      </c>
    </row>
    <row r="27" spans="1:6" ht="15" customHeight="1" x14ac:dyDescent="0.25">
      <c r="A27" s="15" t="str">
        <f>'Raw Data'!A26</f>
        <v>CDR2</v>
      </c>
      <c r="B27" s="15" t="str">
        <f>'Raw Data'!B26</f>
        <v>Down-stream</v>
      </c>
      <c r="C27" s="15" t="str">
        <f>'Raw Data'!C26</f>
        <v>Catla</v>
      </c>
      <c r="D27" s="7">
        <f>'Raw Data'!R26</f>
        <v>46.887</v>
      </c>
      <c r="E27" s="29">
        <f>1+COUNTIF('Raw Data'!R$4:R$30,"&lt;"&amp;D27)+(COUNTIF('Raw Data'!R$4:R$30,"="&amp;D27)-1)/2</f>
        <v>18</v>
      </c>
      <c r="F27" s="15">
        <f>COUNTIF('Raw Data'!R$4:R$30,"="&amp;D27)</f>
        <v>1</v>
      </c>
    </row>
    <row r="28" spans="1:6" ht="15" customHeight="1" x14ac:dyDescent="0.25">
      <c r="A28" s="15" t="str">
        <f>'Raw Data'!A27</f>
        <v>CDR3</v>
      </c>
      <c r="B28" s="15" t="str">
        <f>'Raw Data'!B27</f>
        <v>Down-stream</v>
      </c>
      <c r="C28" s="15" t="str">
        <f>'Raw Data'!C27</f>
        <v>Catla</v>
      </c>
      <c r="D28" s="7">
        <f>'Raw Data'!R27</f>
        <v>48.986999999999995</v>
      </c>
      <c r="E28" s="29">
        <f>1+COUNTIF('Raw Data'!R$4:R$30,"&lt;"&amp;D28)+(COUNTIF('Raw Data'!R$4:R$30,"="&amp;D28)-1)/2</f>
        <v>20</v>
      </c>
      <c r="F28" s="15">
        <f>COUNTIF('Raw Data'!R$4:R$30,"="&amp;D28)</f>
        <v>1</v>
      </c>
    </row>
    <row r="29" spans="1:6" ht="15" customHeight="1" x14ac:dyDescent="0.25">
      <c r="A29" s="15" t="str">
        <f>'Raw Data'!A28</f>
        <v>MDR1</v>
      </c>
      <c r="B29" s="15" t="str">
        <f>'Raw Data'!B28</f>
        <v>Down-stream</v>
      </c>
      <c r="C29" s="15" t="str">
        <f>'Raw Data'!C28</f>
        <v>Mrigal</v>
      </c>
      <c r="D29" s="7">
        <f>'Raw Data'!R28</f>
        <v>77.850999999999999</v>
      </c>
      <c r="E29" s="29">
        <f>1+COUNTIF('Raw Data'!R$4:R$30,"&lt;"&amp;D29)+(COUNTIF('Raw Data'!R$4:R$30,"="&amp;D29)-1)/2</f>
        <v>26</v>
      </c>
      <c r="F29" s="15">
        <f>COUNTIF('Raw Data'!R$4:R$30,"="&amp;D29)</f>
        <v>1</v>
      </c>
    </row>
    <row r="30" spans="1:6" ht="15" customHeight="1" x14ac:dyDescent="0.25">
      <c r="A30" s="15" t="str">
        <f>'Raw Data'!A29</f>
        <v>MDR2</v>
      </c>
      <c r="B30" s="15" t="str">
        <f>'Raw Data'!B29</f>
        <v>Down-stream</v>
      </c>
      <c r="C30" s="15" t="str">
        <f>'Raw Data'!C29</f>
        <v>Mrigal</v>
      </c>
      <c r="D30" s="7">
        <f>'Raw Data'!R29</f>
        <v>79.544999999999973</v>
      </c>
      <c r="E30" s="29">
        <f>1+COUNTIF('Raw Data'!R$4:R$30,"&lt;"&amp;D30)+(COUNTIF('Raw Data'!R$4:R$30,"="&amp;D30)-1)/2</f>
        <v>27</v>
      </c>
      <c r="F30" s="15">
        <f>COUNTIF('Raw Data'!R$4:R$30,"="&amp;D30)</f>
        <v>1</v>
      </c>
    </row>
    <row r="31" spans="1:6" ht="15" customHeight="1" x14ac:dyDescent="0.25">
      <c r="A31" s="15" t="str">
        <f>'Raw Data'!A30</f>
        <v>MDR3</v>
      </c>
      <c r="B31" s="15" t="str">
        <f>'Raw Data'!B30</f>
        <v>Down-stream</v>
      </c>
      <c r="C31" s="15" t="str">
        <f>'Raw Data'!C30</f>
        <v>Mrigal</v>
      </c>
      <c r="D31" s="7">
        <f>'Raw Data'!R30</f>
        <v>77.705999999999989</v>
      </c>
      <c r="E31" s="29">
        <f>1+COUNTIF('Raw Data'!R$4:R$30,"&lt;"&amp;D31)+(COUNTIF('Raw Data'!R$4:R$30,"="&amp;D31)-1)/2</f>
        <v>25</v>
      </c>
      <c r="F31" s="15">
        <f>COUNTIF('Raw Data'!R$4:R$30,"="&amp;D31)</f>
        <v>1</v>
      </c>
    </row>
    <row r="33" spans="1:4" ht="15" customHeight="1" x14ac:dyDescent="0.25">
      <c r="A33" s="3" t="s">
        <v>133</v>
      </c>
    </row>
    <row r="34" spans="1:4" ht="15" customHeight="1" x14ac:dyDescent="0.25">
      <c r="A34" s="4" t="s">
        <v>23</v>
      </c>
      <c r="B34" s="4" t="s">
        <v>81</v>
      </c>
      <c r="C34" s="4" t="s">
        <v>139</v>
      </c>
      <c r="D34" s="4" t="s">
        <v>140</v>
      </c>
    </row>
    <row r="35" spans="1:4" ht="15" customHeight="1" x14ac:dyDescent="0.25">
      <c r="A35" s="15" t="s">
        <v>41</v>
      </c>
      <c r="B35" s="15">
        <f>COUNTIF($B$5:$B$31,"Up-stream")</f>
        <v>9</v>
      </c>
      <c r="C35" s="29">
        <f>SUMIF($B$5:$B$31,"Up-stream",$E$5:$E$31)</f>
        <v>61</v>
      </c>
      <c r="D35" s="7">
        <f>C35^2/B35</f>
        <v>413.44444444444446</v>
      </c>
    </row>
    <row r="36" spans="1:4" ht="15" customHeight="1" x14ac:dyDescent="0.25">
      <c r="A36" s="15" t="s">
        <v>54</v>
      </c>
      <c r="B36" s="15">
        <f>COUNTIF($B$5:$B$31,"Mid-stream")</f>
        <v>9</v>
      </c>
      <c r="C36" s="29">
        <f>SUMIF($B$5:$B$31,"Mid-stream",$E$5:$E$31)</f>
        <v>116</v>
      </c>
      <c r="D36" s="7">
        <f>C36^2/B36</f>
        <v>1495.1111111111111</v>
      </c>
    </row>
    <row r="37" spans="1:4" ht="15" customHeight="1" x14ac:dyDescent="0.25">
      <c r="A37" s="15" t="s">
        <v>64</v>
      </c>
      <c r="B37" s="15">
        <f>COUNTIF($B$5:$B$31,"Down-stream")</f>
        <v>9</v>
      </c>
      <c r="C37" s="29">
        <f>SUMIF($B$5:$B$31,"Down-stream",$E$5:$E$31)</f>
        <v>201</v>
      </c>
      <c r="D37" s="7">
        <f>C37^2/B37</f>
        <v>4489</v>
      </c>
    </row>
    <row r="39" spans="1:4" ht="15" customHeight="1" x14ac:dyDescent="0.25">
      <c r="A39" s="3" t="s">
        <v>134</v>
      </c>
    </row>
    <row r="40" spans="1:4" ht="15" customHeight="1" x14ac:dyDescent="0.25">
      <c r="A40" s="4" t="s">
        <v>23</v>
      </c>
      <c r="B40" s="4" t="s">
        <v>81</v>
      </c>
      <c r="C40" s="4" t="s">
        <v>139</v>
      </c>
      <c r="D40" s="4" t="s">
        <v>140</v>
      </c>
    </row>
    <row r="41" spans="1:4" ht="15" customHeight="1" x14ac:dyDescent="0.25">
      <c r="A41" s="15" t="s">
        <v>46</v>
      </c>
      <c r="B41" s="15">
        <f>COUNTIF($C$5:$C$31,"Catla")</f>
        <v>9</v>
      </c>
      <c r="C41" s="29">
        <f>SUMIF($C$5:$C$31,"Catla",$E$5:$E$31)</f>
        <v>79</v>
      </c>
      <c r="D41" s="7">
        <f>C41^2/B41</f>
        <v>693.44444444444446</v>
      </c>
    </row>
    <row r="42" spans="1:4" ht="15" customHeight="1" x14ac:dyDescent="0.25">
      <c r="A42" s="15" t="s">
        <v>42</v>
      </c>
      <c r="B42" s="15">
        <f>COUNTIF($C$5:$C$31,"Rui")</f>
        <v>9</v>
      </c>
      <c r="C42" s="29">
        <f>SUMIF($C$5:$C$31,"Rui",$E$5:$E$31)</f>
        <v>129</v>
      </c>
      <c r="D42" s="7">
        <f>C42^2/B42</f>
        <v>1849</v>
      </c>
    </row>
    <row r="43" spans="1:4" ht="15" customHeight="1" x14ac:dyDescent="0.25">
      <c r="A43" s="15" t="s">
        <v>50</v>
      </c>
      <c r="B43" s="15">
        <f>COUNTIF($C$5:$C$31,"Mrigal")</f>
        <v>9</v>
      </c>
      <c r="C43" s="29">
        <f>SUMIF($C$5:$C$31,"Mrigal",$E$5:$E$31)</f>
        <v>170</v>
      </c>
      <c r="D43" s="7">
        <f>C43^2/B43</f>
        <v>3211.1111111111113</v>
      </c>
    </row>
    <row r="45" spans="1:4" ht="15" customHeight="1" x14ac:dyDescent="0.25">
      <c r="A45" s="3" t="s">
        <v>141</v>
      </c>
    </row>
    <row r="46" spans="1:4" ht="15" customHeight="1" x14ac:dyDescent="0.25">
      <c r="A46" s="28" t="s">
        <v>142</v>
      </c>
      <c r="B46" s="28">
        <f>27</f>
        <v>27</v>
      </c>
    </row>
    <row r="47" spans="1:4" ht="15" customHeight="1" x14ac:dyDescent="0.25">
      <c r="A47" s="28" t="s">
        <v>143</v>
      </c>
      <c r="B47" s="30">
        <f>SUMPRODUCT($F$5:$F$31*$F$5:$F$31)-B46</f>
        <v>0</v>
      </c>
    </row>
    <row r="48" spans="1:4" ht="15" customHeight="1" x14ac:dyDescent="0.25">
      <c r="A48" s="28" t="s">
        <v>144</v>
      </c>
      <c r="B48" s="31">
        <f>1-B47/(B46^3-B46)</f>
        <v>1</v>
      </c>
    </row>
    <row r="50" spans="1:7" ht="15" customHeight="1" x14ac:dyDescent="0.25">
      <c r="A50" s="3" t="s">
        <v>145</v>
      </c>
    </row>
    <row r="51" spans="1:7" ht="15" customHeight="1" x14ac:dyDescent="0.25">
      <c r="A51" s="4" t="s">
        <v>146</v>
      </c>
      <c r="B51" s="4" t="s">
        <v>147</v>
      </c>
      <c r="C51" s="4" t="s">
        <v>148</v>
      </c>
      <c r="D51" s="4" t="s">
        <v>149</v>
      </c>
      <c r="E51" s="4" t="s">
        <v>150</v>
      </c>
      <c r="F51" s="4" t="s">
        <v>151</v>
      </c>
      <c r="G51" s="4" t="s">
        <v>152</v>
      </c>
    </row>
    <row r="52" spans="1:7" ht="15" customHeight="1" x14ac:dyDescent="0.25">
      <c r="A52" s="15" t="s">
        <v>153</v>
      </c>
      <c r="B52" s="15">
        <v>3</v>
      </c>
      <c r="C52" s="15">
        <f>B52-1</f>
        <v>2</v>
      </c>
      <c r="D52" s="16">
        <f>(12/($B$46*($B$46+1)))*SUM(D35:D37)-3*($B$46+1)</f>
        <v>17.548500881834215</v>
      </c>
      <c r="E52" s="14">
        <f>D52/$B$48</f>
        <v>17.548500881834215</v>
      </c>
      <c r="F52" s="24">
        <f>CHIDIST(E52,C52)</f>
        <v>1.5466478801771144E-4</v>
      </c>
      <c r="G52" s="15" t="str">
        <f>IF(F52&lt;0.05,"Significant difference (p &lt; 0.05)","No significant difference (p ≥ 0.05)")</f>
        <v>Significant difference (p &lt; 0.05)</v>
      </c>
    </row>
    <row r="53" spans="1:7" ht="15" customHeight="1" x14ac:dyDescent="0.25">
      <c r="A53" s="15" t="s">
        <v>154</v>
      </c>
      <c r="B53" s="15">
        <v>3</v>
      </c>
      <c r="C53" s="15">
        <f>B53-1</f>
        <v>2</v>
      </c>
      <c r="D53" s="16">
        <f>(12/($B$46*($B$46+1)))*SUM(D41:D43)-3*($B$46+1)</f>
        <v>7.3262786596119867</v>
      </c>
      <c r="E53" s="14">
        <f>D53/$B$48</f>
        <v>7.3262786596119867</v>
      </c>
      <c r="F53" s="24">
        <f>CHIDIST(E53,C53)</f>
        <v>2.5651856551583242E-2</v>
      </c>
      <c r="G53" s="15" t="str">
        <f>IF(F53&lt;0.05,"Significant difference (p &lt; 0.05)","No significant difference (p ≥ 0.05)")</f>
        <v>Significant difference (p &lt; 0.05)</v>
      </c>
    </row>
    <row r="55" spans="1:7" ht="21.75" customHeight="1" x14ac:dyDescent="0.25">
      <c r="A55" s="45" t="s">
        <v>155</v>
      </c>
      <c r="B55" s="45"/>
      <c r="C55" s="45"/>
      <c r="D55" s="45"/>
      <c r="E55" s="45"/>
      <c r="F55" s="45"/>
      <c r="G55" s="45"/>
    </row>
    <row r="57" spans="1:7" ht="16.5" x14ac:dyDescent="0.25">
      <c r="A57" s="32" t="s">
        <v>156</v>
      </c>
    </row>
    <row r="59" spans="1:7" x14ac:dyDescent="0.25">
      <c r="A59" s="33" t="s">
        <v>157</v>
      </c>
    </row>
    <row r="60" spans="1:7" ht="38.25" x14ac:dyDescent="0.25">
      <c r="A60" s="33" t="s">
        <v>158</v>
      </c>
      <c r="B60" s="34" t="s">
        <v>159</v>
      </c>
    </row>
    <row r="61" spans="1:7" ht="25.5" x14ac:dyDescent="0.25">
      <c r="A61" s="33" t="s">
        <v>160</v>
      </c>
      <c r="B61" s="34" t="s">
        <v>161</v>
      </c>
    </row>
    <row r="62" spans="1:7" ht="38.25" x14ac:dyDescent="0.25">
      <c r="A62" s="33" t="s">
        <v>162</v>
      </c>
      <c r="B62" s="34" t="s">
        <v>163</v>
      </c>
    </row>
    <row r="63" spans="1:7" x14ac:dyDescent="0.25">
      <c r="A63" s="33" t="s">
        <v>164</v>
      </c>
      <c r="B63" s="34" t="s">
        <v>165</v>
      </c>
    </row>
    <row r="64" spans="1:7" x14ac:dyDescent="0.25">
      <c r="A64" s="33" t="s">
        <v>166</v>
      </c>
      <c r="B64" s="34">
        <f>'Kruskal-Wallis Test'!C52</f>
        <v>2</v>
      </c>
    </row>
    <row r="65" spans="1:2" x14ac:dyDescent="0.25">
      <c r="A65" s="33" t="s">
        <v>167</v>
      </c>
      <c r="B65" s="35">
        <f>'Kruskal-Wallis Test'!E52</f>
        <v>17.548500881834215</v>
      </c>
    </row>
    <row r="66" spans="1:2" x14ac:dyDescent="0.25">
      <c r="A66" s="33" t="s">
        <v>151</v>
      </c>
      <c r="B66" s="36">
        <f>'Kruskal-Wallis Test'!F52</f>
        <v>1.5466478801771144E-4</v>
      </c>
    </row>
    <row r="67" spans="1:2" x14ac:dyDescent="0.25">
      <c r="A67" s="33" t="s">
        <v>168</v>
      </c>
      <c r="B67" s="34" t="s">
        <v>169</v>
      </c>
    </row>
    <row r="68" spans="1:2" x14ac:dyDescent="0.25">
      <c r="A68" s="33" t="s">
        <v>170</v>
      </c>
      <c r="B68" s="34" t="str">
        <f>'Kruskal-Wallis Test'!G52</f>
        <v>Significant difference (p &lt; 0.05)</v>
      </c>
    </row>
    <row r="70" spans="1:2" x14ac:dyDescent="0.25">
      <c r="A70" s="33" t="s">
        <v>171</v>
      </c>
    </row>
    <row r="71" spans="1:2" ht="38.25" x14ac:dyDescent="0.25">
      <c r="A71" s="33" t="s">
        <v>158</v>
      </c>
      <c r="B71" s="34" t="s">
        <v>172</v>
      </c>
    </row>
    <row r="72" spans="1:2" ht="25.5" x14ac:dyDescent="0.25">
      <c r="A72" s="33" t="s">
        <v>160</v>
      </c>
      <c r="B72" s="34" t="s">
        <v>173</v>
      </c>
    </row>
    <row r="73" spans="1:2" ht="25.5" x14ac:dyDescent="0.25">
      <c r="A73" s="33" t="s">
        <v>162</v>
      </c>
      <c r="B73" s="34" t="s">
        <v>174</v>
      </c>
    </row>
    <row r="74" spans="1:2" x14ac:dyDescent="0.25">
      <c r="A74" s="33" t="s">
        <v>164</v>
      </c>
      <c r="B74" s="34" t="s">
        <v>165</v>
      </c>
    </row>
    <row r="75" spans="1:2" x14ac:dyDescent="0.25">
      <c r="A75" s="33" t="s">
        <v>166</v>
      </c>
      <c r="B75" s="34">
        <f>'Kruskal-Wallis Test'!C53</f>
        <v>2</v>
      </c>
    </row>
    <row r="76" spans="1:2" x14ac:dyDescent="0.25">
      <c r="A76" s="33" t="s">
        <v>167</v>
      </c>
      <c r="B76" s="35">
        <f>'Kruskal-Wallis Test'!E53</f>
        <v>7.3262786596119867</v>
      </c>
    </row>
    <row r="77" spans="1:2" x14ac:dyDescent="0.25">
      <c r="A77" s="33" t="s">
        <v>151</v>
      </c>
      <c r="B77" s="36">
        <f>'Kruskal-Wallis Test'!F53</f>
        <v>2.5651856551583242E-2</v>
      </c>
    </row>
    <row r="78" spans="1:2" x14ac:dyDescent="0.25">
      <c r="A78" s="33" t="s">
        <v>168</v>
      </c>
      <c r="B78" s="34" t="s">
        <v>169</v>
      </c>
    </row>
    <row r="79" spans="1:2" x14ac:dyDescent="0.25">
      <c r="A79" s="33" t="s">
        <v>170</v>
      </c>
      <c r="B79" s="34" t="str">
        <f>'Kruskal-Wallis Test'!G53</f>
        <v>Significant difference (p &lt; 0.05)</v>
      </c>
    </row>
    <row r="80" spans="1:2" ht="144" x14ac:dyDescent="0.25">
      <c r="A80" s="37" t="s">
        <v>175</v>
      </c>
    </row>
  </sheetData>
  <mergeCells count="3">
    <mergeCell ref="A1:H1"/>
    <mergeCell ref="A2:H2"/>
    <mergeCell ref="A55:G5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1"/>
  <sheetViews>
    <sheetView showGridLines="0" tabSelected="1" topLeftCell="A19" zoomScaleNormal="100" workbookViewId="0"/>
  </sheetViews>
  <sheetFormatPr defaultColWidth="8.7109375" defaultRowHeight="15" x14ac:dyDescent="0.25"/>
  <cols>
    <col min="1" max="1" width="34" customWidth="1"/>
    <col min="2" max="6" width="14" customWidth="1"/>
    <col min="7" max="7" width="30" customWidth="1"/>
  </cols>
  <sheetData>
    <row r="1" spans="1:6" ht="16.5" x14ac:dyDescent="0.25">
      <c r="A1" s="32" t="s">
        <v>176</v>
      </c>
    </row>
    <row r="2" spans="1:6" ht="108" x14ac:dyDescent="0.25">
      <c r="A2" s="37" t="s">
        <v>177</v>
      </c>
    </row>
    <row r="4" spans="1:6" x14ac:dyDescent="0.25">
      <c r="A4" s="33" t="s">
        <v>178</v>
      </c>
    </row>
    <row r="5" spans="1:6" x14ac:dyDescent="0.25">
      <c r="A5" s="38" t="s">
        <v>179</v>
      </c>
      <c r="B5" s="38" t="s">
        <v>46</v>
      </c>
      <c r="C5" s="38" t="s">
        <v>42</v>
      </c>
      <c r="D5" s="38" t="s">
        <v>50</v>
      </c>
      <c r="E5" s="38" t="s">
        <v>180</v>
      </c>
      <c r="F5" s="38" t="s">
        <v>181</v>
      </c>
    </row>
    <row r="6" spans="1:6" x14ac:dyDescent="0.25">
      <c r="A6" s="33" t="s">
        <v>41</v>
      </c>
      <c r="B6" s="39">
        <f>SUMIFS('Raw Data'!$R$4:$R$30,'Raw Data'!$B$4:$B$30,$A6,'Raw Data'!$C$4:$C$30,B$5)</f>
        <v>23.721</v>
      </c>
      <c r="C6" s="39">
        <f>SUMIFS('Raw Data'!$R$4:$R$30,'Raw Data'!$B$4:$B$30,$A6,'Raw Data'!$C$4:$C$30,C$5)</f>
        <v>57.180999999999997</v>
      </c>
      <c r="D6" s="39">
        <f>SUMIFS('Raw Data'!$R$4:$R$30,'Raw Data'!$B$4:$B$30,$A6,'Raw Data'!$C$4:$C$30,D$5)</f>
        <v>106.877</v>
      </c>
      <c r="E6" s="40">
        <f>SUM(B6:D6)</f>
        <v>187.779</v>
      </c>
      <c r="F6" s="33">
        <f>COUNTIFS('Raw Data'!$B$4:$B$30,$A6)</f>
        <v>9</v>
      </c>
    </row>
    <row r="7" spans="1:6" x14ac:dyDescent="0.25">
      <c r="A7" s="33" t="s">
        <v>54</v>
      </c>
      <c r="B7" s="39">
        <f>SUMIFS('Raw Data'!$R$4:$R$30,'Raw Data'!$B$4:$B$30,$A7,'Raw Data'!$C$4:$C$30,B$5)</f>
        <v>58.063000000000002</v>
      </c>
      <c r="C7" s="39">
        <f>SUMIFS('Raw Data'!$R$4:$R$30,'Raw Data'!$B$4:$B$30,$A7,'Raw Data'!$C$4:$C$30,C$5)</f>
        <v>116.096</v>
      </c>
      <c r="D7" s="39">
        <f>SUMIFS('Raw Data'!$R$4:$R$30,'Raw Data'!$B$4:$B$30,$A7,'Raw Data'!$C$4:$C$30,D$5)</f>
        <v>143.16399999999999</v>
      </c>
      <c r="E7" s="40">
        <f>SUM(B7:D7)</f>
        <v>317.32299999999998</v>
      </c>
      <c r="F7" s="33">
        <f>COUNTIFS('Raw Data'!$B$4:$B$30,$A7)</f>
        <v>9</v>
      </c>
    </row>
    <row r="8" spans="1:6" x14ac:dyDescent="0.25">
      <c r="A8" s="33" t="s">
        <v>64</v>
      </c>
      <c r="B8" s="39">
        <f>SUMIFS('Raw Data'!$R$4:$R$30,'Raw Data'!$B$4:$B$30,$A8,'Raw Data'!$C$4:$C$30,B$5)</f>
        <v>139.095</v>
      </c>
      <c r="C8" s="39">
        <f>SUMIFS('Raw Data'!$R$4:$R$30,'Raw Data'!$B$4:$B$30,$A8,'Raw Data'!$C$4:$C$30,C$5)</f>
        <v>166.32400000000001</v>
      </c>
      <c r="D8" s="39">
        <f>SUMIFS('Raw Data'!$R$4:$R$30,'Raw Data'!$B$4:$B$30,$A8,'Raw Data'!$C$4:$C$30,D$5)</f>
        <v>235.10199999999995</v>
      </c>
      <c r="E8" s="40">
        <f>SUM(B8:D8)</f>
        <v>540.52099999999996</v>
      </c>
      <c r="F8" s="33">
        <f>COUNTIFS('Raw Data'!$B$4:$B$30,$A8)</f>
        <v>9</v>
      </c>
    </row>
    <row r="9" spans="1:6" x14ac:dyDescent="0.25">
      <c r="A9" s="33" t="s">
        <v>182</v>
      </c>
      <c r="B9" s="40">
        <f>SUM(B6:B8)</f>
        <v>220.87900000000002</v>
      </c>
      <c r="C9" s="40">
        <f>SUM(C6:C8)</f>
        <v>339.601</v>
      </c>
      <c r="D9" s="40">
        <f>SUM(D6:D8)</f>
        <v>485.14299999999992</v>
      </c>
      <c r="E9" s="40">
        <f>SUM(B9:D9)</f>
        <v>1045.623</v>
      </c>
    </row>
    <row r="10" spans="1:6" x14ac:dyDescent="0.25">
      <c r="A10" s="33" t="s">
        <v>183</v>
      </c>
      <c r="B10" s="33">
        <f>COUNTIFS('Raw Data'!$C$4:$C$30,B$5)</f>
        <v>9</v>
      </c>
      <c r="C10" s="33">
        <f>COUNTIFS('Raw Data'!$C$4:$C$30,C$5)</f>
        <v>9</v>
      </c>
      <c r="D10" s="33">
        <f>COUNTIFS('Raw Data'!$C$4:$C$30,D$5)</f>
        <v>9</v>
      </c>
    </row>
    <row r="12" spans="1:6" x14ac:dyDescent="0.25">
      <c r="A12" s="33" t="s">
        <v>184</v>
      </c>
    </row>
    <row r="13" spans="1:6" x14ac:dyDescent="0.25">
      <c r="A13" s="41" t="s">
        <v>185</v>
      </c>
      <c r="B13" s="41">
        <v>3</v>
      </c>
    </row>
    <row r="14" spans="1:6" x14ac:dyDescent="0.25">
      <c r="A14" s="41" t="s">
        <v>186</v>
      </c>
      <c r="B14" s="41">
        <v>3</v>
      </c>
    </row>
    <row r="15" spans="1:6" x14ac:dyDescent="0.25">
      <c r="A15" s="41" t="s">
        <v>187</v>
      </c>
      <c r="B15" s="41">
        <v>3</v>
      </c>
    </row>
    <row r="16" spans="1:6" x14ac:dyDescent="0.25">
      <c r="A16" s="41" t="s">
        <v>188</v>
      </c>
      <c r="B16" s="41">
        <f>COUNT('Raw Data'!$R$4:$R$30)</f>
        <v>27</v>
      </c>
    </row>
    <row r="17" spans="1:7" x14ac:dyDescent="0.25">
      <c r="A17" s="41" t="s">
        <v>189</v>
      </c>
      <c r="B17" s="39">
        <f>SUM('Raw Data'!$R$4:$R$30)</f>
        <v>1045.623</v>
      </c>
    </row>
    <row r="18" spans="1:7" x14ac:dyDescent="0.25">
      <c r="A18" s="41" t="s">
        <v>190</v>
      </c>
      <c r="B18" s="39">
        <f>B17^2/B16</f>
        <v>40493.609560333338</v>
      </c>
    </row>
    <row r="19" spans="1:7" x14ac:dyDescent="0.25">
      <c r="A19" s="41" t="s">
        <v>191</v>
      </c>
      <c r="B19" s="39">
        <f>SUMSQ('Raw Data'!$R$4:$R$30)</f>
        <v>51712.086208999986</v>
      </c>
    </row>
    <row r="21" spans="1:7" x14ac:dyDescent="0.25">
      <c r="A21" s="33" t="s">
        <v>192</v>
      </c>
    </row>
    <row r="22" spans="1:7" x14ac:dyDescent="0.25">
      <c r="A22" s="41" t="s">
        <v>193</v>
      </c>
      <c r="B22" s="39">
        <f>B19-B18</f>
        <v>11218.476648666649</v>
      </c>
    </row>
    <row r="23" spans="1:7" x14ac:dyDescent="0.25">
      <c r="A23" s="41" t="s">
        <v>194</v>
      </c>
      <c r="B23" s="39">
        <f>SUMSQ(E6:E8)/(B14*B15)-B18</f>
        <v>7075.0338408888783</v>
      </c>
    </row>
    <row r="24" spans="1:7" x14ac:dyDescent="0.25">
      <c r="A24" s="41" t="s">
        <v>195</v>
      </c>
      <c r="B24" s="39">
        <f>SUMSQ(B9:D9)/(B13*B15)-B18</f>
        <v>3893.0684719999845</v>
      </c>
    </row>
    <row r="25" spans="1:7" x14ac:dyDescent="0.25">
      <c r="A25" s="41" t="s">
        <v>196</v>
      </c>
      <c r="B25" s="39">
        <f>SUMSQ(B6:D8)/B15-B18</f>
        <v>11134.594511999989</v>
      </c>
    </row>
    <row r="26" spans="1:7" x14ac:dyDescent="0.25">
      <c r="A26" s="41" t="s">
        <v>197</v>
      </c>
      <c r="B26" s="39">
        <f>B25-B23-B24</f>
        <v>166.49219911112596</v>
      </c>
    </row>
    <row r="27" spans="1:7" x14ac:dyDescent="0.25">
      <c r="A27" s="41" t="s">
        <v>198</v>
      </c>
      <c r="B27" s="39">
        <f>B22-B25</f>
        <v>83.88213666665979</v>
      </c>
    </row>
    <row r="29" spans="1:7" x14ac:dyDescent="0.25">
      <c r="A29" s="33" t="s">
        <v>199</v>
      </c>
    </row>
    <row r="30" spans="1:7" x14ac:dyDescent="0.25">
      <c r="A30" s="38" t="s">
        <v>200</v>
      </c>
      <c r="B30" s="38" t="s">
        <v>201</v>
      </c>
      <c r="C30" s="38" t="s">
        <v>202</v>
      </c>
      <c r="D30" s="38" t="s">
        <v>203</v>
      </c>
      <c r="E30" s="38" t="s">
        <v>204</v>
      </c>
      <c r="F30" s="38" t="s">
        <v>151</v>
      </c>
      <c r="G30" s="38" t="s">
        <v>205</v>
      </c>
    </row>
    <row r="31" spans="1:7" x14ac:dyDescent="0.25">
      <c r="A31" s="33" t="s">
        <v>206</v>
      </c>
      <c r="B31" s="39">
        <f>B23</f>
        <v>7075.0338408888783</v>
      </c>
      <c r="C31" s="41">
        <f>B13-1</f>
        <v>2</v>
      </c>
      <c r="D31" s="39">
        <f>B31/C31</f>
        <v>3537.5169204444392</v>
      </c>
      <c r="E31" s="39">
        <f>D31/D34</f>
        <v>759.10446608006589</v>
      </c>
      <c r="F31" s="36">
        <f>_xlfn.F.DIST.RT(E31,C31,C34)</f>
        <v>4.1629382829600799E-18</v>
      </c>
      <c r="G31" s="41" t="str">
        <f>IF(F31&lt;0.05,"Significant (p &lt; 0.05)","Not significant (p ≥ 0.05)")</f>
        <v>Significant (p &lt; 0.05)</v>
      </c>
    </row>
    <row r="32" spans="1:7" x14ac:dyDescent="0.25">
      <c r="A32" s="33" t="s">
        <v>207</v>
      </c>
      <c r="B32" s="39">
        <f>B24</f>
        <v>3893.0684719999845</v>
      </c>
      <c r="C32" s="41">
        <f>B14-1</f>
        <v>2</v>
      </c>
      <c r="D32" s="39">
        <f>B32/C32</f>
        <v>1946.5342359999922</v>
      </c>
      <c r="E32" s="39">
        <f>D32/D34</f>
        <v>417.7005693981813</v>
      </c>
      <c r="F32" s="36">
        <f>_xlfn.F.DIST.RT(E32,C32,C34)</f>
        <v>8.2617791878967588E-16</v>
      </c>
      <c r="G32" s="41" t="str">
        <f>IF(F32&lt;0.05,"Significant (p &lt; 0.05)","Not significant (p ≥ 0.05)")</f>
        <v>Significant (p &lt; 0.05)</v>
      </c>
    </row>
    <row r="33" spans="1:7" x14ac:dyDescent="0.25">
      <c r="A33" s="33" t="s">
        <v>208</v>
      </c>
      <c r="B33" s="39">
        <f>B26</f>
        <v>166.49219911112596</v>
      </c>
      <c r="C33" s="41">
        <f>(B13-1)*(B14-1)</f>
        <v>4</v>
      </c>
      <c r="D33" s="39">
        <f>B33/C33</f>
        <v>41.623049777781489</v>
      </c>
      <c r="E33" s="39">
        <f>D33/D34</f>
        <v>8.9317574131114554</v>
      </c>
      <c r="F33" s="36">
        <f>_xlfn.F.DIST.RT(E33,C33,C34)</f>
        <v>3.7142268712233071E-4</v>
      </c>
      <c r="G33" s="41" t="str">
        <f>IF(F33&lt;0.05,"Significant (p &lt; 0.05)","Not significant (p ≥ 0.05)")</f>
        <v>Significant (p &lt; 0.05)</v>
      </c>
    </row>
    <row r="34" spans="1:7" x14ac:dyDescent="0.25">
      <c r="A34" s="41" t="s">
        <v>209</v>
      </c>
      <c r="B34" s="39">
        <f>B27</f>
        <v>83.88213666665979</v>
      </c>
      <c r="C34" s="41">
        <f>B13*B14*(B15-1)</f>
        <v>18</v>
      </c>
      <c r="D34" s="39">
        <f>B34/C34</f>
        <v>4.660118703703322</v>
      </c>
      <c r="E34" s="41"/>
      <c r="F34" s="41"/>
      <c r="G34" s="41"/>
    </row>
    <row r="35" spans="1:7" x14ac:dyDescent="0.25">
      <c r="A35" s="41" t="s">
        <v>210</v>
      </c>
      <c r="B35" s="39">
        <f>B22</f>
        <v>11218.476648666649</v>
      </c>
      <c r="C35" s="41">
        <f>B16-1</f>
        <v>26</v>
      </c>
      <c r="D35" s="41"/>
      <c r="E35" s="41"/>
      <c r="F35" s="41"/>
      <c r="G35" s="41"/>
    </row>
    <row r="37" spans="1:7" ht="16.5" x14ac:dyDescent="0.25">
      <c r="A37" s="32" t="s">
        <v>156</v>
      </c>
    </row>
    <row r="39" spans="1:7" x14ac:dyDescent="0.25">
      <c r="A39" s="33" t="s">
        <v>211</v>
      </c>
    </row>
    <row r="40" spans="1:7" ht="153" x14ac:dyDescent="0.25">
      <c r="A40" s="33" t="s">
        <v>158</v>
      </c>
      <c r="B40" s="34" t="s">
        <v>212</v>
      </c>
    </row>
    <row r="41" spans="1:7" ht="76.5" x14ac:dyDescent="0.25">
      <c r="A41" s="33" t="s">
        <v>160</v>
      </c>
      <c r="B41" s="34" t="s">
        <v>213</v>
      </c>
    </row>
    <row r="42" spans="1:7" ht="153" x14ac:dyDescent="0.25">
      <c r="A42" s="33" t="s">
        <v>162</v>
      </c>
      <c r="B42" s="34" t="s">
        <v>214</v>
      </c>
    </row>
    <row r="43" spans="1:7" x14ac:dyDescent="0.25">
      <c r="A43" s="33" t="s">
        <v>164</v>
      </c>
      <c r="B43" s="34" t="s">
        <v>165</v>
      </c>
    </row>
    <row r="44" spans="1:7" x14ac:dyDescent="0.25">
      <c r="A44" s="33" t="s">
        <v>166</v>
      </c>
      <c r="B44" s="34" t="str">
        <f>C31&amp;", "&amp;C34</f>
        <v>2, 18</v>
      </c>
    </row>
    <row r="45" spans="1:7" x14ac:dyDescent="0.25">
      <c r="A45" s="33" t="s">
        <v>167</v>
      </c>
      <c r="B45" s="39">
        <f>E31</f>
        <v>759.10446608006589</v>
      </c>
    </row>
    <row r="46" spans="1:7" x14ac:dyDescent="0.25">
      <c r="A46" s="33" t="s">
        <v>151</v>
      </c>
      <c r="B46" s="36">
        <f>F31</f>
        <v>4.1629382829600799E-18</v>
      </c>
    </row>
    <row r="47" spans="1:7" ht="51" x14ac:dyDescent="0.25">
      <c r="A47" s="33" t="s">
        <v>168</v>
      </c>
      <c r="B47" s="34" t="s">
        <v>169</v>
      </c>
    </row>
    <row r="48" spans="1:7" ht="25.5" x14ac:dyDescent="0.25">
      <c r="A48" s="33" t="s">
        <v>170</v>
      </c>
      <c r="B48" s="34" t="str">
        <f>G31</f>
        <v>Significant (p &lt; 0.05)</v>
      </c>
    </row>
    <row r="50" spans="1:2" x14ac:dyDescent="0.25">
      <c r="A50" s="33" t="s">
        <v>215</v>
      </c>
    </row>
    <row r="51" spans="1:2" ht="165.75" x14ac:dyDescent="0.25">
      <c r="A51" s="33" t="s">
        <v>158</v>
      </c>
      <c r="B51" s="34" t="s">
        <v>216</v>
      </c>
    </row>
    <row r="52" spans="1:2" ht="76.5" x14ac:dyDescent="0.25">
      <c r="A52" s="33" t="s">
        <v>160</v>
      </c>
      <c r="B52" s="34" t="s">
        <v>217</v>
      </c>
    </row>
    <row r="53" spans="1:2" ht="114.75" x14ac:dyDescent="0.25">
      <c r="A53" s="33" t="s">
        <v>162</v>
      </c>
      <c r="B53" s="34" t="s">
        <v>218</v>
      </c>
    </row>
    <row r="54" spans="1:2" x14ac:dyDescent="0.25">
      <c r="A54" s="33" t="s">
        <v>164</v>
      </c>
      <c r="B54" s="34" t="s">
        <v>165</v>
      </c>
    </row>
    <row r="55" spans="1:2" x14ac:dyDescent="0.25">
      <c r="A55" s="33" t="s">
        <v>166</v>
      </c>
      <c r="B55" s="34" t="str">
        <f>C32&amp;", "&amp;C34</f>
        <v>2, 18</v>
      </c>
    </row>
    <row r="56" spans="1:2" x14ac:dyDescent="0.25">
      <c r="A56" s="33" t="s">
        <v>167</v>
      </c>
      <c r="B56" s="39">
        <f>E32</f>
        <v>417.7005693981813</v>
      </c>
    </row>
    <row r="57" spans="1:2" x14ac:dyDescent="0.25">
      <c r="A57" s="33" t="s">
        <v>151</v>
      </c>
      <c r="B57" s="36">
        <f>F32</f>
        <v>8.2617791878967588E-16</v>
      </c>
    </row>
    <row r="58" spans="1:2" ht="51" x14ac:dyDescent="0.25">
      <c r="A58" s="33" t="s">
        <v>168</v>
      </c>
      <c r="B58" s="34" t="s">
        <v>169</v>
      </c>
    </row>
    <row r="59" spans="1:2" ht="25.5" x14ac:dyDescent="0.25">
      <c r="A59" s="33" t="s">
        <v>170</v>
      </c>
      <c r="B59" s="34" t="str">
        <f>G32</f>
        <v>Significant (p &lt; 0.05)</v>
      </c>
    </row>
    <row r="61" spans="1:2" x14ac:dyDescent="0.25">
      <c r="A61" s="33" t="s">
        <v>219</v>
      </c>
    </row>
    <row r="62" spans="1:2" ht="127.5" x14ac:dyDescent="0.25">
      <c r="A62" s="33" t="s">
        <v>158</v>
      </c>
      <c r="B62" s="34" t="s">
        <v>220</v>
      </c>
    </row>
    <row r="63" spans="1:2" ht="114.75" x14ac:dyDescent="0.25">
      <c r="A63" s="33" t="s">
        <v>160</v>
      </c>
      <c r="B63" s="34" t="s">
        <v>221</v>
      </c>
    </row>
    <row r="64" spans="1:2" ht="114.75" x14ac:dyDescent="0.25">
      <c r="A64" s="33" t="s">
        <v>162</v>
      </c>
      <c r="B64" s="34" t="s">
        <v>222</v>
      </c>
    </row>
    <row r="65" spans="1:2" x14ac:dyDescent="0.25">
      <c r="A65" s="33" t="s">
        <v>164</v>
      </c>
      <c r="B65" s="34" t="s">
        <v>165</v>
      </c>
    </row>
    <row r="66" spans="1:2" x14ac:dyDescent="0.25">
      <c r="A66" s="33" t="s">
        <v>166</v>
      </c>
      <c r="B66" s="34" t="str">
        <f>C33&amp;", "&amp;C34</f>
        <v>4, 18</v>
      </c>
    </row>
    <row r="67" spans="1:2" x14ac:dyDescent="0.25">
      <c r="A67" s="33" t="s">
        <v>167</v>
      </c>
      <c r="B67" s="39">
        <f>E33</f>
        <v>8.9317574131114554</v>
      </c>
    </row>
    <row r="68" spans="1:2" x14ac:dyDescent="0.25">
      <c r="A68" s="33" t="s">
        <v>151</v>
      </c>
      <c r="B68" s="36">
        <f>F33</f>
        <v>3.7142268712233071E-4</v>
      </c>
    </row>
    <row r="69" spans="1:2" ht="51" x14ac:dyDescent="0.25">
      <c r="A69" s="33" t="s">
        <v>168</v>
      </c>
      <c r="B69" s="34" t="s">
        <v>169</v>
      </c>
    </row>
    <row r="70" spans="1:2" ht="25.5" x14ac:dyDescent="0.25">
      <c r="A70" s="33" t="s">
        <v>170</v>
      </c>
      <c r="B70" s="34" t="str">
        <f>G33</f>
        <v>Significant (p &lt; 0.05)</v>
      </c>
    </row>
    <row r="71" spans="1:2" ht="132" x14ac:dyDescent="0.25">
      <c r="A71" s="37" t="s"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Raw Data</vt:lpstr>
      <vt:lpstr>Descriptive Stats</vt:lpstr>
      <vt:lpstr>Group Mean Concentrations</vt:lpstr>
      <vt:lpstr>Exposure &amp; Toxicity Inputs</vt:lpstr>
      <vt:lpstr>Risk Assessment</vt:lpstr>
      <vt:lpstr>Summary (Table 4.5)</vt:lpstr>
      <vt:lpstr>Table 4.4 (SumOCP by group)</vt:lpstr>
      <vt:lpstr>Kruskal-Wallis Test</vt:lpstr>
      <vt:lpstr>Two-Way 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Md. Ashikur Rahman</cp:lastModifiedBy>
  <cp:revision>0</cp:revision>
  <dcterms:created xsi:type="dcterms:W3CDTF">2026-09-18T02:36:58Z</dcterms:created>
  <dcterms:modified xsi:type="dcterms:W3CDTF">2026-09-22T03:07:42Z</dcterms:modified>
  <dc:language>en-US</dc:language>
</cp:coreProperties>
</file>