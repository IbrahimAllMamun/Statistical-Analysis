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aiza\2026\00. Project\CRG\00. Re-Development\6. Final Binning\"/>
    </mc:Choice>
  </mc:AlternateContent>
  <bookViews>
    <workbookView xWindow="0" yWindow="0" windowWidth="13125" windowHeight="6105" activeTab="3"/>
  </bookViews>
  <sheets>
    <sheet name="Factor" sheetId="2" r:id="rId1"/>
    <sheet name="Phase1" sheetId="1" r:id="rId2"/>
    <sheet name="Phase2" sheetId="5" r:id="rId3"/>
    <sheet name="Synopsis" sheetId="4" r:id="rId4"/>
  </sheets>
  <definedNames>
    <definedName name="_xlnm._FilterDatabase" localSheetId="1" hidden="1">Phase1!$A$1:$P$168</definedName>
    <definedName name="_xlnm._FilterDatabase" localSheetId="2" hidden="1">Phase2!$A$1:$P$150</definedName>
    <definedName name="_xlnm._FilterDatabase" localSheetId="3" hidden="1">Synopsis!$A$2:$J$32</definedName>
  </definedNames>
  <calcPr calcId="162913"/>
</workbook>
</file>

<file path=xl/calcChain.xml><?xml version="1.0" encoding="utf-8"?>
<calcChain xmlns="http://schemas.openxmlformats.org/spreadsheetml/2006/main">
  <c r="O7" i="5" l="1"/>
  <c r="O8" i="5"/>
  <c r="O9" i="5"/>
  <c r="O12" i="5"/>
  <c r="O13" i="5"/>
  <c r="O16" i="5"/>
  <c r="O17" i="5"/>
  <c r="O20" i="5"/>
  <c r="O23" i="5"/>
  <c r="O24" i="5"/>
  <c r="O27" i="5"/>
  <c r="O28" i="5"/>
  <c r="O31" i="5"/>
  <c r="O32" i="5"/>
  <c r="O33" i="5"/>
  <c r="O34" i="5"/>
  <c r="O35" i="5"/>
  <c r="O38" i="5"/>
  <c r="O39" i="5"/>
  <c r="O40" i="5"/>
  <c r="O43" i="5"/>
  <c r="O44" i="5"/>
  <c r="O45" i="5"/>
  <c r="O48" i="5"/>
  <c r="O49" i="5"/>
  <c r="O50" i="5"/>
  <c r="O51" i="5"/>
  <c r="O54" i="5"/>
  <c r="O55" i="5"/>
  <c r="O56" i="5"/>
  <c r="O57" i="5"/>
  <c r="O58" i="5"/>
  <c r="O61" i="5"/>
  <c r="O62" i="5"/>
  <c r="O65" i="5"/>
  <c r="O66" i="5"/>
  <c r="O69" i="5"/>
  <c r="O70" i="5"/>
  <c r="O73" i="5"/>
  <c r="O74" i="5"/>
  <c r="O77" i="5"/>
  <c r="O78" i="5"/>
  <c r="O79" i="5"/>
  <c r="O82" i="5"/>
  <c r="O83" i="5"/>
  <c r="O84" i="5"/>
  <c r="O87" i="5"/>
  <c r="O88" i="5"/>
  <c r="O89" i="5"/>
  <c r="O92" i="5"/>
  <c r="O93" i="5"/>
  <c r="O94" i="5"/>
  <c r="O95" i="5"/>
  <c r="O96" i="5"/>
  <c r="O99" i="5"/>
  <c r="O100" i="5"/>
  <c r="O101" i="5"/>
  <c r="O104" i="5"/>
  <c r="O105" i="5"/>
  <c r="O106" i="5"/>
  <c r="O107" i="5"/>
  <c r="O108" i="5"/>
  <c r="O109" i="5"/>
  <c r="O112" i="5"/>
  <c r="O113" i="5"/>
  <c r="O116" i="5"/>
  <c r="O117" i="5"/>
  <c r="O120" i="5"/>
  <c r="O121" i="5"/>
  <c r="O124" i="5"/>
  <c r="O125" i="5"/>
  <c r="O126" i="5"/>
  <c r="O129" i="5"/>
  <c r="O130" i="5"/>
  <c r="O131" i="5"/>
  <c r="O132" i="5"/>
  <c r="O135" i="5"/>
  <c r="O136" i="5"/>
  <c r="O137" i="5"/>
  <c r="O138" i="5"/>
  <c r="O139" i="5"/>
  <c r="O142" i="5"/>
  <c r="O143" i="5"/>
  <c r="O146" i="5"/>
  <c r="O147" i="5"/>
  <c r="O148" i="5"/>
  <c r="O149" i="5"/>
  <c r="O150" i="5"/>
  <c r="O3" i="5"/>
  <c r="O4" i="5"/>
  <c r="O2" i="5"/>
  <c r="P10" i="1"/>
  <c r="O2" i="1"/>
  <c r="P3" i="5"/>
  <c r="P4" i="5"/>
  <c r="P7" i="5"/>
  <c r="P8" i="5"/>
  <c r="P9" i="5"/>
  <c r="P12" i="5"/>
  <c r="P13" i="5"/>
  <c r="P16" i="5"/>
  <c r="P17" i="5"/>
  <c r="P20" i="5"/>
  <c r="P23" i="5"/>
  <c r="P24" i="5"/>
  <c r="P27" i="5"/>
  <c r="P28" i="5"/>
  <c r="P31" i="5"/>
  <c r="P32" i="5"/>
  <c r="P33" i="5"/>
  <c r="P34" i="5"/>
  <c r="P35" i="5"/>
  <c r="P38" i="5"/>
  <c r="P39" i="5"/>
  <c r="P40" i="5"/>
  <c r="P43" i="5"/>
  <c r="P44" i="5"/>
  <c r="P45" i="5"/>
  <c r="P48" i="5"/>
  <c r="P49" i="5"/>
  <c r="P50" i="5"/>
  <c r="P51" i="5"/>
  <c r="P54" i="5"/>
  <c r="P55" i="5"/>
  <c r="P56" i="5"/>
  <c r="P57" i="5"/>
  <c r="P58" i="5"/>
  <c r="P61" i="5"/>
  <c r="P62" i="5"/>
  <c r="P65" i="5"/>
  <c r="P66" i="5"/>
  <c r="P69" i="5"/>
  <c r="P70" i="5"/>
  <c r="P73" i="5"/>
  <c r="P74" i="5"/>
  <c r="P77" i="5"/>
  <c r="P78" i="5"/>
  <c r="P79" i="5"/>
  <c r="P82" i="5"/>
  <c r="P83" i="5"/>
  <c r="P84" i="5"/>
  <c r="P87" i="5"/>
  <c r="P88" i="5"/>
  <c r="P89" i="5"/>
  <c r="P92" i="5"/>
  <c r="P93" i="5"/>
  <c r="P94" i="5"/>
  <c r="P95" i="5"/>
  <c r="P96" i="5"/>
  <c r="P99" i="5"/>
  <c r="P100" i="5"/>
  <c r="P101" i="5"/>
  <c r="P104" i="5"/>
  <c r="P105" i="5"/>
  <c r="P106" i="5"/>
  <c r="P107" i="5"/>
  <c r="P108" i="5"/>
  <c r="P109" i="5"/>
  <c r="P112" i="5"/>
  <c r="P113" i="5"/>
  <c r="P116" i="5"/>
  <c r="P117" i="5"/>
  <c r="P120" i="5"/>
  <c r="P121" i="5"/>
  <c r="P124" i="5"/>
  <c r="P125" i="5"/>
  <c r="P126" i="5"/>
  <c r="P129" i="5"/>
  <c r="P130" i="5"/>
  <c r="P131" i="5"/>
  <c r="P132" i="5"/>
  <c r="P135" i="5"/>
  <c r="P136" i="5"/>
  <c r="P137" i="5"/>
  <c r="P138" i="5"/>
  <c r="P139" i="5"/>
  <c r="P142" i="5"/>
  <c r="P143" i="5"/>
  <c r="P146" i="5"/>
  <c r="P147" i="5"/>
  <c r="P148" i="5"/>
  <c r="P149" i="5"/>
  <c r="P150" i="5"/>
  <c r="P2" i="5"/>
  <c r="N3" i="5"/>
  <c r="N4" i="5"/>
  <c r="N7" i="5"/>
  <c r="N8" i="5"/>
  <c r="N9" i="5"/>
  <c r="N12" i="5"/>
  <c r="N13" i="5"/>
  <c r="N16" i="5"/>
  <c r="N17" i="5"/>
  <c r="N20" i="5"/>
  <c r="N23" i="5"/>
  <c r="N24" i="5"/>
  <c r="N27" i="5"/>
  <c r="N28" i="5"/>
  <c r="N31" i="5"/>
  <c r="N32" i="5"/>
  <c r="N33" i="5"/>
  <c r="N34" i="5"/>
  <c r="N35" i="5"/>
  <c r="N38" i="5"/>
  <c r="N39" i="5"/>
  <c r="N40" i="5"/>
  <c r="N43" i="5"/>
  <c r="N44" i="5"/>
  <c r="N45" i="5"/>
  <c r="N48" i="5"/>
  <c r="N49" i="5"/>
  <c r="N50" i="5"/>
  <c r="N51" i="5"/>
  <c r="N54" i="5"/>
  <c r="N55" i="5"/>
  <c r="N56" i="5"/>
  <c r="N57" i="5"/>
  <c r="N58" i="5"/>
  <c r="N61" i="5"/>
  <c r="N62" i="5"/>
  <c r="N65" i="5"/>
  <c r="N66" i="5"/>
  <c r="N69" i="5"/>
  <c r="N70" i="5"/>
  <c r="N73" i="5"/>
  <c r="N74" i="5"/>
  <c r="N77" i="5"/>
  <c r="N78" i="5"/>
  <c r="N79" i="5"/>
  <c r="N82" i="5"/>
  <c r="N83" i="5"/>
  <c r="N84" i="5"/>
  <c r="N87" i="5"/>
  <c r="N88" i="5"/>
  <c r="N89" i="5"/>
  <c r="N92" i="5"/>
  <c r="N93" i="5"/>
  <c r="N94" i="5"/>
  <c r="N95" i="5"/>
  <c r="N96" i="5"/>
  <c r="N99" i="5"/>
  <c r="N100" i="5"/>
  <c r="N101" i="5"/>
  <c r="N104" i="5"/>
  <c r="N105" i="5"/>
  <c r="N106" i="5"/>
  <c r="N107" i="5"/>
  <c r="N108" i="5"/>
  <c r="N109" i="5"/>
  <c r="N112" i="5"/>
  <c r="N113" i="5"/>
  <c r="N116" i="5"/>
  <c r="N117" i="5"/>
  <c r="N120" i="5"/>
  <c r="N121" i="5"/>
  <c r="N124" i="5"/>
  <c r="N125" i="5"/>
  <c r="N126" i="5"/>
  <c r="N129" i="5"/>
  <c r="N130" i="5"/>
  <c r="N131" i="5"/>
  <c r="N132" i="5"/>
  <c r="N135" i="5"/>
  <c r="N136" i="5"/>
  <c r="N137" i="5"/>
  <c r="N138" i="5"/>
  <c r="N139" i="5"/>
  <c r="N142" i="5"/>
  <c r="N143" i="5"/>
  <c r="N146" i="5"/>
  <c r="N147" i="5"/>
  <c r="N148" i="5"/>
  <c r="N149" i="5"/>
  <c r="N150" i="5"/>
  <c r="N2" i="5"/>
  <c r="J4" i="4"/>
  <c r="K4" i="4" s="1"/>
  <c r="J5" i="4"/>
  <c r="J6" i="4"/>
  <c r="J7" i="4"/>
  <c r="J8" i="4"/>
  <c r="J9" i="4"/>
  <c r="J10" i="4"/>
  <c r="J11" i="4"/>
  <c r="J12" i="4"/>
  <c r="J14" i="4"/>
  <c r="J15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3" i="4"/>
  <c r="M5" i="5"/>
  <c r="M6" i="5"/>
  <c r="M7" i="5"/>
  <c r="H4" i="4" s="1"/>
  <c r="M8" i="5"/>
  <c r="M9" i="5"/>
  <c r="M10" i="5"/>
  <c r="M11" i="5"/>
  <c r="M12" i="5"/>
  <c r="H5" i="4" s="1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H6" i="4" s="1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H7" i="4" s="1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H8" i="4" s="1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H9" i="4" s="1"/>
  <c r="M83" i="5"/>
  <c r="M84" i="5"/>
  <c r="M85" i="5"/>
  <c r="M86" i="5"/>
  <c r="M87" i="5"/>
  <c r="H10" i="4" s="1"/>
  <c r="M88" i="5"/>
  <c r="M89" i="5"/>
  <c r="M90" i="5"/>
  <c r="M91" i="5"/>
  <c r="M92" i="5"/>
  <c r="M93" i="5"/>
  <c r="M94" i="5"/>
  <c r="M95" i="5"/>
  <c r="M96" i="5"/>
  <c r="M97" i="5"/>
  <c r="M98" i="5"/>
  <c r="M99" i="5"/>
  <c r="H11" i="4" s="1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H12" i="4" s="1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H14" i="4" s="1"/>
  <c r="M143" i="5"/>
  <c r="M144" i="5"/>
  <c r="M145" i="5"/>
  <c r="M146" i="5"/>
  <c r="H15" i="4" s="1"/>
  <c r="M147" i="5"/>
  <c r="M148" i="5"/>
  <c r="M149" i="5"/>
  <c r="M150" i="5"/>
  <c r="M3" i="5"/>
  <c r="M4" i="5"/>
  <c r="M2" i="5"/>
  <c r="H3" i="4" s="1"/>
  <c r="P166" i="1"/>
  <c r="P159" i="1"/>
  <c r="Q126" i="1"/>
  <c r="P126" i="1"/>
  <c r="P128" i="1"/>
  <c r="P110" i="1"/>
  <c r="P94" i="1"/>
  <c r="P112" i="1"/>
  <c r="Q67" i="1"/>
  <c r="P70" i="1"/>
  <c r="P67" i="1"/>
  <c r="P50" i="1"/>
  <c r="Q15" i="1"/>
  <c r="P17" i="1"/>
  <c r="P15" i="1"/>
  <c r="P4" i="1"/>
  <c r="P2" i="1"/>
  <c r="M7" i="1"/>
  <c r="M8" i="1"/>
  <c r="M9" i="1"/>
  <c r="N9" i="1"/>
  <c r="O9" i="1"/>
  <c r="P9" i="1" s="1"/>
  <c r="M10" i="1"/>
  <c r="N10" i="1"/>
  <c r="O10" i="1"/>
  <c r="M11" i="1"/>
  <c r="N11" i="1"/>
  <c r="O11" i="1"/>
  <c r="M12" i="1"/>
  <c r="N12" i="1"/>
  <c r="O12" i="1"/>
  <c r="P12" i="1" s="1"/>
  <c r="M13" i="1"/>
  <c r="M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M20" i="1"/>
  <c r="M21" i="1"/>
  <c r="N21" i="1"/>
  <c r="O21" i="1"/>
  <c r="M22" i="1"/>
  <c r="N22" i="1"/>
  <c r="O22" i="1"/>
  <c r="M23" i="1"/>
  <c r="M24" i="1"/>
  <c r="M25" i="1"/>
  <c r="N25" i="1"/>
  <c r="O25" i="1"/>
  <c r="M26" i="1"/>
  <c r="M27" i="1"/>
  <c r="M28" i="1"/>
  <c r="N28" i="1"/>
  <c r="O28" i="1"/>
  <c r="M29" i="1"/>
  <c r="N29" i="1"/>
  <c r="O29" i="1"/>
  <c r="M30" i="1"/>
  <c r="M31" i="1"/>
  <c r="M32" i="1"/>
  <c r="N32" i="1"/>
  <c r="O32" i="1"/>
  <c r="M33" i="1"/>
  <c r="N33" i="1"/>
  <c r="O33" i="1"/>
  <c r="M34" i="1"/>
  <c r="M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M42" i="1"/>
  <c r="M43" i="1"/>
  <c r="N43" i="1"/>
  <c r="O43" i="1"/>
  <c r="M44" i="1"/>
  <c r="N44" i="1"/>
  <c r="O44" i="1"/>
  <c r="M45" i="1"/>
  <c r="N45" i="1"/>
  <c r="O45" i="1"/>
  <c r="M46" i="1"/>
  <c r="M47" i="1"/>
  <c r="M48" i="1"/>
  <c r="N48" i="1"/>
  <c r="O48" i="1"/>
  <c r="P48" i="1" s="1"/>
  <c r="M49" i="1"/>
  <c r="N49" i="1"/>
  <c r="O49" i="1"/>
  <c r="P49" i="1" s="1"/>
  <c r="M50" i="1"/>
  <c r="N50" i="1"/>
  <c r="O50" i="1"/>
  <c r="M51" i="1"/>
  <c r="N51" i="1"/>
  <c r="O51" i="1"/>
  <c r="M52" i="1"/>
  <c r="M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M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M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M74" i="1"/>
  <c r="M75" i="1"/>
  <c r="N75" i="1"/>
  <c r="O75" i="1"/>
  <c r="M76" i="1"/>
  <c r="N76" i="1"/>
  <c r="O76" i="1"/>
  <c r="M77" i="1"/>
  <c r="M78" i="1"/>
  <c r="M79" i="1"/>
  <c r="N79" i="1"/>
  <c r="O79" i="1"/>
  <c r="M80" i="1"/>
  <c r="N80" i="1"/>
  <c r="O80" i="1"/>
  <c r="M81" i="1"/>
  <c r="M82" i="1"/>
  <c r="M83" i="1"/>
  <c r="N83" i="1"/>
  <c r="O83" i="1"/>
  <c r="M84" i="1"/>
  <c r="N84" i="1"/>
  <c r="O84" i="1"/>
  <c r="M85" i="1"/>
  <c r="M86" i="1"/>
  <c r="M87" i="1"/>
  <c r="N87" i="1"/>
  <c r="O87" i="1"/>
  <c r="M88" i="1"/>
  <c r="N88" i="1"/>
  <c r="O88" i="1"/>
  <c r="M89" i="1"/>
  <c r="N89" i="1"/>
  <c r="O89" i="1"/>
  <c r="M90" i="1"/>
  <c r="M91" i="1"/>
  <c r="M92" i="1"/>
  <c r="N92" i="1"/>
  <c r="O92" i="1"/>
  <c r="P92" i="1" s="1"/>
  <c r="M93" i="1"/>
  <c r="N93" i="1"/>
  <c r="O93" i="1"/>
  <c r="P93" i="1" s="1"/>
  <c r="M94" i="1"/>
  <c r="N94" i="1"/>
  <c r="O94" i="1"/>
  <c r="M95" i="1"/>
  <c r="N95" i="1"/>
  <c r="O95" i="1"/>
  <c r="M96" i="1"/>
  <c r="M97" i="1"/>
  <c r="M98" i="1"/>
  <c r="N98" i="1"/>
  <c r="O98" i="1"/>
  <c r="M99" i="1"/>
  <c r="N99" i="1"/>
  <c r="O99" i="1"/>
  <c r="M100" i="1"/>
  <c r="N100" i="1"/>
  <c r="O100" i="1"/>
  <c r="M101" i="1"/>
  <c r="M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M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P115" i="1" s="1"/>
  <c r="M116" i="1"/>
  <c r="M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M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M131" i="1"/>
  <c r="M132" i="1"/>
  <c r="N132" i="1"/>
  <c r="O132" i="1"/>
  <c r="M133" i="1"/>
  <c r="N133" i="1"/>
  <c r="O133" i="1"/>
  <c r="M134" i="1"/>
  <c r="M135" i="1"/>
  <c r="M136" i="1"/>
  <c r="N136" i="1"/>
  <c r="O136" i="1"/>
  <c r="M137" i="1"/>
  <c r="N137" i="1"/>
  <c r="O137" i="1"/>
  <c r="M138" i="1"/>
  <c r="M139" i="1"/>
  <c r="M140" i="1"/>
  <c r="N140" i="1"/>
  <c r="O140" i="1"/>
  <c r="M141" i="1"/>
  <c r="N141" i="1"/>
  <c r="O141" i="1"/>
  <c r="M142" i="1"/>
  <c r="N142" i="1"/>
  <c r="O142" i="1"/>
  <c r="M143" i="1"/>
  <c r="M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M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M157" i="1"/>
  <c r="M158" i="1"/>
  <c r="N158" i="1"/>
  <c r="O158" i="1"/>
  <c r="P158" i="1" s="1"/>
  <c r="M159" i="1"/>
  <c r="N159" i="1"/>
  <c r="O159" i="1"/>
  <c r="M160" i="1"/>
  <c r="N160" i="1"/>
  <c r="O160" i="1"/>
  <c r="M161" i="1"/>
  <c r="M162" i="1"/>
  <c r="M163" i="1"/>
  <c r="N163" i="1"/>
  <c r="O163" i="1"/>
  <c r="P163" i="1" s="1"/>
  <c r="M164" i="1"/>
  <c r="N164" i="1"/>
  <c r="O164" i="1"/>
  <c r="P164" i="1" s="1"/>
  <c r="M165" i="1"/>
  <c r="N165" i="1"/>
  <c r="O165" i="1"/>
  <c r="P165" i="1" s="1"/>
  <c r="M166" i="1"/>
  <c r="N166" i="1"/>
  <c r="O166" i="1"/>
  <c r="M167" i="1"/>
  <c r="N167" i="1"/>
  <c r="O167" i="1"/>
  <c r="M168" i="1"/>
  <c r="N168" i="1"/>
  <c r="O168" i="1"/>
  <c r="P168" i="1" s="1"/>
  <c r="M3" i="1"/>
  <c r="N3" i="1"/>
  <c r="O3" i="1"/>
  <c r="M4" i="1"/>
  <c r="N4" i="1"/>
  <c r="O4" i="1"/>
  <c r="M5" i="1"/>
  <c r="N5" i="1"/>
  <c r="O5" i="1"/>
  <c r="M6" i="1"/>
  <c r="N6" i="1"/>
  <c r="O6" i="1"/>
  <c r="P6" i="1" s="1"/>
  <c r="N2" i="1"/>
  <c r="M2" i="1"/>
  <c r="C3" i="2"/>
  <c r="C2" i="2"/>
  <c r="H13" i="4" l="1"/>
</calcChain>
</file>

<file path=xl/sharedStrings.xml><?xml version="1.0" encoding="utf-8"?>
<sst xmlns="http://schemas.openxmlformats.org/spreadsheetml/2006/main" count="1488" uniqueCount="147">
  <si>
    <t>variable</t>
  </si>
  <si>
    <t>bin</t>
  </si>
  <si>
    <t>count</t>
  </si>
  <si>
    <t>count_distr</t>
  </si>
  <si>
    <t>neg</t>
  </si>
  <si>
    <t>pos</t>
  </si>
  <si>
    <t>posprob</t>
  </si>
  <si>
    <t>woe</t>
  </si>
  <si>
    <t>bin_iv</t>
  </si>
  <si>
    <t>total_iv</t>
  </si>
  <si>
    <t>breaks</t>
  </si>
  <si>
    <t>is_special_values</t>
  </si>
  <si>
    <t>Bor_No_Rep_Institutes</t>
  </si>
  <si>
    <t>[-Inf,3)</t>
  </si>
  <si>
    <t>3</t>
  </si>
  <si>
    <t>[3,4)</t>
  </si>
  <si>
    <t>4</t>
  </si>
  <si>
    <t>[4,5)</t>
  </si>
  <si>
    <t>5</t>
  </si>
  <si>
    <t>[5,6)</t>
  </si>
  <si>
    <t>6</t>
  </si>
  <si>
    <t>[6, Inf)</t>
  </si>
  <si>
    <t>Inf</t>
  </si>
  <si>
    <t>Bor_No_Living_Contracts</t>
  </si>
  <si>
    <t>[-Inf,1)</t>
  </si>
  <si>
    <t>1</t>
  </si>
  <si>
    <t>[1,2)</t>
  </si>
  <si>
    <t>2</t>
  </si>
  <si>
    <t>[2,5)</t>
  </si>
  <si>
    <t>[5, Inf)</t>
  </si>
  <si>
    <t>Bor_Boral_OS_Amt</t>
  </si>
  <si>
    <t>[-Inf,300000)</t>
  </si>
  <si>
    <t>300000</t>
  </si>
  <si>
    <t>[300000,900000)</t>
  </si>
  <si>
    <t>900000</t>
  </si>
  <si>
    <t>[900000,2500000)</t>
  </si>
  <si>
    <t>2500000</t>
  </si>
  <si>
    <t>[2500000, Inf)</t>
  </si>
  <si>
    <t>Bor_Boral_Overdue_Amt</t>
  </si>
  <si>
    <t>[-Inf,10000)</t>
  </si>
  <si>
    <t>10000</t>
  </si>
  <si>
    <t>[10000, Inf)</t>
  </si>
  <si>
    <t>Bor_Current_Highest_NPI</t>
  </si>
  <si>
    <t>[-Inf, Inf)</t>
  </si>
  <si>
    <t>Bor_Historic_High_NPI_L12</t>
  </si>
  <si>
    <t>[1, Inf)</t>
  </si>
  <si>
    <t>Bor_Historic_High_NPI_L24</t>
  </si>
  <si>
    <t>Bor_Terminated_Loans_L24</t>
  </si>
  <si>
    <t>[2,3)</t>
  </si>
  <si>
    <t>[3,5)</t>
  </si>
  <si>
    <t>Bor_No_Term_Loans_L12</t>
  </si>
  <si>
    <t>[2, Inf)</t>
  </si>
  <si>
    <t>Bor_No_Term_Loans_L24</t>
  </si>
  <si>
    <t>[3, Inf)</t>
  </si>
  <si>
    <t>Guar_No_Rep_Institutes</t>
  </si>
  <si>
    <t>Guar_No_Living_Contracts</t>
  </si>
  <si>
    <t>[4, Inf)</t>
  </si>
  <si>
    <t>Guar_Guaral_OS_Amt</t>
  </si>
  <si>
    <t>[300000,800000)</t>
  </si>
  <si>
    <t>800000</t>
  </si>
  <si>
    <t>[800000,1300000)</t>
  </si>
  <si>
    <t>1300000</t>
  </si>
  <si>
    <t>[1300000,1900000)</t>
  </si>
  <si>
    <t>1900000</t>
  </si>
  <si>
    <t>[1900000,2600000)</t>
  </si>
  <si>
    <t>2600000</t>
  </si>
  <si>
    <t>[2600000, Inf)</t>
  </si>
  <si>
    <t>Guar_Guaral_Overdue_Amt</t>
  </si>
  <si>
    <t>[-Inf,5000)</t>
  </si>
  <si>
    <t>5000</t>
  </si>
  <si>
    <t>[5000, Inf)</t>
  </si>
  <si>
    <t>Guar_Current_Highest_NPI</t>
  </si>
  <si>
    <t>Guar_Historic_High_NPI_L12</t>
  </si>
  <si>
    <t>Guar_Historic_High_NPI_L24</t>
  </si>
  <si>
    <t>Guar_Terminated_Loans_L24</t>
  </si>
  <si>
    <t>Guar_No_Term_Loans_L12</t>
  </si>
  <si>
    <t>Guar_No_Term_Loans_L24</t>
  </si>
  <si>
    <t>Tot_No_Rep_Institutes</t>
  </si>
  <si>
    <t>[4,6)</t>
  </si>
  <si>
    <t>[6,9)</t>
  </si>
  <si>
    <t>9</t>
  </si>
  <si>
    <t>[9,11)</t>
  </si>
  <si>
    <t>11</t>
  </si>
  <si>
    <t>[11, Inf)</t>
  </si>
  <si>
    <t>Tot_No_Living_Contracts</t>
  </si>
  <si>
    <t>[2,4)</t>
  </si>
  <si>
    <t>Tot_Total_OS_Amt</t>
  </si>
  <si>
    <t>[-Inf,400000)</t>
  </si>
  <si>
    <t>400000</t>
  </si>
  <si>
    <t>[400000,3200000)</t>
  </si>
  <si>
    <t>3200000</t>
  </si>
  <si>
    <t>[3200000,4000000)</t>
  </si>
  <si>
    <t>4000000</t>
  </si>
  <si>
    <t>[4000000, Inf)</t>
  </si>
  <si>
    <t>Tot_Total_Overdue_Amt</t>
  </si>
  <si>
    <t>Tot_Current_Highest_NPI</t>
  </si>
  <si>
    <t>Tot_Historic_High_NPI_L12</t>
  </si>
  <si>
    <t>Tot_Historic_High_NPI_L24</t>
  </si>
  <si>
    <t>Tot_Terminated_Loans_L24</t>
  </si>
  <si>
    <t>[-Inf,2)</t>
  </si>
  <si>
    <t>Tot_No_Term_Loans_L12</t>
  </si>
  <si>
    <t>Tot_No_Term_Loans_L24</t>
  </si>
  <si>
    <t>[5,7)</t>
  </si>
  <si>
    <t>7</t>
  </si>
  <si>
    <t>[7, Inf)</t>
  </si>
  <si>
    <t>Actual</t>
  </si>
  <si>
    <t>Factored</t>
  </si>
  <si>
    <t>Factor</t>
  </si>
  <si>
    <t>Correlation</t>
  </si>
  <si>
    <t>Bad Rate</t>
  </si>
  <si>
    <t>Bad Rate (Factored)</t>
  </si>
  <si>
    <t>IV</t>
  </si>
  <si>
    <t>Remarks</t>
  </si>
  <si>
    <t>Will be excluded</t>
  </si>
  <si>
    <t>Variables</t>
  </si>
  <si>
    <t>Phase 1:</t>
  </si>
  <si>
    <t>Marginal contribution</t>
  </si>
  <si>
    <t>Adequate predictability</t>
  </si>
  <si>
    <t>No Correlation</t>
  </si>
  <si>
    <t>Phase 2</t>
  </si>
  <si>
    <t>Remarks for Binning Adjustment</t>
  </si>
  <si>
    <t>1, 5</t>
  </si>
  <si>
    <t>Breaks</t>
  </si>
  <si>
    <t>1, 6</t>
  </si>
  <si>
    <t>All Okay</t>
  </si>
  <si>
    <t>1, 2</t>
  </si>
  <si>
    <t>4, 11</t>
  </si>
  <si>
    <t>1, 2, 4, 7</t>
  </si>
  <si>
    <t>[-Inf,4)</t>
  </si>
  <si>
    <t>[1,5)</t>
  </si>
  <si>
    <t>[-Inf,900000)</t>
  </si>
  <si>
    <t>[900000, Inf)</t>
  </si>
  <si>
    <t>[-Inf,1300000)</t>
  </si>
  <si>
    <t>[1300000, Inf)</t>
  </si>
  <si>
    <t>[4,11)</t>
  </si>
  <si>
    <t>[-Inf,3200000)</t>
  </si>
  <si>
    <t>[3200000, Inf)</t>
  </si>
  <si>
    <t>[4,7)</t>
  </si>
  <si>
    <t>1,6</t>
  </si>
  <si>
    <t>IFC</t>
  </si>
  <si>
    <t>Breaks IDLC</t>
  </si>
  <si>
    <t>Breaks IFC</t>
  </si>
  <si>
    <t>NA</t>
  </si>
  <si>
    <t>Did not Adjust</t>
  </si>
  <si>
    <t>Additional Variable</t>
  </si>
  <si>
    <t>Variables under consideration</t>
  </si>
  <si>
    <t>[1,6)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</si>
</sst>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IDLC"/>
    </font>
    <font>
      <sz val="9"/>
      <color rgb="FF000000"/>
      <name val="IDLC"/>
    </font>
    <font>
      <b/>
      <i/>
      <sz val="9"/>
      <color rgb="FF000000"/>
      <name val="IDLC"/>
    </font>
    <font>
      <sz val="9"/>
      <color rgb="FFFF0000"/>
      <name val="IDLC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0" fontId="3" fillId="0" borderId="0" xfId="1" applyNumberFormat="1" applyFont="1" applyAlignment="1">
      <alignment horizontal="center"/>
    </xf>
    <xf numFmtId="10" fontId="3" fillId="4" borderId="0" xfId="1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4" borderId="0" xfId="1" applyNumberFormat="1" applyFont="1" applyFill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0" fontId="3" fillId="6" borderId="0" xfId="1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171" fontId="5" fillId="5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19" sqref="E19"/>
    </sheetView>
  </sheetViews>
  <sheetFormatPr defaultRowHeight="15" x14ac:dyDescent="0.25"/>
  <cols>
    <col min="1" max="3" width="15.5703125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s="2">
        <v>7337</v>
      </c>
      <c r="B2" s="3">
        <v>1000</v>
      </c>
      <c r="C2" s="2">
        <f>A2/B2</f>
        <v>7.3369999999999997</v>
      </c>
    </row>
    <row r="3" spans="1:3" x14ac:dyDescent="0.25">
      <c r="A3" s="2">
        <v>963</v>
      </c>
      <c r="B3" s="2">
        <v>963</v>
      </c>
      <c r="C3" s="2">
        <f>A3/B3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"/>
  <sheetViews>
    <sheetView workbookViewId="0">
      <pane ySplit="1" topLeftCell="A2" activePane="bottomLeft" state="frozen"/>
      <selection pane="bottomLeft"/>
    </sheetView>
  </sheetViews>
  <sheetFormatPr defaultColWidth="11.42578125" defaultRowHeight="12.75" x14ac:dyDescent="0.25"/>
  <cols>
    <col min="1" max="1" width="22.85546875" style="6" bestFit="1" customWidth="1"/>
    <col min="2" max="2" width="16.5703125" style="6" bestFit="1" customWidth="1"/>
    <col min="3" max="3" width="5.28515625" style="6" bestFit="1" customWidth="1"/>
    <col min="4" max="4" width="12" style="6" bestFit="1" customWidth="1"/>
    <col min="5" max="5" width="5" style="6" bestFit="1" customWidth="1"/>
    <col min="6" max="6" width="4" style="6" bestFit="1" customWidth="1"/>
    <col min="7" max="7" width="12" style="6" bestFit="1" customWidth="1"/>
    <col min="8" max="8" width="12.5703125" style="6" bestFit="1" customWidth="1"/>
    <col min="9" max="10" width="12" style="6" bestFit="1" customWidth="1"/>
    <col min="11" max="11" width="8" style="6" bestFit="1" customWidth="1"/>
    <col min="12" max="12" width="13.7109375" style="6" bestFit="1" customWidth="1"/>
    <col min="13" max="13" width="23.42578125" style="7" customWidth="1"/>
    <col min="14" max="14" width="12" style="4" bestFit="1" customWidth="1"/>
    <col min="15" max="15" width="15.42578125" style="4" bestFit="1" customWidth="1"/>
    <col min="16" max="16" width="26" style="4" bestFit="1" customWidth="1"/>
    <col min="17" max="17" width="26" style="12" bestFit="1" customWidth="1"/>
    <col min="18" max="16384" width="11.42578125" style="6"/>
  </cols>
  <sheetData>
    <row r="1" spans="1:1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108</v>
      </c>
      <c r="N1" s="5" t="s">
        <v>109</v>
      </c>
      <c r="O1" s="5" t="s">
        <v>110</v>
      </c>
      <c r="P1" s="5" t="s">
        <v>120</v>
      </c>
      <c r="Q1" s="11" t="s">
        <v>122</v>
      </c>
    </row>
    <row r="2" spans="1:17" x14ac:dyDescent="0.25">
      <c r="A2" s="6" t="s">
        <v>12</v>
      </c>
      <c r="B2" s="6" t="s">
        <v>13</v>
      </c>
      <c r="C2" s="6">
        <v>886</v>
      </c>
      <c r="D2" s="6">
        <v>0.45134997452878201</v>
      </c>
      <c r="E2" s="6">
        <v>467</v>
      </c>
      <c r="F2" s="6">
        <v>419</v>
      </c>
      <c r="G2" s="6">
        <v>0.47291196388261902</v>
      </c>
      <c r="H2" s="6">
        <v>-7.0756470562748197E-2</v>
      </c>
      <c r="I2" s="6">
        <v>2.2572269285131802E-3</v>
      </c>
      <c r="J2" s="6">
        <v>1.5827167438474302E-2</v>
      </c>
      <c r="K2" s="6" t="s">
        <v>14</v>
      </c>
      <c r="L2" s="6" t="b">
        <v>0</v>
      </c>
      <c r="M2" s="7" t="str">
        <f>IFERROR(IF(NOT(ISNUMBER(J2)), "", IF(J2&lt;0.01,"No Correlation",IF(J2&lt;0.03,"Marginal contribution",IF(J2&lt;0.1,"Adequate predictability",IF(J2&lt;0.3,"Strong Predictor",IF(J2&lt;0.5,"Very Strong predictor",IF(J2&gt;=0.5,"Extremely high correlation", ))))))), "")</f>
        <v>Marginal contribution</v>
      </c>
      <c r="N2" s="4">
        <f>IFERROR(F2/C2, 0)</f>
        <v>0.47291196388261852</v>
      </c>
      <c r="O2" s="4">
        <f>IFERROR(F2/((E2*Factor!$C$2)+Phase1!F2), 0)</f>
        <v>0.10896195147474411</v>
      </c>
      <c r="P2" s="4">
        <f>(F2+F3)/((F2+F3)+(E2+E3)*Factor!$C$2)</f>
        <v>0.11262863482705178</v>
      </c>
      <c r="Q2" s="12" t="s">
        <v>123</v>
      </c>
    </row>
    <row r="3" spans="1:17" x14ac:dyDescent="0.25">
      <c r="A3" s="6" t="s">
        <v>12</v>
      </c>
      <c r="B3" s="6" t="s">
        <v>15</v>
      </c>
      <c r="C3" s="6">
        <v>406</v>
      </c>
      <c r="D3" s="6">
        <v>0.206826286296485</v>
      </c>
      <c r="E3" s="6">
        <v>202</v>
      </c>
      <c r="F3" s="6">
        <v>204</v>
      </c>
      <c r="G3" s="6">
        <v>0.50246305418719195</v>
      </c>
      <c r="H3" s="6">
        <v>4.7554163627022999E-2</v>
      </c>
      <c r="I3" s="6">
        <v>4.67838158050275E-4</v>
      </c>
      <c r="J3" s="6">
        <v>1.5827167438474302E-2</v>
      </c>
      <c r="K3" s="6" t="s">
        <v>16</v>
      </c>
      <c r="L3" s="6" t="b">
        <v>0</v>
      </c>
      <c r="M3" s="7" t="str">
        <f t="shared" ref="M3:M7" si="0">IFERROR(IF(NOT(ISNUMBER(J3)), "", IF(J3&lt;0.01,"No Correlation",IF(J3&lt;0.03,"Marginal contribution",IF(J3&lt;0.1,"Adequate predictability",IF(J3&lt;0.3,"Strong Predictor",IF(J3&lt;0.5,"Very Strong predictor",IF(J3&gt;=0.5,"Extremely high correlation", ))))))), "")</f>
        <v>Marginal contribution</v>
      </c>
      <c r="N3" s="4">
        <f t="shared" ref="N3:N7" si="1">IFERROR(F3/C3, 0)</f>
        <v>0.50246305418719217</v>
      </c>
      <c r="O3" s="4">
        <f>IFERROR(F3/((E3*Factor!$C$2)+Phase1!F3), 0)</f>
        <v>0.12099113087563181</v>
      </c>
    </row>
    <row r="4" spans="1:17" x14ac:dyDescent="0.25">
      <c r="A4" s="6" t="s">
        <v>12</v>
      </c>
      <c r="B4" s="6" t="s">
        <v>17</v>
      </c>
      <c r="C4" s="6">
        <v>270</v>
      </c>
      <c r="D4" s="6">
        <v>0.13754457463066699</v>
      </c>
      <c r="E4" s="6">
        <v>127</v>
      </c>
      <c r="F4" s="6">
        <v>143</v>
      </c>
      <c r="G4" s="6">
        <v>0.52962962962963001</v>
      </c>
      <c r="H4" s="6">
        <v>0.15635941098532699</v>
      </c>
      <c r="I4" s="6">
        <v>3.3608343177417401E-3</v>
      </c>
      <c r="J4" s="6">
        <v>1.5827167438474302E-2</v>
      </c>
      <c r="K4" s="6" t="s">
        <v>18</v>
      </c>
      <c r="L4" s="6" t="b">
        <v>0</v>
      </c>
      <c r="M4" s="7" t="str">
        <f t="shared" si="0"/>
        <v>Marginal contribution</v>
      </c>
      <c r="N4" s="4">
        <f t="shared" si="1"/>
        <v>0.52962962962962967</v>
      </c>
      <c r="O4" s="4">
        <f>IFERROR(F4/((E4*Factor!$C$2)+Phase1!F4), 0)</f>
        <v>0.13304813272062962</v>
      </c>
      <c r="P4" s="4">
        <f>(F4+F5)/((F4+F5)+(E4+E5)*Factor!$C$2)</f>
        <v>0.11603832929234942</v>
      </c>
    </row>
    <row r="5" spans="1:17" x14ac:dyDescent="0.25">
      <c r="A5" s="6" t="s">
        <v>12</v>
      </c>
      <c r="B5" s="6" t="s">
        <v>19</v>
      </c>
      <c r="C5" s="6">
        <v>156</v>
      </c>
      <c r="D5" s="6">
        <v>7.9470198675496706E-2</v>
      </c>
      <c r="E5" s="6">
        <v>90</v>
      </c>
      <c r="F5" s="6">
        <v>66</v>
      </c>
      <c r="G5" s="6">
        <v>0.42307692307692302</v>
      </c>
      <c r="H5" s="6">
        <v>-0.27245306111982798</v>
      </c>
      <c r="I5" s="6">
        <v>5.8479800346280903E-3</v>
      </c>
      <c r="J5" s="6">
        <v>1.5827167438474302E-2</v>
      </c>
      <c r="K5" s="6" t="s">
        <v>20</v>
      </c>
      <c r="L5" s="6" t="b">
        <v>0</v>
      </c>
      <c r="M5" s="7" t="str">
        <f t="shared" si="0"/>
        <v>Marginal contribution</v>
      </c>
      <c r="N5" s="4">
        <f t="shared" si="1"/>
        <v>0.42307692307692307</v>
      </c>
      <c r="O5" s="4">
        <f>IFERROR(F5/((E5*Factor!$C$2)+Phase1!F5), 0)</f>
        <v>9.0867787369377562E-2</v>
      </c>
    </row>
    <row r="6" spans="1:17" x14ac:dyDescent="0.25">
      <c r="A6" s="6" t="s">
        <v>12</v>
      </c>
      <c r="B6" s="6" t="s">
        <v>21</v>
      </c>
      <c r="C6" s="6">
        <v>245</v>
      </c>
      <c r="D6" s="6">
        <v>0.124808965868569</v>
      </c>
      <c r="E6" s="6">
        <v>114</v>
      </c>
      <c r="F6" s="6">
        <v>131</v>
      </c>
      <c r="G6" s="6">
        <v>0.53469387755102005</v>
      </c>
      <c r="H6" s="6">
        <v>0.17670074199066699</v>
      </c>
      <c r="I6" s="6">
        <v>3.8932879995409999E-3</v>
      </c>
      <c r="J6" s="6">
        <v>1.5827167438474302E-2</v>
      </c>
      <c r="K6" s="6" t="s">
        <v>22</v>
      </c>
      <c r="L6" s="6" t="b">
        <v>0</v>
      </c>
      <c r="M6" s="7" t="str">
        <f t="shared" si="0"/>
        <v>Marginal contribution</v>
      </c>
      <c r="N6" s="4">
        <f t="shared" si="1"/>
        <v>0.53469387755102038</v>
      </c>
      <c r="O6" s="4">
        <f>IFERROR(F6/((E6*Factor!$C$2)+Phase1!F6), 0)</f>
        <v>0.13541199357464923</v>
      </c>
      <c r="P6" s="4">
        <f>O6</f>
        <v>0.13541199357464923</v>
      </c>
    </row>
    <row r="7" spans="1:17" x14ac:dyDescent="0.25">
      <c r="M7" s="6" t="str">
        <f t="shared" si="0"/>
        <v/>
      </c>
    </row>
    <row r="8" spans="1:17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7" t="str">
        <f t="shared" ref="M8:M71" si="2">IFERROR(IF(NOT(ISNUMBER(J8)), "", IF(J8&lt;0.01,"No Correlation",IF(J8&lt;0.03,"Marginal contribution",IF(J8&lt;0.1,"Adequate predictability",IF(J8&lt;0.3,"Strong Predictor",IF(J8&lt;0.5,"Very Strong predictor",IF(J8&gt;=0.5,"Extremely high correlation", ))))))), "")</f>
        <v/>
      </c>
    </row>
    <row r="9" spans="1:17" x14ac:dyDescent="0.25">
      <c r="A9" s="6" t="s">
        <v>23</v>
      </c>
      <c r="B9" s="6" t="s">
        <v>24</v>
      </c>
      <c r="C9" s="6">
        <v>453</v>
      </c>
      <c r="D9" s="6">
        <v>0.230769230769231</v>
      </c>
      <c r="E9" s="6">
        <v>255</v>
      </c>
      <c r="F9" s="6">
        <v>198</v>
      </c>
      <c r="G9" s="6">
        <v>0.43708609271523202</v>
      </c>
      <c r="H9" s="6">
        <v>-0.21529464727987899</v>
      </c>
      <c r="I9" s="6">
        <v>1.06339458960202E-2</v>
      </c>
      <c r="J9" s="6">
        <v>1.91954969991616E-2</v>
      </c>
      <c r="K9" s="6" t="s">
        <v>25</v>
      </c>
      <c r="L9" s="6" t="b">
        <v>0</v>
      </c>
      <c r="M9" s="7" t="str">
        <f t="shared" si="2"/>
        <v>Marginal contribution</v>
      </c>
      <c r="N9" s="4">
        <f t="shared" ref="N8:N71" si="3">IFERROR(F9/C9, 0)</f>
        <v>0.4370860927152318</v>
      </c>
      <c r="O9" s="4">
        <f>IFERROR(F9/((E9*Factor!$C$2)+Phase1!F9), 0)</f>
        <v>9.5701411595821045E-2</v>
      </c>
      <c r="P9" s="4">
        <f>O9</f>
        <v>9.5701411595821045E-2</v>
      </c>
      <c r="Q9" s="12" t="s">
        <v>121</v>
      </c>
    </row>
    <row r="10" spans="1:17" x14ac:dyDescent="0.25">
      <c r="A10" s="6" t="s">
        <v>23</v>
      </c>
      <c r="B10" s="6" t="s">
        <v>26</v>
      </c>
      <c r="C10" s="6">
        <v>696</v>
      </c>
      <c r="D10" s="6">
        <v>0.35455934793683103</v>
      </c>
      <c r="E10" s="6">
        <v>329</v>
      </c>
      <c r="F10" s="6">
        <v>367</v>
      </c>
      <c r="G10" s="6">
        <v>0.52729885057471304</v>
      </c>
      <c r="H10" s="6">
        <v>0.14700596447320999</v>
      </c>
      <c r="I10" s="6">
        <v>7.6591176069723396E-3</v>
      </c>
      <c r="J10" s="6">
        <v>1.91954969991616E-2</v>
      </c>
      <c r="K10" s="6" t="s">
        <v>27</v>
      </c>
      <c r="L10" s="6" t="b">
        <v>0</v>
      </c>
      <c r="M10" s="7" t="str">
        <f t="shared" si="2"/>
        <v>Marginal contribution</v>
      </c>
      <c r="N10" s="4">
        <f t="shared" si="3"/>
        <v>0.5272988505747126</v>
      </c>
      <c r="O10" s="4">
        <f>IFERROR(F10/((E10*Factor!$C$2)+Phase1!F10), 0)</f>
        <v>0.13197294518663744</v>
      </c>
      <c r="P10" s="4">
        <f>(F10+F11)/((F10+F11)+(E10+E11)*Factor!$C$2)</f>
        <v>0.12243128059238394</v>
      </c>
    </row>
    <row r="11" spans="1:17" x14ac:dyDescent="0.25">
      <c r="A11" s="6" t="s">
        <v>23</v>
      </c>
      <c r="B11" s="6" t="s">
        <v>28</v>
      </c>
      <c r="C11" s="6">
        <v>676</v>
      </c>
      <c r="D11" s="6">
        <v>0.34437086092715202</v>
      </c>
      <c r="E11" s="6">
        <v>349</v>
      </c>
      <c r="F11" s="6">
        <v>327</v>
      </c>
      <c r="G11" s="6">
        <v>0.48372781065088799</v>
      </c>
      <c r="H11" s="6">
        <v>-2.7409884121162301E-2</v>
      </c>
      <c r="I11" s="6">
        <v>2.5864342368535999E-4</v>
      </c>
      <c r="J11" s="6">
        <v>1.91954969991616E-2</v>
      </c>
      <c r="K11" s="6" t="s">
        <v>18</v>
      </c>
      <c r="L11" s="6" t="b">
        <v>0</v>
      </c>
      <c r="M11" s="7" t="str">
        <f t="shared" si="2"/>
        <v>Marginal contribution</v>
      </c>
      <c r="N11" s="4">
        <f t="shared" si="3"/>
        <v>0.48372781065088755</v>
      </c>
      <c r="O11" s="4">
        <f>IFERROR(F11/((E11*Factor!$C$2)+Phase1!F11), 0)</f>
        <v>0.11324232159918937</v>
      </c>
    </row>
    <row r="12" spans="1:17" x14ac:dyDescent="0.25">
      <c r="A12" s="6" t="s">
        <v>23</v>
      </c>
      <c r="B12" s="6" t="s">
        <v>29</v>
      </c>
      <c r="C12" s="6">
        <v>138</v>
      </c>
      <c r="D12" s="6">
        <v>7.0300560366785503E-2</v>
      </c>
      <c r="E12" s="6">
        <v>67</v>
      </c>
      <c r="F12" s="6">
        <v>71</v>
      </c>
      <c r="G12" s="6">
        <v>0.51449275362318803</v>
      </c>
      <c r="H12" s="6">
        <v>9.56891248343609E-2</v>
      </c>
      <c r="I12" s="6">
        <v>6.4379007248372203E-4</v>
      </c>
      <c r="J12" s="6">
        <v>1.91954969991616E-2</v>
      </c>
      <c r="K12" s="6" t="s">
        <v>22</v>
      </c>
      <c r="L12" s="6" t="b">
        <v>0</v>
      </c>
      <c r="M12" s="7" t="str">
        <f t="shared" si="2"/>
        <v>Marginal contribution</v>
      </c>
      <c r="N12" s="4">
        <f t="shared" si="3"/>
        <v>0.51449275362318836</v>
      </c>
      <c r="O12" s="4">
        <f>IFERROR(F12/((E12*Factor!$C$2)+Phase1!F12), 0)</f>
        <v>0.12620449750168422</v>
      </c>
      <c r="P12" s="4">
        <f>O12</f>
        <v>0.12620449750168422</v>
      </c>
    </row>
    <row r="13" spans="1:17" x14ac:dyDescent="0.25">
      <c r="M13" s="6" t="str">
        <f t="shared" si="2"/>
        <v/>
      </c>
    </row>
    <row r="14" spans="1:17" x14ac:dyDescent="0.25">
      <c r="A14" s="6" t="s">
        <v>0</v>
      </c>
      <c r="B14" s="6" t="s">
        <v>1</v>
      </c>
      <c r="C14" s="6" t="s">
        <v>2</v>
      </c>
      <c r="D14" s="6" t="s">
        <v>3</v>
      </c>
      <c r="E14" s="6" t="s">
        <v>4</v>
      </c>
      <c r="F14" s="6" t="s">
        <v>5</v>
      </c>
      <c r="G14" s="6" t="s">
        <v>6</v>
      </c>
      <c r="H14" s="6" t="s">
        <v>7</v>
      </c>
      <c r="I14" s="6" t="s">
        <v>8</v>
      </c>
      <c r="J14" s="6" t="s">
        <v>9</v>
      </c>
      <c r="K14" s="6" t="s">
        <v>10</v>
      </c>
      <c r="L14" s="6" t="s">
        <v>11</v>
      </c>
      <c r="M14" s="7" t="str">
        <f t="shared" si="2"/>
        <v/>
      </c>
    </row>
    <row r="15" spans="1:17" x14ac:dyDescent="0.25">
      <c r="A15" s="6" t="s">
        <v>30</v>
      </c>
      <c r="B15" s="6" t="s">
        <v>31</v>
      </c>
      <c r="C15" s="6">
        <v>638</v>
      </c>
      <c r="D15" s="6">
        <v>0.32501273560876198</v>
      </c>
      <c r="E15" s="6">
        <v>364</v>
      </c>
      <c r="F15" s="6">
        <v>274</v>
      </c>
      <c r="G15" s="6">
        <v>0.42946708463949801</v>
      </c>
      <c r="H15" s="6">
        <v>-0.24632389406465899</v>
      </c>
      <c r="I15" s="6">
        <v>1.95759711947627E-2</v>
      </c>
      <c r="J15" s="6">
        <v>5.33612809389181E-2</v>
      </c>
      <c r="K15" s="6" t="s">
        <v>32</v>
      </c>
      <c r="L15" s="6" t="b">
        <v>0</v>
      </c>
      <c r="M15" s="7" t="str">
        <f t="shared" si="2"/>
        <v>Adequate predictability</v>
      </c>
      <c r="N15" s="4">
        <f t="shared" si="3"/>
        <v>0.42946708463949845</v>
      </c>
      <c r="O15" s="4">
        <f>IFERROR(F15/((E15*Factor!$C$2)+Phase1!F15), 0)</f>
        <v>9.3049539031225245E-2</v>
      </c>
      <c r="P15" s="4">
        <f>(F15+F16)/((F15+F16)+(E15+E16)*Factor!$C$2)</f>
        <v>0.11551907584739322</v>
      </c>
      <c r="Q15" s="12" t="str">
        <f>K16</f>
        <v>900000</v>
      </c>
    </row>
    <row r="16" spans="1:17" x14ac:dyDescent="0.25">
      <c r="A16" s="6" t="s">
        <v>30</v>
      </c>
      <c r="B16" s="6" t="s">
        <v>33</v>
      </c>
      <c r="C16" s="6">
        <v>488</v>
      </c>
      <c r="D16" s="6">
        <v>0.24859908303616901</v>
      </c>
      <c r="E16" s="6">
        <v>211</v>
      </c>
      <c r="F16" s="6">
        <v>277</v>
      </c>
      <c r="G16" s="6">
        <v>0.56762295081967196</v>
      </c>
      <c r="H16" s="6">
        <v>0.30986123989528302</v>
      </c>
      <c r="I16" s="6">
        <v>2.3748627760073901E-2</v>
      </c>
      <c r="J16" s="6">
        <v>5.33612809389181E-2</v>
      </c>
      <c r="K16" s="6" t="s">
        <v>34</v>
      </c>
      <c r="L16" s="6" t="b">
        <v>0</v>
      </c>
      <c r="M16" s="7" t="str">
        <f t="shared" si="2"/>
        <v>Adequate predictability</v>
      </c>
      <c r="N16" s="4">
        <f t="shared" si="3"/>
        <v>0.56762295081967218</v>
      </c>
      <c r="O16" s="4">
        <f>IFERROR(F16/((E16*Factor!$C$2)+Phase1!F16), 0)</f>
        <v>0.1517719235091422</v>
      </c>
    </row>
    <row r="17" spans="1:16" x14ac:dyDescent="0.25">
      <c r="A17" s="6" t="s">
        <v>30</v>
      </c>
      <c r="B17" s="6" t="s">
        <v>35</v>
      </c>
      <c r="C17" s="6">
        <v>488</v>
      </c>
      <c r="D17" s="6">
        <v>0.24859908303616901</v>
      </c>
      <c r="E17" s="6">
        <v>232</v>
      </c>
      <c r="F17" s="6">
        <v>256</v>
      </c>
      <c r="G17" s="6">
        <v>0.52459016393442603</v>
      </c>
      <c r="H17" s="6">
        <v>0.13614193999726401</v>
      </c>
      <c r="I17" s="6">
        <v>4.6064890684017097E-3</v>
      </c>
      <c r="J17" s="6">
        <v>5.33612809389181E-2</v>
      </c>
      <c r="K17" s="6" t="s">
        <v>36</v>
      </c>
      <c r="L17" s="6" t="b">
        <v>0</v>
      </c>
      <c r="M17" s="7" t="str">
        <f t="shared" si="2"/>
        <v>Adequate predictability</v>
      </c>
      <c r="N17" s="4">
        <f t="shared" si="3"/>
        <v>0.52459016393442626</v>
      </c>
      <c r="O17" s="4">
        <f>IFERROR(F17/((E17*Factor!$C$2)+Phase1!F17), 0)</f>
        <v>0.13073337337042892</v>
      </c>
      <c r="P17" s="4">
        <f>(F17+F18)/((F17+F18)+(E17+E18)*Factor!$C$2)</f>
        <v>0.11670644222393757</v>
      </c>
    </row>
    <row r="18" spans="1:16" x14ac:dyDescent="0.25">
      <c r="A18" s="6" t="s">
        <v>30</v>
      </c>
      <c r="B18" s="6" t="s">
        <v>37</v>
      </c>
      <c r="C18" s="6">
        <v>349</v>
      </c>
      <c r="D18" s="6">
        <v>0.1777890983189</v>
      </c>
      <c r="E18" s="6">
        <v>193</v>
      </c>
      <c r="F18" s="6">
        <v>156</v>
      </c>
      <c r="G18" s="6">
        <v>0.44699140401146098</v>
      </c>
      <c r="H18" s="6">
        <v>-0.17513231447133701</v>
      </c>
      <c r="I18" s="6">
        <v>5.4301929156798101E-3</v>
      </c>
      <c r="J18" s="6">
        <v>5.33612809389181E-2</v>
      </c>
      <c r="K18" s="6" t="s">
        <v>22</v>
      </c>
      <c r="L18" s="6" t="b">
        <v>0</v>
      </c>
      <c r="M18" s="7" t="str">
        <f t="shared" si="2"/>
        <v>Adequate predictability</v>
      </c>
      <c r="N18" s="4">
        <f t="shared" si="3"/>
        <v>0.44699140401146131</v>
      </c>
      <c r="O18" s="4">
        <f>IFERROR(F18/((E18*Factor!$C$2)+Phase1!F18), 0)</f>
        <v>9.9234053055868146E-2</v>
      </c>
    </row>
    <row r="19" spans="1:16" x14ac:dyDescent="0.25">
      <c r="M19" s="6" t="str">
        <f t="shared" si="2"/>
        <v/>
      </c>
    </row>
    <row r="20" spans="1:16" x14ac:dyDescent="0.25">
      <c r="A20" s="6" t="s">
        <v>0</v>
      </c>
      <c r="B20" s="6" t="s">
        <v>1</v>
      </c>
      <c r="C20" s="6" t="s">
        <v>2</v>
      </c>
      <c r="D20" s="6" t="s">
        <v>3</v>
      </c>
      <c r="E20" s="6" t="s">
        <v>4</v>
      </c>
      <c r="F20" s="6" t="s">
        <v>5</v>
      </c>
      <c r="G20" s="6" t="s">
        <v>6</v>
      </c>
      <c r="H20" s="6" t="s">
        <v>7</v>
      </c>
      <c r="I20" s="6" t="s">
        <v>8</v>
      </c>
      <c r="J20" s="6" t="s">
        <v>9</v>
      </c>
      <c r="K20" s="6" t="s">
        <v>10</v>
      </c>
      <c r="L20" s="6" t="s">
        <v>11</v>
      </c>
      <c r="M20" s="7" t="str">
        <f t="shared" si="2"/>
        <v/>
      </c>
    </row>
    <row r="21" spans="1:16" x14ac:dyDescent="0.25">
      <c r="A21" s="6" t="s">
        <v>38</v>
      </c>
      <c r="B21" s="6" t="s">
        <v>39</v>
      </c>
      <c r="C21" s="6">
        <v>1860</v>
      </c>
      <c r="D21" s="6">
        <v>0.947529291900153</v>
      </c>
      <c r="E21" s="6">
        <v>958</v>
      </c>
      <c r="F21" s="6">
        <v>902</v>
      </c>
      <c r="G21" s="6">
        <v>0.48494623655913999</v>
      </c>
      <c r="H21" s="6">
        <v>-2.25313907242253E-2</v>
      </c>
      <c r="I21" s="6">
        <v>4.8090363961134498E-4</v>
      </c>
      <c r="J21" s="6">
        <v>9.2511676563528395E-3</v>
      </c>
      <c r="K21" s="6" t="s">
        <v>40</v>
      </c>
      <c r="L21" s="6" t="b">
        <v>0</v>
      </c>
      <c r="M21" s="7" t="str">
        <f t="shared" si="2"/>
        <v>No Correlation</v>
      </c>
      <c r="N21" s="4">
        <f t="shared" si="3"/>
        <v>0.48494623655913977</v>
      </c>
      <c r="O21" s="4">
        <f>IFERROR(F21/((E21*Factor!$C$2)+Phase1!F21), 0)</f>
        <v>0.11373313767535015</v>
      </c>
    </row>
    <row r="22" spans="1:16" x14ac:dyDescent="0.25">
      <c r="A22" s="6" t="s">
        <v>38</v>
      </c>
      <c r="B22" s="6" t="s">
        <v>41</v>
      </c>
      <c r="C22" s="6">
        <v>103</v>
      </c>
      <c r="D22" s="6">
        <v>5.2470708099847198E-2</v>
      </c>
      <c r="E22" s="6">
        <v>42</v>
      </c>
      <c r="F22" s="6">
        <v>61</v>
      </c>
      <c r="G22" s="6">
        <v>0.59223300970873805</v>
      </c>
      <c r="H22" s="6">
        <v>0.41090611307395403</v>
      </c>
      <c r="I22" s="6">
        <v>8.77026401674149E-3</v>
      </c>
      <c r="J22" s="6">
        <v>9.2511676563528395E-3</v>
      </c>
      <c r="K22" s="6" t="s">
        <v>22</v>
      </c>
      <c r="L22" s="6" t="b">
        <v>0</v>
      </c>
      <c r="M22" s="7" t="str">
        <f t="shared" si="2"/>
        <v>No Correlation</v>
      </c>
      <c r="N22" s="4">
        <f t="shared" si="3"/>
        <v>0.59223300970873782</v>
      </c>
      <c r="O22" s="4">
        <f>IFERROR(F22/((E22*Factor!$C$2)+Phase1!F22), 0)</f>
        <v>0.16524269004263803</v>
      </c>
    </row>
    <row r="23" spans="1:16" x14ac:dyDescent="0.25">
      <c r="M23" s="6" t="str">
        <f t="shared" si="2"/>
        <v/>
      </c>
    </row>
    <row r="24" spans="1:16" x14ac:dyDescent="0.25">
      <c r="A24" s="6" t="s">
        <v>0</v>
      </c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6" t="s">
        <v>6</v>
      </c>
      <c r="H24" s="6" t="s">
        <v>7</v>
      </c>
      <c r="I24" s="6" t="s">
        <v>8</v>
      </c>
      <c r="J24" s="6" t="s">
        <v>9</v>
      </c>
      <c r="K24" s="6" t="s">
        <v>10</v>
      </c>
      <c r="L24" s="6" t="s">
        <v>11</v>
      </c>
      <c r="M24" s="7" t="str">
        <f t="shared" si="2"/>
        <v/>
      </c>
    </row>
    <row r="25" spans="1:16" x14ac:dyDescent="0.25">
      <c r="A25" s="6" t="s">
        <v>42</v>
      </c>
      <c r="B25" s="6" t="s">
        <v>43</v>
      </c>
      <c r="C25" s="6">
        <v>1963</v>
      </c>
      <c r="D25" s="6">
        <v>1</v>
      </c>
      <c r="E25" s="6">
        <v>1000</v>
      </c>
      <c r="F25" s="6">
        <v>963</v>
      </c>
      <c r="G25" s="6">
        <v>0.49057564951604699</v>
      </c>
      <c r="H25" s="6">
        <v>0</v>
      </c>
      <c r="I25" s="6">
        <v>0</v>
      </c>
      <c r="J25" s="6">
        <v>0</v>
      </c>
      <c r="K25" s="6" t="s">
        <v>22</v>
      </c>
      <c r="L25" s="6" t="b">
        <v>0</v>
      </c>
      <c r="M25" s="7" t="str">
        <f t="shared" si="2"/>
        <v>No Correlation</v>
      </c>
      <c r="N25" s="4">
        <f t="shared" si="3"/>
        <v>0.49057564951604687</v>
      </c>
      <c r="O25" s="4">
        <f>IFERROR(F25/((E25*Factor!$C$2)+Phase1!F25), 0)</f>
        <v>0.11602409638554217</v>
      </c>
    </row>
    <row r="26" spans="1:16" x14ac:dyDescent="0.25">
      <c r="M26" s="6" t="str">
        <f t="shared" si="2"/>
        <v/>
      </c>
    </row>
    <row r="27" spans="1:16" x14ac:dyDescent="0.25">
      <c r="A27" s="6" t="s">
        <v>0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5</v>
      </c>
      <c r="G27" s="6" t="s">
        <v>6</v>
      </c>
      <c r="H27" s="6" t="s">
        <v>7</v>
      </c>
      <c r="I27" s="6" t="s">
        <v>8</v>
      </c>
      <c r="J27" s="6" t="s">
        <v>9</v>
      </c>
      <c r="K27" s="6" t="s">
        <v>10</v>
      </c>
      <c r="L27" s="6" t="s">
        <v>11</v>
      </c>
      <c r="M27" s="7" t="str">
        <f t="shared" si="2"/>
        <v/>
      </c>
    </row>
    <row r="28" spans="1:16" x14ac:dyDescent="0.25">
      <c r="A28" s="6" t="s">
        <v>44</v>
      </c>
      <c r="B28" s="6" t="s">
        <v>24</v>
      </c>
      <c r="C28" s="6">
        <v>1748</v>
      </c>
      <c r="D28" s="6">
        <v>0.89047376464594996</v>
      </c>
      <c r="E28" s="6">
        <v>903</v>
      </c>
      <c r="F28" s="6">
        <v>845</v>
      </c>
      <c r="G28" s="6">
        <v>0.483409610983982</v>
      </c>
      <c r="H28" s="6">
        <v>-2.8684058875800101E-2</v>
      </c>
      <c r="I28" s="6">
        <v>7.3241155108727703E-4</v>
      </c>
      <c r="J28" s="6">
        <v>6.6990233815693197E-3</v>
      </c>
      <c r="K28" s="6" t="s">
        <v>25</v>
      </c>
      <c r="L28" s="6" t="b">
        <v>0</v>
      </c>
      <c r="M28" s="7" t="str">
        <f t="shared" si="2"/>
        <v>No Correlation</v>
      </c>
      <c r="N28" s="4">
        <f t="shared" si="3"/>
        <v>0.48340961098398172</v>
      </c>
      <c r="O28" s="4">
        <f>IFERROR(F28/((E28*Factor!$C$2)+Phase1!F28), 0)</f>
        <v>0.1131144339238353</v>
      </c>
    </row>
    <row r="29" spans="1:16" x14ac:dyDescent="0.25">
      <c r="A29" s="6" t="s">
        <v>44</v>
      </c>
      <c r="B29" s="6" t="s">
        <v>45</v>
      </c>
      <c r="C29" s="6">
        <v>215</v>
      </c>
      <c r="D29" s="6">
        <v>0.10952623535405</v>
      </c>
      <c r="E29" s="6">
        <v>97</v>
      </c>
      <c r="F29" s="6">
        <v>118</v>
      </c>
      <c r="G29" s="6">
        <v>0.54883720930232605</v>
      </c>
      <c r="H29" s="6">
        <v>0.23367551314629301</v>
      </c>
      <c r="I29" s="6">
        <v>5.9666118304820496E-3</v>
      </c>
      <c r="J29" s="6">
        <v>6.6990233815693197E-3</v>
      </c>
      <c r="K29" s="6" t="s">
        <v>22</v>
      </c>
      <c r="L29" s="6" t="b">
        <v>0</v>
      </c>
      <c r="M29" s="7" t="str">
        <f t="shared" si="2"/>
        <v>No Correlation</v>
      </c>
      <c r="N29" s="4">
        <f t="shared" si="3"/>
        <v>0.5488372093023256</v>
      </c>
      <c r="O29" s="4">
        <f>IFERROR(F29/((E29*Factor!$C$2)+Phase1!F29), 0)</f>
        <v>0.14222196509776555</v>
      </c>
    </row>
    <row r="30" spans="1:16" x14ac:dyDescent="0.25">
      <c r="M30" s="6" t="str">
        <f t="shared" si="2"/>
        <v/>
      </c>
    </row>
    <row r="31" spans="1:16" x14ac:dyDescent="0.25">
      <c r="A31" s="6" t="s">
        <v>0</v>
      </c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6" t="s">
        <v>8</v>
      </c>
      <c r="J31" s="6" t="s">
        <v>9</v>
      </c>
      <c r="K31" s="6" t="s">
        <v>10</v>
      </c>
      <c r="L31" s="6" t="s">
        <v>11</v>
      </c>
      <c r="M31" s="7" t="str">
        <f t="shared" si="2"/>
        <v/>
      </c>
    </row>
    <row r="32" spans="1:16" x14ac:dyDescent="0.25">
      <c r="A32" s="6" t="s">
        <v>46</v>
      </c>
      <c r="B32" s="6" t="s">
        <v>24</v>
      </c>
      <c r="C32" s="6">
        <v>1679</v>
      </c>
      <c r="D32" s="6">
        <v>0.85532348446255702</v>
      </c>
      <c r="E32" s="6">
        <v>873</v>
      </c>
      <c r="F32" s="6">
        <v>806</v>
      </c>
      <c r="G32" s="6">
        <v>0.480047647409172</v>
      </c>
      <c r="H32" s="6">
        <v>-4.2149946148962301E-2</v>
      </c>
      <c r="I32" s="6">
        <v>1.5187549132116801E-3</v>
      </c>
      <c r="J32" s="6">
        <v>1.0518176072269099E-2</v>
      </c>
      <c r="K32" s="6" t="s">
        <v>25</v>
      </c>
      <c r="L32" s="6" t="b">
        <v>0</v>
      </c>
      <c r="M32" s="7" t="str">
        <f t="shared" si="2"/>
        <v>Marginal contribution</v>
      </c>
      <c r="N32" s="4">
        <f t="shared" si="3"/>
        <v>0.48004764740917211</v>
      </c>
      <c r="O32" s="4">
        <f>IFERROR(F32/((E32*Factor!$C$2)+Phase1!F32), 0)</f>
        <v>0.11177056359960012</v>
      </c>
      <c r="P32" s="4" t="s">
        <v>124</v>
      </c>
    </row>
    <row r="33" spans="1:17" x14ac:dyDescent="0.25">
      <c r="A33" s="6" t="s">
        <v>46</v>
      </c>
      <c r="B33" s="6" t="s">
        <v>45</v>
      </c>
      <c r="C33" s="6">
        <v>284</v>
      </c>
      <c r="D33" s="6">
        <v>0.14467651553744301</v>
      </c>
      <c r="E33" s="6">
        <v>127</v>
      </c>
      <c r="F33" s="6">
        <v>157</v>
      </c>
      <c r="G33" s="6">
        <v>0.55281690140845097</v>
      </c>
      <c r="H33" s="6">
        <v>0.249760586073728</v>
      </c>
      <c r="I33" s="6">
        <v>8.9994211590574292E-3</v>
      </c>
      <c r="J33" s="6">
        <v>1.0518176072269099E-2</v>
      </c>
      <c r="K33" s="6" t="s">
        <v>22</v>
      </c>
      <c r="L33" s="6" t="b">
        <v>0</v>
      </c>
      <c r="M33" s="7" t="str">
        <f t="shared" si="2"/>
        <v>Marginal contribution</v>
      </c>
      <c r="N33" s="4">
        <f t="shared" si="3"/>
        <v>0.55281690140845074</v>
      </c>
      <c r="O33" s="4">
        <f>IFERROR(F33/((E33*Factor!$C$2)+Phase1!F33), 0)</f>
        <v>0.14419557696140425</v>
      </c>
      <c r="P33" s="4" t="s">
        <v>124</v>
      </c>
    </row>
    <row r="34" spans="1:17" x14ac:dyDescent="0.25">
      <c r="M34" s="6" t="str">
        <f t="shared" si="2"/>
        <v/>
      </c>
    </row>
    <row r="35" spans="1:17" x14ac:dyDescent="0.25">
      <c r="A35" s="6" t="s">
        <v>0</v>
      </c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6" t="s">
        <v>7</v>
      </c>
      <c r="I35" s="6" t="s">
        <v>8</v>
      </c>
      <c r="J35" s="6" t="s">
        <v>9</v>
      </c>
      <c r="K35" s="6" t="s">
        <v>10</v>
      </c>
      <c r="L35" s="6" t="s">
        <v>11</v>
      </c>
      <c r="M35" s="7" t="str">
        <f t="shared" si="2"/>
        <v/>
      </c>
    </row>
    <row r="36" spans="1:17" x14ac:dyDescent="0.25">
      <c r="A36" s="6" t="s">
        <v>47</v>
      </c>
      <c r="B36" s="6" t="s">
        <v>24</v>
      </c>
      <c r="C36" s="6">
        <v>919</v>
      </c>
      <c r="D36" s="6">
        <v>0.46816097809475299</v>
      </c>
      <c r="E36" s="6">
        <v>470</v>
      </c>
      <c r="F36" s="6">
        <v>449</v>
      </c>
      <c r="G36" s="6">
        <v>0.48857453754080499</v>
      </c>
      <c r="H36" s="6">
        <v>-8.0079397778384798E-3</v>
      </c>
      <c r="I36" s="6">
        <v>3.00193796448566E-5</v>
      </c>
      <c r="J36" s="6">
        <v>2.1424596679095499E-3</v>
      </c>
      <c r="K36" s="6" t="s">
        <v>25</v>
      </c>
      <c r="L36" s="6" t="b">
        <v>0</v>
      </c>
      <c r="M36" s="7" t="str">
        <f t="shared" si="2"/>
        <v>No Correlation</v>
      </c>
      <c r="N36" s="4">
        <f t="shared" si="3"/>
        <v>0.48857453754080521</v>
      </c>
      <c r="O36" s="4">
        <f>IFERROR(F36/((E36*Factor!$C$2)+Phase1!F36), 0)</f>
        <v>0.11520530406246232</v>
      </c>
    </row>
    <row r="37" spans="1:17" x14ac:dyDescent="0.25">
      <c r="A37" s="6" t="s">
        <v>47</v>
      </c>
      <c r="B37" s="6" t="s">
        <v>26</v>
      </c>
      <c r="C37" s="6">
        <v>475</v>
      </c>
      <c r="D37" s="6">
        <v>0.241976566479878</v>
      </c>
      <c r="E37" s="6">
        <v>237</v>
      </c>
      <c r="F37" s="6">
        <v>238</v>
      </c>
      <c r="G37" s="6">
        <v>0.50105263157894697</v>
      </c>
      <c r="H37" s="6">
        <v>4.1912399720354897E-2</v>
      </c>
      <c r="I37" s="6">
        <v>4.2517365822237498E-4</v>
      </c>
      <c r="J37" s="6">
        <v>2.1424596679095499E-3</v>
      </c>
      <c r="K37" s="6" t="s">
        <v>27</v>
      </c>
      <c r="L37" s="6" t="b">
        <v>0</v>
      </c>
      <c r="M37" s="7" t="str">
        <f t="shared" si="2"/>
        <v>No Correlation</v>
      </c>
      <c r="N37" s="4">
        <f t="shared" si="3"/>
        <v>0.50105263157894742</v>
      </c>
      <c r="O37" s="4">
        <f>IFERROR(F37/((E37*Factor!$C$2)+Phase1!F37), 0)</f>
        <v>0.12039239828233435</v>
      </c>
    </row>
    <row r="38" spans="1:17" x14ac:dyDescent="0.25">
      <c r="A38" s="6" t="s">
        <v>47</v>
      </c>
      <c r="B38" s="6" t="s">
        <v>48</v>
      </c>
      <c r="C38" s="6">
        <v>269</v>
      </c>
      <c r="D38" s="6">
        <v>0.13703515028018301</v>
      </c>
      <c r="E38" s="6">
        <v>139</v>
      </c>
      <c r="F38" s="6">
        <v>130</v>
      </c>
      <c r="G38" s="6">
        <v>0.48327137546468402</v>
      </c>
      <c r="H38" s="6">
        <v>-2.92376154910979E-2</v>
      </c>
      <c r="I38" s="6">
        <v>1.17102266821563E-4</v>
      </c>
      <c r="J38" s="6">
        <v>2.1424596679095499E-3</v>
      </c>
      <c r="K38" s="6" t="s">
        <v>14</v>
      </c>
      <c r="L38" s="6" t="b">
        <v>0</v>
      </c>
      <c r="M38" s="7" t="str">
        <f t="shared" si="2"/>
        <v>No Correlation</v>
      </c>
      <c r="N38" s="4">
        <f t="shared" si="3"/>
        <v>0.48327137546468402</v>
      </c>
      <c r="O38" s="4">
        <f>IFERROR(F38/((E38*Factor!$C$2)+Phase1!F38), 0)</f>
        <v>0.11305891326033207</v>
      </c>
    </row>
    <row r="39" spans="1:17" x14ac:dyDescent="0.25">
      <c r="A39" s="6" t="s">
        <v>47</v>
      </c>
      <c r="B39" s="6" t="s">
        <v>49</v>
      </c>
      <c r="C39" s="6">
        <v>167</v>
      </c>
      <c r="D39" s="6">
        <v>8.5073866530820205E-2</v>
      </c>
      <c r="E39" s="6">
        <v>82</v>
      </c>
      <c r="F39" s="6">
        <v>85</v>
      </c>
      <c r="G39" s="6">
        <v>0.50898203592814395</v>
      </c>
      <c r="H39" s="6">
        <v>7.3633876410074794E-2</v>
      </c>
      <c r="I39" s="6">
        <v>4.6137778843031302E-4</v>
      </c>
      <c r="J39" s="6">
        <v>2.1424596679095499E-3</v>
      </c>
      <c r="K39" s="6" t="s">
        <v>18</v>
      </c>
      <c r="L39" s="6" t="b">
        <v>0</v>
      </c>
      <c r="M39" s="7" t="str">
        <f t="shared" si="2"/>
        <v>No Correlation</v>
      </c>
      <c r="N39" s="4">
        <f t="shared" si="3"/>
        <v>0.50898203592814373</v>
      </c>
      <c r="O39" s="4">
        <f>IFERROR(F39/((E39*Factor!$C$2)+Phase1!F39), 0)</f>
        <v>0.12379229691509595</v>
      </c>
    </row>
    <row r="40" spans="1:17" x14ac:dyDescent="0.25">
      <c r="A40" s="6" t="s">
        <v>47</v>
      </c>
      <c r="B40" s="6" t="s">
        <v>29</v>
      </c>
      <c r="C40" s="6">
        <v>133</v>
      </c>
      <c r="D40" s="6">
        <v>6.7753438614365794E-2</v>
      </c>
      <c r="E40" s="6">
        <v>72</v>
      </c>
      <c r="F40" s="6">
        <v>61</v>
      </c>
      <c r="G40" s="6">
        <v>0.45864661654135302</v>
      </c>
      <c r="H40" s="6">
        <v>-0.12809038765873201</v>
      </c>
      <c r="I40" s="6">
        <v>1.1087865747904399E-3</v>
      </c>
      <c r="J40" s="6">
        <v>2.1424596679095499E-3</v>
      </c>
      <c r="K40" s="6" t="s">
        <v>22</v>
      </c>
      <c r="L40" s="6" t="b">
        <v>0</v>
      </c>
      <c r="M40" s="7" t="str">
        <f t="shared" si="2"/>
        <v>No Correlation</v>
      </c>
      <c r="N40" s="4">
        <f t="shared" si="3"/>
        <v>0.45864661654135336</v>
      </c>
      <c r="O40" s="4">
        <f>IFERROR(F40/((E40*Factor!$C$2)+Phase1!F40), 0)</f>
        <v>0.10351896603220288</v>
      </c>
    </row>
    <row r="41" spans="1:17" x14ac:dyDescent="0.25">
      <c r="M41" s="6" t="str">
        <f t="shared" si="2"/>
        <v/>
      </c>
    </row>
    <row r="42" spans="1:17" x14ac:dyDescent="0.25">
      <c r="A42" s="6" t="s">
        <v>0</v>
      </c>
      <c r="B42" s="6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9</v>
      </c>
      <c r="K42" s="6" t="s">
        <v>10</v>
      </c>
      <c r="L42" s="6" t="s">
        <v>11</v>
      </c>
      <c r="M42" s="7" t="str">
        <f t="shared" si="2"/>
        <v/>
      </c>
    </row>
    <row r="43" spans="1:17" x14ac:dyDescent="0.25">
      <c r="A43" s="6" t="s">
        <v>50</v>
      </c>
      <c r="B43" s="6" t="s">
        <v>24</v>
      </c>
      <c r="C43" s="6">
        <v>1274</v>
      </c>
      <c r="D43" s="6">
        <v>0.64900662251655605</v>
      </c>
      <c r="E43" s="6">
        <v>670</v>
      </c>
      <c r="F43" s="6">
        <v>604</v>
      </c>
      <c r="G43" s="6">
        <v>0.47409733124018799</v>
      </c>
      <c r="H43" s="6">
        <v>-6.6001647266185307E-2</v>
      </c>
      <c r="I43" s="6">
        <v>2.8244318627616799E-3</v>
      </c>
      <c r="J43" s="6">
        <v>8.7606655302201793E-3</v>
      </c>
      <c r="K43" s="6" t="s">
        <v>25</v>
      </c>
      <c r="L43" s="6" t="b">
        <v>0</v>
      </c>
      <c r="M43" s="7" t="str">
        <f t="shared" si="2"/>
        <v>No Correlation</v>
      </c>
      <c r="N43" s="4">
        <f t="shared" si="3"/>
        <v>0.47409733124018838</v>
      </c>
      <c r="O43" s="4">
        <f>IFERROR(F43/((E43*Factor!$C$2)+Phase1!F43), 0)</f>
        <v>0.10942445274186156</v>
      </c>
    </row>
    <row r="44" spans="1:17" x14ac:dyDescent="0.25">
      <c r="A44" s="6" t="s">
        <v>50</v>
      </c>
      <c r="B44" s="6" t="s">
        <v>26</v>
      </c>
      <c r="C44" s="6">
        <v>568</v>
      </c>
      <c r="D44" s="6">
        <v>0.28935303107488503</v>
      </c>
      <c r="E44" s="6">
        <v>275</v>
      </c>
      <c r="F44" s="6">
        <v>293</v>
      </c>
      <c r="G44" s="6">
        <v>0.51584507042253502</v>
      </c>
      <c r="H44" s="6">
        <v>0.101103378534507</v>
      </c>
      <c r="I44" s="6">
        <v>2.9580349846414799E-3</v>
      </c>
      <c r="J44" s="6">
        <v>8.7606655302201793E-3</v>
      </c>
      <c r="K44" s="6" t="s">
        <v>27</v>
      </c>
      <c r="L44" s="6" t="b">
        <v>0</v>
      </c>
      <c r="M44" s="7" t="str">
        <f t="shared" si="2"/>
        <v>No Correlation</v>
      </c>
      <c r="N44" s="4">
        <f t="shared" si="3"/>
        <v>0.51584507042253525</v>
      </c>
      <c r="O44" s="4">
        <f>IFERROR(F44/((E44*Factor!$C$2)+Phase1!F44), 0)</f>
        <v>0.12680277408116675</v>
      </c>
    </row>
    <row r="45" spans="1:17" x14ac:dyDescent="0.25">
      <c r="A45" s="6" t="s">
        <v>50</v>
      </c>
      <c r="B45" s="6" t="s">
        <v>51</v>
      </c>
      <c r="C45" s="6">
        <v>121</v>
      </c>
      <c r="D45" s="6">
        <v>6.1640346408558297E-2</v>
      </c>
      <c r="E45" s="6">
        <v>55</v>
      </c>
      <c r="F45" s="6">
        <v>66</v>
      </c>
      <c r="G45" s="6">
        <v>0.54545454545454497</v>
      </c>
      <c r="H45" s="6">
        <v>0.22002342397796601</v>
      </c>
      <c r="I45" s="6">
        <v>2.97819868281702E-3</v>
      </c>
      <c r="J45" s="6">
        <v>8.7606655302201793E-3</v>
      </c>
      <c r="K45" s="6" t="s">
        <v>22</v>
      </c>
      <c r="L45" s="6" t="b">
        <v>0</v>
      </c>
      <c r="M45" s="7" t="str">
        <f t="shared" si="2"/>
        <v>No Correlation</v>
      </c>
      <c r="N45" s="4">
        <f t="shared" si="3"/>
        <v>0.54545454545454541</v>
      </c>
      <c r="O45" s="4">
        <f>IFERROR(F45/((E45*Factor!$C$2)+Phase1!F45), 0)</f>
        <v>0.14056460114794425</v>
      </c>
    </row>
    <row r="46" spans="1:17" x14ac:dyDescent="0.25">
      <c r="M46" s="6" t="str">
        <f t="shared" si="2"/>
        <v/>
      </c>
    </row>
    <row r="47" spans="1:17" x14ac:dyDescent="0.25">
      <c r="A47" s="6" t="s">
        <v>0</v>
      </c>
      <c r="B47" s="6" t="s">
        <v>1</v>
      </c>
      <c r="C47" s="6" t="s">
        <v>2</v>
      </c>
      <c r="D47" s="6" t="s">
        <v>3</v>
      </c>
      <c r="E47" s="6" t="s">
        <v>4</v>
      </c>
      <c r="F47" s="6" t="s">
        <v>5</v>
      </c>
      <c r="G47" s="6" t="s">
        <v>6</v>
      </c>
      <c r="H47" s="6" t="s">
        <v>7</v>
      </c>
      <c r="I47" s="6" t="s">
        <v>8</v>
      </c>
      <c r="J47" s="6" t="s">
        <v>9</v>
      </c>
      <c r="K47" s="6" t="s">
        <v>10</v>
      </c>
      <c r="L47" s="6" t="s">
        <v>11</v>
      </c>
      <c r="M47" s="7" t="str">
        <f t="shared" si="2"/>
        <v/>
      </c>
    </row>
    <row r="48" spans="1:17" x14ac:dyDescent="0.25">
      <c r="A48" s="6" t="s">
        <v>52</v>
      </c>
      <c r="B48" s="6" t="s">
        <v>24</v>
      </c>
      <c r="C48" s="6">
        <v>606</v>
      </c>
      <c r="D48" s="6">
        <v>0.30871115639327601</v>
      </c>
      <c r="E48" s="6">
        <v>346</v>
      </c>
      <c r="F48" s="6">
        <v>260</v>
      </c>
      <c r="G48" s="6">
        <v>0.42904290429042902</v>
      </c>
      <c r="H48" s="6">
        <v>-0.24805527685818499</v>
      </c>
      <c r="I48" s="6">
        <v>1.88547769007948E-2</v>
      </c>
      <c r="J48" s="6">
        <v>3.5337854716261698E-2</v>
      </c>
      <c r="K48" s="6" t="s">
        <v>25</v>
      </c>
      <c r="L48" s="6" t="b">
        <v>0</v>
      </c>
      <c r="M48" s="7" t="str">
        <f t="shared" si="2"/>
        <v>Adequate predictability</v>
      </c>
      <c r="N48" s="4">
        <f t="shared" si="3"/>
        <v>0.42904290429042902</v>
      </c>
      <c r="O48" s="4">
        <f>IFERROR(F48/((E48*Factor!$C$2)+Phase1!F48), 0)</f>
        <v>9.2903528261610621E-2</v>
      </c>
      <c r="P48" s="4">
        <f>O48</f>
        <v>9.2903528261610621E-2</v>
      </c>
      <c r="Q48" s="12" t="s">
        <v>125</v>
      </c>
    </row>
    <row r="49" spans="1:16" x14ac:dyDescent="0.25">
      <c r="A49" s="6" t="s">
        <v>52</v>
      </c>
      <c r="B49" s="6" t="s">
        <v>26</v>
      </c>
      <c r="C49" s="6">
        <v>767</v>
      </c>
      <c r="D49" s="6">
        <v>0.39072847682119199</v>
      </c>
      <c r="E49" s="6">
        <v>370</v>
      </c>
      <c r="F49" s="6">
        <v>397</v>
      </c>
      <c r="G49" s="6">
        <v>0.51760104302477195</v>
      </c>
      <c r="H49" s="6">
        <v>0.108135142232932</v>
      </c>
      <c r="I49" s="6">
        <v>4.5690747014101802E-3</v>
      </c>
      <c r="J49" s="6">
        <v>3.5337854716261698E-2</v>
      </c>
      <c r="K49" s="6" t="s">
        <v>27</v>
      </c>
      <c r="L49" s="6" t="b">
        <v>0</v>
      </c>
      <c r="M49" s="7" t="str">
        <f t="shared" si="2"/>
        <v>Adequate predictability</v>
      </c>
      <c r="N49" s="4">
        <f t="shared" si="3"/>
        <v>0.51760104302477183</v>
      </c>
      <c r="O49" s="4">
        <f>IFERROR(F49/((E49*Factor!$C$2)+Phase1!F49), 0)</f>
        <v>0.12758340323104164</v>
      </c>
      <c r="P49" s="4">
        <f>O49</f>
        <v>0.12758340323104164</v>
      </c>
    </row>
    <row r="50" spans="1:16" x14ac:dyDescent="0.25">
      <c r="A50" s="6" t="s">
        <v>52</v>
      </c>
      <c r="B50" s="6" t="s">
        <v>48</v>
      </c>
      <c r="C50" s="6">
        <v>379</v>
      </c>
      <c r="D50" s="6">
        <v>0.193071828833418</v>
      </c>
      <c r="E50" s="6">
        <v>194</v>
      </c>
      <c r="F50" s="6">
        <v>185</v>
      </c>
      <c r="G50" s="6">
        <v>0.48812664907651698</v>
      </c>
      <c r="H50" s="6">
        <v>-9.80046680099185E-3</v>
      </c>
      <c r="I50" s="6">
        <v>1.8542523895542199E-5</v>
      </c>
      <c r="J50" s="6">
        <v>3.5337854716261698E-2</v>
      </c>
      <c r="K50" s="6" t="s">
        <v>14</v>
      </c>
      <c r="L50" s="6" t="b">
        <v>0</v>
      </c>
      <c r="M50" s="7" t="str">
        <f t="shared" si="2"/>
        <v>Adequate predictability</v>
      </c>
      <c r="N50" s="4">
        <f t="shared" si="3"/>
        <v>0.48812664907651715</v>
      </c>
      <c r="O50" s="4">
        <f>IFERROR(F50/((E50*Factor!$C$2)+Phase1!F50), 0)</f>
        <v>0.11502271232260079</v>
      </c>
      <c r="P50" s="4">
        <f>(F50+F51)/((F50+F51)+(E50+E51)*Factor!$C$2)</f>
        <v>0.12804911729801297</v>
      </c>
    </row>
    <row r="51" spans="1:16" x14ac:dyDescent="0.25">
      <c r="A51" s="6" t="s">
        <v>52</v>
      </c>
      <c r="B51" s="6" t="s">
        <v>53</v>
      </c>
      <c r="C51" s="6">
        <v>211</v>
      </c>
      <c r="D51" s="6">
        <v>0.10748853795211399</v>
      </c>
      <c r="E51" s="6">
        <v>90</v>
      </c>
      <c r="F51" s="6">
        <v>121</v>
      </c>
      <c r="G51" s="6">
        <v>0.57345971563981002</v>
      </c>
      <c r="H51" s="6">
        <v>0.33368274245048801</v>
      </c>
      <c r="I51" s="6">
        <v>1.1895460590161199E-2</v>
      </c>
      <c r="J51" s="6">
        <v>3.5337854716261698E-2</v>
      </c>
      <c r="K51" s="6" t="s">
        <v>22</v>
      </c>
      <c r="L51" s="6" t="b">
        <v>0</v>
      </c>
      <c r="M51" s="7" t="str">
        <f t="shared" si="2"/>
        <v>Adequate predictability</v>
      </c>
      <c r="N51" s="4">
        <f t="shared" si="3"/>
        <v>0.57345971563981046</v>
      </c>
      <c r="O51" s="4">
        <f>IFERROR(F51/((E51*Factor!$C$2)+Phase1!F51), 0)</f>
        <v>0.15486414191186823</v>
      </c>
    </row>
    <row r="52" spans="1:16" x14ac:dyDescent="0.25">
      <c r="M52" s="6" t="str">
        <f t="shared" si="2"/>
        <v/>
      </c>
    </row>
    <row r="53" spans="1:16" x14ac:dyDescent="0.25">
      <c r="A53" s="6" t="s">
        <v>0</v>
      </c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6" t="s">
        <v>8</v>
      </c>
      <c r="J53" s="6" t="s">
        <v>9</v>
      </c>
      <c r="K53" s="6" t="s">
        <v>10</v>
      </c>
      <c r="L53" s="6" t="s">
        <v>11</v>
      </c>
      <c r="M53" s="7" t="str">
        <f t="shared" si="2"/>
        <v/>
      </c>
    </row>
    <row r="54" spans="1:16" x14ac:dyDescent="0.25">
      <c r="A54" s="6" t="s">
        <v>54</v>
      </c>
      <c r="B54" s="6" t="s">
        <v>24</v>
      </c>
      <c r="C54" s="6">
        <v>732</v>
      </c>
      <c r="D54" s="6">
        <v>0.37289862455425399</v>
      </c>
      <c r="E54" s="6">
        <v>363</v>
      </c>
      <c r="F54" s="6">
        <v>369</v>
      </c>
      <c r="G54" s="6">
        <v>0.50409836065573799</v>
      </c>
      <c r="H54" s="6">
        <v>5.4095676959687901E-2</v>
      </c>
      <c r="I54" s="6">
        <v>1.09151931360716E-3</v>
      </c>
      <c r="J54" s="6">
        <v>9.6784009435394794E-3</v>
      </c>
      <c r="K54" s="6" t="s">
        <v>25</v>
      </c>
      <c r="L54" s="6" t="b">
        <v>0</v>
      </c>
      <c r="M54" s="7" t="str">
        <f t="shared" si="2"/>
        <v>No Correlation</v>
      </c>
      <c r="N54" s="4">
        <f t="shared" si="3"/>
        <v>0.50409836065573765</v>
      </c>
      <c r="O54" s="4">
        <f>IFERROR(F54/((E54*Factor!$C$2)+Phase1!F54), 0)</f>
        <v>0.12168856236340952</v>
      </c>
    </row>
    <row r="55" spans="1:16" x14ac:dyDescent="0.25">
      <c r="A55" s="6" t="s">
        <v>54</v>
      </c>
      <c r="B55" s="6" t="s">
        <v>26</v>
      </c>
      <c r="C55" s="6">
        <v>555</v>
      </c>
      <c r="D55" s="6">
        <v>0.28273051451859399</v>
      </c>
      <c r="E55" s="6">
        <v>272</v>
      </c>
      <c r="F55" s="6">
        <v>283</v>
      </c>
      <c r="G55" s="6">
        <v>0.50990990990991003</v>
      </c>
      <c r="H55" s="6">
        <v>7.7346698531251701E-2</v>
      </c>
      <c r="I55" s="6">
        <v>1.6918285128372599E-3</v>
      </c>
      <c r="J55" s="6">
        <v>9.6784009435394794E-3</v>
      </c>
      <c r="K55" s="6" t="s">
        <v>27</v>
      </c>
      <c r="L55" s="6" t="b">
        <v>0</v>
      </c>
      <c r="M55" s="7" t="str">
        <f t="shared" si="2"/>
        <v>No Correlation</v>
      </c>
      <c r="N55" s="4">
        <f t="shared" si="3"/>
        <v>0.50990990990990992</v>
      </c>
      <c r="O55" s="4">
        <f>IFERROR(F55/((E55*Factor!$C$2)+Phase1!F55), 0)</f>
        <v>0.12419558127042865</v>
      </c>
    </row>
    <row r="56" spans="1:16" x14ac:dyDescent="0.25">
      <c r="A56" s="6" t="s">
        <v>54</v>
      </c>
      <c r="B56" s="6" t="s">
        <v>48</v>
      </c>
      <c r="C56" s="6">
        <v>326</v>
      </c>
      <c r="D56" s="6">
        <v>0.16607233825776899</v>
      </c>
      <c r="E56" s="6">
        <v>182</v>
      </c>
      <c r="F56" s="6">
        <v>144</v>
      </c>
      <c r="G56" s="6">
        <v>0.441717791411043</v>
      </c>
      <c r="H56" s="6">
        <v>-0.19649152031678299</v>
      </c>
      <c r="I56" s="6">
        <v>6.3795471175748198E-3</v>
      </c>
      <c r="J56" s="6">
        <v>9.6784009435394794E-3</v>
      </c>
      <c r="K56" s="6" t="s">
        <v>14</v>
      </c>
      <c r="L56" s="6" t="b">
        <v>0</v>
      </c>
      <c r="M56" s="7" t="str">
        <f t="shared" si="2"/>
        <v>No Correlation</v>
      </c>
      <c r="N56" s="4">
        <f t="shared" si="3"/>
        <v>0.44171779141104295</v>
      </c>
      <c r="O56" s="4">
        <f>IFERROR(F56/((E56*Factor!$C$2)+Phase1!F56), 0)</f>
        <v>9.7341100792653984E-2</v>
      </c>
    </row>
    <row r="57" spans="1:16" x14ac:dyDescent="0.25">
      <c r="A57" s="6" t="s">
        <v>54</v>
      </c>
      <c r="B57" s="6" t="s">
        <v>53</v>
      </c>
      <c r="C57" s="6">
        <v>350</v>
      </c>
      <c r="D57" s="6">
        <v>0.17829852266938401</v>
      </c>
      <c r="E57" s="6">
        <v>183</v>
      </c>
      <c r="F57" s="6">
        <v>167</v>
      </c>
      <c r="G57" s="6">
        <v>0.47714285714285698</v>
      </c>
      <c r="H57" s="6">
        <v>-5.37904732406543E-2</v>
      </c>
      <c r="I57" s="6">
        <v>5.1550599952024704E-4</v>
      </c>
      <c r="J57" s="6">
        <v>9.6784009435394794E-3</v>
      </c>
      <c r="K57" s="6" t="s">
        <v>22</v>
      </c>
      <c r="L57" s="6" t="b">
        <v>0</v>
      </c>
      <c r="M57" s="7" t="str">
        <f t="shared" si="2"/>
        <v>No Correlation</v>
      </c>
      <c r="N57" s="4">
        <f t="shared" si="3"/>
        <v>0.47714285714285715</v>
      </c>
      <c r="O57" s="4">
        <f>IFERROR(F57/((E57*Factor!$C$2)+Phase1!F57), 0)</f>
        <v>0.110620128491572</v>
      </c>
    </row>
    <row r="58" spans="1:16" x14ac:dyDescent="0.25">
      <c r="M58" s="6" t="str">
        <f t="shared" si="2"/>
        <v/>
      </c>
    </row>
    <row r="59" spans="1:16" x14ac:dyDescent="0.25">
      <c r="A59" s="6" t="s">
        <v>0</v>
      </c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7</v>
      </c>
      <c r="I59" s="6" t="s">
        <v>8</v>
      </c>
      <c r="J59" s="6" t="s">
        <v>9</v>
      </c>
      <c r="K59" s="6" t="s">
        <v>10</v>
      </c>
      <c r="L59" s="6" t="s">
        <v>11</v>
      </c>
      <c r="M59" s="7" t="str">
        <f t="shared" si="2"/>
        <v/>
      </c>
    </row>
    <row r="60" spans="1:16" x14ac:dyDescent="0.25">
      <c r="A60" s="6" t="s">
        <v>55</v>
      </c>
      <c r="B60" s="6" t="s">
        <v>24</v>
      </c>
      <c r="C60" s="6">
        <v>945</v>
      </c>
      <c r="D60" s="6">
        <v>0.481406011207336</v>
      </c>
      <c r="E60" s="6">
        <v>478</v>
      </c>
      <c r="F60" s="6">
        <v>467</v>
      </c>
      <c r="G60" s="6">
        <v>0.494179894179894</v>
      </c>
      <c r="H60" s="6">
        <v>1.4420392361452899E-2</v>
      </c>
      <c r="I60" s="6">
        <v>1.00119151950856E-4</v>
      </c>
      <c r="J60" s="6">
        <v>7.7875403922087602E-3</v>
      </c>
      <c r="K60" s="6" t="s">
        <v>25</v>
      </c>
      <c r="L60" s="6" t="b">
        <v>0</v>
      </c>
      <c r="M60" s="7" t="str">
        <f t="shared" si="2"/>
        <v>No Correlation</v>
      </c>
      <c r="N60" s="4">
        <f t="shared" si="3"/>
        <v>0.49417989417989416</v>
      </c>
      <c r="O60" s="4">
        <f>IFERROR(F60/((E60*Factor!$C$2)+Phase1!F60), 0)</f>
        <v>0.1175112969372077</v>
      </c>
    </row>
    <row r="61" spans="1:16" x14ac:dyDescent="0.25">
      <c r="A61" s="6" t="s">
        <v>55</v>
      </c>
      <c r="B61" s="6" t="s">
        <v>26</v>
      </c>
      <c r="C61" s="6">
        <v>512</v>
      </c>
      <c r="D61" s="6">
        <v>0.260825267447784</v>
      </c>
      <c r="E61" s="6">
        <v>276</v>
      </c>
      <c r="F61" s="6">
        <v>236</v>
      </c>
      <c r="G61" s="6">
        <v>0.4609375</v>
      </c>
      <c r="H61" s="6">
        <v>-0.118867193507528</v>
      </c>
      <c r="I61" s="6">
        <v>3.6768597717572798E-3</v>
      </c>
      <c r="J61" s="6">
        <v>7.7875403922087602E-3</v>
      </c>
      <c r="K61" s="6" t="s">
        <v>27</v>
      </c>
      <c r="L61" s="6" t="b">
        <v>0</v>
      </c>
      <c r="M61" s="7" t="str">
        <f t="shared" si="2"/>
        <v>No Correlation</v>
      </c>
      <c r="N61" s="4">
        <f t="shared" si="3"/>
        <v>0.4609375</v>
      </c>
      <c r="O61" s="4">
        <f>IFERROR(F61/((E61*Factor!$C$2)+Phase1!F61), 0)</f>
        <v>0.10437803956812261</v>
      </c>
    </row>
    <row r="62" spans="1:16" x14ac:dyDescent="0.25">
      <c r="A62" s="6" t="s">
        <v>55</v>
      </c>
      <c r="B62" s="6" t="s">
        <v>48</v>
      </c>
      <c r="C62" s="6">
        <v>254</v>
      </c>
      <c r="D62" s="6">
        <v>0.12939378502292401</v>
      </c>
      <c r="E62" s="6">
        <v>125</v>
      </c>
      <c r="F62" s="6">
        <v>129</v>
      </c>
      <c r="G62" s="6">
        <v>0.50787401574803104</v>
      </c>
      <c r="H62" s="6">
        <v>6.9200534243382406E-2</v>
      </c>
      <c r="I62" s="6">
        <v>6.1978671635428101E-4</v>
      </c>
      <c r="J62" s="6">
        <v>7.7875403922087602E-3</v>
      </c>
      <c r="K62" s="6" t="s">
        <v>14</v>
      </c>
      <c r="L62" s="6" t="b">
        <v>0</v>
      </c>
      <c r="M62" s="7" t="str">
        <f t="shared" si="2"/>
        <v>No Correlation</v>
      </c>
      <c r="N62" s="4">
        <f t="shared" si="3"/>
        <v>0.50787401574803148</v>
      </c>
      <c r="O62" s="4">
        <f>IFERROR(F62/((E62*Factor!$C$2)+Phase1!F62), 0)</f>
        <v>0.12331222368263831</v>
      </c>
    </row>
    <row r="63" spans="1:16" x14ac:dyDescent="0.25">
      <c r="A63" s="6" t="s">
        <v>55</v>
      </c>
      <c r="B63" s="6" t="s">
        <v>15</v>
      </c>
      <c r="C63" s="6">
        <v>124</v>
      </c>
      <c r="D63" s="6">
        <v>6.3168619460010206E-2</v>
      </c>
      <c r="E63" s="6">
        <v>56</v>
      </c>
      <c r="F63" s="6">
        <v>68</v>
      </c>
      <c r="G63" s="6">
        <v>0.54838709677419395</v>
      </c>
      <c r="H63" s="6">
        <v>0.23185788162496901</v>
      </c>
      <c r="I63" s="6">
        <v>3.3880624197576001E-3</v>
      </c>
      <c r="J63" s="6">
        <v>7.7875403922087602E-3</v>
      </c>
      <c r="K63" s="6" t="s">
        <v>16</v>
      </c>
      <c r="L63" s="6" t="b">
        <v>0</v>
      </c>
      <c r="M63" s="7" t="str">
        <f t="shared" si="2"/>
        <v>No Correlation</v>
      </c>
      <c r="N63" s="4">
        <f t="shared" si="3"/>
        <v>0.54838709677419351</v>
      </c>
      <c r="O63" s="4">
        <f>IFERROR(F63/((E63*Factor!$C$2)+Phase1!F63), 0)</f>
        <v>0.14200036753036302</v>
      </c>
    </row>
    <row r="64" spans="1:16" x14ac:dyDescent="0.25">
      <c r="A64" s="6" t="s">
        <v>55</v>
      </c>
      <c r="B64" s="6" t="s">
        <v>56</v>
      </c>
      <c r="C64" s="6">
        <v>128</v>
      </c>
      <c r="D64" s="6">
        <v>6.5206316861946001E-2</v>
      </c>
      <c r="E64" s="6">
        <v>65</v>
      </c>
      <c r="F64" s="6">
        <v>63</v>
      </c>
      <c r="G64" s="6">
        <v>0.4921875</v>
      </c>
      <c r="H64" s="6">
        <v>6.4493236799068997E-3</v>
      </c>
      <c r="I64" s="6">
        <v>2.7123323887458299E-6</v>
      </c>
      <c r="J64" s="6">
        <v>7.7875403922087602E-3</v>
      </c>
      <c r="K64" s="6" t="s">
        <v>22</v>
      </c>
      <c r="L64" s="6" t="b">
        <v>0</v>
      </c>
      <c r="M64" s="7" t="str">
        <f t="shared" si="2"/>
        <v>No Correlation</v>
      </c>
      <c r="N64" s="4">
        <f t="shared" si="3"/>
        <v>0.4921875</v>
      </c>
      <c r="O64" s="4">
        <f>IFERROR(F64/((E64*Factor!$C$2)+Phase1!F64), 0)</f>
        <v>0.11668719496948537</v>
      </c>
    </row>
    <row r="65" spans="1:17" x14ac:dyDescent="0.25">
      <c r="M65" s="6" t="str">
        <f t="shared" si="2"/>
        <v/>
      </c>
    </row>
    <row r="66" spans="1:17" x14ac:dyDescent="0.25">
      <c r="A66" s="6" t="s">
        <v>0</v>
      </c>
      <c r="B66" s="6" t="s">
        <v>1</v>
      </c>
      <c r="C66" s="6" t="s">
        <v>2</v>
      </c>
      <c r="D66" s="6" t="s">
        <v>3</v>
      </c>
      <c r="E66" s="6" t="s">
        <v>4</v>
      </c>
      <c r="F66" s="6" t="s">
        <v>5</v>
      </c>
      <c r="G66" s="6" t="s">
        <v>6</v>
      </c>
      <c r="H66" s="6" t="s">
        <v>7</v>
      </c>
      <c r="I66" s="6" t="s">
        <v>8</v>
      </c>
      <c r="J66" s="6" t="s">
        <v>9</v>
      </c>
      <c r="K66" s="6" t="s">
        <v>10</v>
      </c>
      <c r="L66" s="6" t="s">
        <v>11</v>
      </c>
      <c r="M66" s="7" t="str">
        <f t="shared" si="2"/>
        <v/>
      </c>
    </row>
    <row r="67" spans="1:17" x14ac:dyDescent="0.25">
      <c r="A67" s="6" t="s">
        <v>57</v>
      </c>
      <c r="B67" s="6" t="s">
        <v>31</v>
      </c>
      <c r="C67" s="6">
        <v>1050</v>
      </c>
      <c r="D67" s="6">
        <v>0.53489556800815097</v>
      </c>
      <c r="E67" s="6">
        <v>547</v>
      </c>
      <c r="F67" s="6">
        <v>503</v>
      </c>
      <c r="G67" s="6">
        <v>0.479047619047619</v>
      </c>
      <c r="H67" s="6">
        <v>-4.6156765138230603E-2</v>
      </c>
      <c r="I67" s="6">
        <v>1.13886905134943E-3</v>
      </c>
      <c r="J67" s="6">
        <v>1.7582087087142699E-2</v>
      </c>
      <c r="K67" s="6" t="s">
        <v>32</v>
      </c>
      <c r="L67" s="6" t="b">
        <v>0</v>
      </c>
      <c r="M67" s="7" t="str">
        <f t="shared" si="2"/>
        <v>Marginal contribution</v>
      </c>
      <c r="N67" s="4">
        <f t="shared" si="3"/>
        <v>0.47904761904761906</v>
      </c>
      <c r="O67" s="4">
        <f>IFERROR(F67/((E67*Factor!$C$2)+Phase1!F67), 0)</f>
        <v>0.11137339336130436</v>
      </c>
      <c r="P67" s="4">
        <f>(F67+F68+F69)/((F67+F68+F69)+(E67+E68+E69)*Factor!$C$2)</f>
        <v>0.1164291528604844</v>
      </c>
      <c r="Q67" s="12" t="str">
        <f>K69</f>
        <v>1300000</v>
      </c>
    </row>
    <row r="68" spans="1:17" x14ac:dyDescent="0.25">
      <c r="A68" s="6" t="s">
        <v>57</v>
      </c>
      <c r="B68" s="6" t="s">
        <v>58</v>
      </c>
      <c r="C68" s="6">
        <v>219</v>
      </c>
      <c r="D68" s="6">
        <v>0.111563932755986</v>
      </c>
      <c r="E68" s="6">
        <v>97</v>
      </c>
      <c r="F68" s="6">
        <v>122</v>
      </c>
      <c r="G68" s="6">
        <v>0.557077625570776</v>
      </c>
      <c r="H68" s="6">
        <v>0.26701193341388502</v>
      </c>
      <c r="I68" s="6">
        <v>7.9268994437897804E-3</v>
      </c>
      <c r="J68" s="6">
        <v>1.7582087087142699E-2</v>
      </c>
      <c r="K68" s="6" t="s">
        <v>59</v>
      </c>
      <c r="L68" s="6" t="b">
        <v>0</v>
      </c>
      <c r="M68" s="7" t="str">
        <f t="shared" si="2"/>
        <v>Marginal contribution</v>
      </c>
      <c r="N68" s="4">
        <f t="shared" si="3"/>
        <v>0.55707762557077622</v>
      </c>
      <c r="O68" s="4">
        <f>IFERROR(F68/((E68*Factor!$C$2)+Phase1!F68), 0)</f>
        <v>0.14633754313658931</v>
      </c>
    </row>
    <row r="69" spans="1:17" x14ac:dyDescent="0.25">
      <c r="A69" s="6" t="s">
        <v>57</v>
      </c>
      <c r="B69" s="6" t="s">
        <v>60</v>
      </c>
      <c r="C69" s="6">
        <v>153</v>
      </c>
      <c r="D69" s="6">
        <v>7.7941925624044797E-2</v>
      </c>
      <c r="E69" s="6">
        <v>79</v>
      </c>
      <c r="F69" s="6">
        <v>74</v>
      </c>
      <c r="G69" s="6">
        <v>0.48366013071895397</v>
      </c>
      <c r="H69" s="6">
        <v>-2.76808920788402E-2</v>
      </c>
      <c r="I69" s="6">
        <v>5.9702194026740298E-5</v>
      </c>
      <c r="J69" s="6">
        <v>1.7582087087142699E-2</v>
      </c>
      <c r="K69" s="6" t="s">
        <v>61</v>
      </c>
      <c r="L69" s="6" t="b">
        <v>0</v>
      </c>
      <c r="M69" s="7" t="str">
        <f t="shared" si="2"/>
        <v>Marginal contribution</v>
      </c>
      <c r="N69" s="4">
        <f t="shared" si="3"/>
        <v>0.48366013071895425</v>
      </c>
      <c r="O69" s="4">
        <f>IFERROR(F69/((E69*Factor!$C$2)+Phase1!F69), 0)</f>
        <v>0.11321511023938877</v>
      </c>
    </row>
    <row r="70" spans="1:17" x14ac:dyDescent="0.25">
      <c r="A70" s="6" t="s">
        <v>57</v>
      </c>
      <c r="B70" s="6" t="s">
        <v>62</v>
      </c>
      <c r="C70" s="6">
        <v>128</v>
      </c>
      <c r="D70" s="6">
        <v>6.5206316861946001E-2</v>
      </c>
      <c r="E70" s="6">
        <v>57</v>
      </c>
      <c r="F70" s="6">
        <v>71</v>
      </c>
      <c r="G70" s="6">
        <v>0.5546875</v>
      </c>
      <c r="H70" s="6">
        <v>0.257330476390777</v>
      </c>
      <c r="I70" s="6">
        <v>4.30460710714333E-3</v>
      </c>
      <c r="J70" s="6">
        <v>1.7582087087142699E-2</v>
      </c>
      <c r="K70" s="6" t="s">
        <v>63</v>
      </c>
      <c r="L70" s="6" t="b">
        <v>0</v>
      </c>
      <c r="M70" s="7" t="str">
        <f t="shared" si="2"/>
        <v>Marginal contribution</v>
      </c>
      <c r="N70" s="4">
        <f t="shared" si="3"/>
        <v>0.5546875</v>
      </c>
      <c r="O70" s="4">
        <f>IFERROR(F70/((E70*Factor!$C$2)+Phase1!F70), 0)</f>
        <v>0.14513224409199341</v>
      </c>
      <c r="P70" s="4">
        <f>(F70+F71+F72)/((F70+F71+F72)+(E70+E71+E72)*Factor!$C$2)</f>
        <v>0.11496510330093553</v>
      </c>
    </row>
    <row r="71" spans="1:17" x14ac:dyDescent="0.25">
      <c r="A71" s="6" t="s">
        <v>57</v>
      </c>
      <c r="B71" s="6" t="s">
        <v>64</v>
      </c>
      <c r="C71" s="6">
        <v>113</v>
      </c>
      <c r="D71" s="6">
        <v>5.75649516046867E-2</v>
      </c>
      <c r="E71" s="6">
        <v>65</v>
      </c>
      <c r="F71" s="6">
        <v>48</v>
      </c>
      <c r="G71" s="6">
        <v>0.42477876106194701</v>
      </c>
      <c r="H71" s="6">
        <v>-0.26548439180373501</v>
      </c>
      <c r="I71" s="6">
        <v>4.0236185860597204E-3</v>
      </c>
      <c r="J71" s="6">
        <v>1.7582087087142699E-2</v>
      </c>
      <c r="K71" s="6" t="s">
        <v>65</v>
      </c>
      <c r="L71" s="6" t="b">
        <v>0</v>
      </c>
      <c r="M71" s="7" t="str">
        <f t="shared" si="2"/>
        <v>Marginal contribution</v>
      </c>
      <c r="N71" s="4">
        <f t="shared" si="3"/>
        <v>0.4247787610619469</v>
      </c>
      <c r="O71" s="4">
        <f>IFERROR(F71/((E71*Factor!$C$2)+Phase1!F71), 0)</f>
        <v>9.144511864051591E-2</v>
      </c>
    </row>
    <row r="72" spans="1:17" x14ac:dyDescent="0.25">
      <c r="A72" s="6" t="s">
        <v>57</v>
      </c>
      <c r="B72" s="6" t="s">
        <v>66</v>
      </c>
      <c r="C72" s="6">
        <v>300</v>
      </c>
      <c r="D72" s="6">
        <v>0.152827305145186</v>
      </c>
      <c r="E72" s="6">
        <v>155</v>
      </c>
      <c r="F72" s="6">
        <v>145</v>
      </c>
      <c r="G72" s="6">
        <v>0.483333333333333</v>
      </c>
      <c r="H72" s="6">
        <v>-2.8989507314660601E-2</v>
      </c>
      <c r="I72" s="6">
        <v>1.2839070477365299E-4</v>
      </c>
      <c r="J72" s="6">
        <v>1.7582087087142699E-2</v>
      </c>
      <c r="K72" s="6" t="s">
        <v>22</v>
      </c>
      <c r="L72" s="6" t="b">
        <v>0</v>
      </c>
      <c r="M72" s="7" t="str">
        <f t="shared" ref="M72:M135" si="4">IFERROR(IF(NOT(ISNUMBER(J72)), "", IF(J72&lt;0.01,"No Correlation",IF(J72&lt;0.03,"Marginal contribution",IF(J72&lt;0.1,"Adequate predictability",IF(J72&lt;0.3,"Strong Predictor",IF(J72&lt;0.5,"Very Strong predictor",IF(J72&gt;=0.5,"Extremely high correlation", ))))))), "")</f>
        <v>Marginal contribution</v>
      </c>
      <c r="N72" s="4">
        <f t="shared" ref="N72:N135" si="5">IFERROR(F72/C72, 0)</f>
        <v>0.48333333333333334</v>
      </c>
      <c r="O72" s="4">
        <f>IFERROR(F72/((E72*Factor!$C$2)+Phase1!F72), 0)</f>
        <v>0.11308379509216331</v>
      </c>
    </row>
    <row r="73" spans="1:17" x14ac:dyDescent="0.25">
      <c r="M73" s="6" t="str">
        <f t="shared" si="4"/>
        <v/>
      </c>
    </row>
    <row r="74" spans="1:17" x14ac:dyDescent="0.25">
      <c r="A74" s="6" t="s">
        <v>0</v>
      </c>
      <c r="B74" s="6" t="s">
        <v>1</v>
      </c>
      <c r="C74" s="6" t="s">
        <v>2</v>
      </c>
      <c r="D74" s="6" t="s">
        <v>3</v>
      </c>
      <c r="E74" s="6" t="s">
        <v>4</v>
      </c>
      <c r="F74" s="6" t="s">
        <v>5</v>
      </c>
      <c r="G74" s="6" t="s">
        <v>6</v>
      </c>
      <c r="H74" s="6" t="s">
        <v>7</v>
      </c>
      <c r="I74" s="6" t="s">
        <v>8</v>
      </c>
      <c r="J74" s="6" t="s">
        <v>9</v>
      </c>
      <c r="K74" s="6" t="s">
        <v>10</v>
      </c>
      <c r="L74" s="6" t="s">
        <v>11</v>
      </c>
      <c r="M74" s="7" t="str">
        <f t="shared" si="4"/>
        <v/>
      </c>
    </row>
    <row r="75" spans="1:17" x14ac:dyDescent="0.25">
      <c r="A75" s="6" t="s">
        <v>67</v>
      </c>
      <c r="B75" s="6" t="s">
        <v>68</v>
      </c>
      <c r="C75" s="6">
        <v>1860</v>
      </c>
      <c r="D75" s="6">
        <v>0.947529291900153</v>
      </c>
      <c r="E75" s="6">
        <v>956</v>
      </c>
      <c r="F75" s="6">
        <v>904</v>
      </c>
      <c r="G75" s="6">
        <v>0.48602150537634398</v>
      </c>
      <c r="H75" s="6">
        <v>-1.8226685475213299E-2</v>
      </c>
      <c r="I75" s="6">
        <v>3.1471788793545802E-4</v>
      </c>
      <c r="J75" s="6">
        <v>6.0309110675898798E-3</v>
      </c>
      <c r="K75" s="6" t="s">
        <v>69</v>
      </c>
      <c r="L75" s="6" t="b">
        <v>0</v>
      </c>
      <c r="M75" s="7" t="str">
        <f t="shared" si="4"/>
        <v>No Correlation</v>
      </c>
      <c r="N75" s="4">
        <f t="shared" si="5"/>
        <v>0.48602150537634409</v>
      </c>
      <c r="O75" s="4">
        <f>IFERROR(F75/((E75*Factor!$C$2)+Phase1!F75), 0)</f>
        <v>0.11416776498414029</v>
      </c>
    </row>
    <row r="76" spans="1:17" x14ac:dyDescent="0.25">
      <c r="A76" s="6" t="s">
        <v>67</v>
      </c>
      <c r="B76" s="6" t="s">
        <v>70</v>
      </c>
      <c r="C76" s="6">
        <v>103</v>
      </c>
      <c r="D76" s="6">
        <v>5.2470708099847198E-2</v>
      </c>
      <c r="E76" s="6">
        <v>44</v>
      </c>
      <c r="F76" s="6">
        <v>59</v>
      </c>
      <c r="G76" s="6">
        <v>0.57281553398058205</v>
      </c>
      <c r="H76" s="6">
        <v>0.33104967717146999</v>
      </c>
      <c r="I76" s="6">
        <v>5.7161931796544203E-3</v>
      </c>
      <c r="J76" s="6">
        <v>6.0309110675898798E-3</v>
      </c>
      <c r="K76" s="6" t="s">
        <v>22</v>
      </c>
      <c r="L76" s="6" t="b">
        <v>0</v>
      </c>
      <c r="M76" s="7" t="str">
        <f t="shared" si="4"/>
        <v>No Correlation</v>
      </c>
      <c r="N76" s="4">
        <f t="shared" si="5"/>
        <v>0.57281553398058249</v>
      </c>
      <c r="O76" s="4">
        <f>IFERROR(F76/((E76*Factor!$C$2)+Phase1!F76), 0)</f>
        <v>0.15451983615659409</v>
      </c>
    </row>
    <row r="77" spans="1:17" x14ac:dyDescent="0.25">
      <c r="M77" s="6" t="str">
        <f t="shared" si="4"/>
        <v/>
      </c>
    </row>
    <row r="78" spans="1:17" x14ac:dyDescent="0.25">
      <c r="A78" s="6" t="s">
        <v>0</v>
      </c>
      <c r="B78" s="6" t="s">
        <v>1</v>
      </c>
      <c r="C78" s="6" t="s">
        <v>2</v>
      </c>
      <c r="D78" s="6" t="s">
        <v>3</v>
      </c>
      <c r="E78" s="6" t="s">
        <v>4</v>
      </c>
      <c r="F78" s="6" t="s">
        <v>5</v>
      </c>
      <c r="G78" s="6" t="s">
        <v>6</v>
      </c>
      <c r="H78" s="6" t="s">
        <v>7</v>
      </c>
      <c r="I78" s="6" t="s">
        <v>8</v>
      </c>
      <c r="J78" s="6" t="s">
        <v>9</v>
      </c>
      <c r="K78" s="6" t="s">
        <v>10</v>
      </c>
      <c r="L78" s="6" t="s">
        <v>11</v>
      </c>
      <c r="M78" s="7" t="str">
        <f t="shared" si="4"/>
        <v/>
      </c>
    </row>
    <row r="79" spans="1:17" x14ac:dyDescent="0.25">
      <c r="A79" s="6" t="s">
        <v>71</v>
      </c>
      <c r="B79" s="6" t="s">
        <v>24</v>
      </c>
      <c r="C79" s="6">
        <v>1861</v>
      </c>
      <c r="D79" s="6">
        <v>0.94803871625063696</v>
      </c>
      <c r="E79" s="6">
        <v>954</v>
      </c>
      <c r="F79" s="6">
        <v>907</v>
      </c>
      <c r="G79" s="6">
        <v>0.48737238044062298</v>
      </c>
      <c r="H79" s="6">
        <v>-1.28193541491385E-2</v>
      </c>
      <c r="I79" s="6">
        <v>1.55775786348098E-4</v>
      </c>
      <c r="J79" s="6">
        <v>3.0042608466332799E-3</v>
      </c>
      <c r="K79" s="6" t="s">
        <v>25</v>
      </c>
      <c r="L79" s="6" t="b">
        <v>0</v>
      </c>
      <c r="M79" s="7" t="str">
        <f t="shared" si="4"/>
        <v>No Correlation</v>
      </c>
      <c r="N79" s="4">
        <f t="shared" si="5"/>
        <v>0.48737238044062331</v>
      </c>
      <c r="O79" s="4">
        <f>IFERROR(F79/((E79*Factor!$C$2)+Phase1!F79), 0)</f>
        <v>0.11471576923183943</v>
      </c>
    </row>
    <row r="80" spans="1:17" x14ac:dyDescent="0.25">
      <c r="A80" s="6" t="s">
        <v>71</v>
      </c>
      <c r="B80" s="6" t="s">
        <v>45</v>
      </c>
      <c r="C80" s="6">
        <v>102</v>
      </c>
      <c r="D80" s="6">
        <v>5.19612837493632E-2</v>
      </c>
      <c r="E80" s="6">
        <v>46</v>
      </c>
      <c r="F80" s="6">
        <v>56</v>
      </c>
      <c r="G80" s="6">
        <v>0.54901960784313697</v>
      </c>
      <c r="H80" s="6">
        <v>0.23441216143006599</v>
      </c>
      <c r="I80" s="6">
        <v>2.8484850602851801E-3</v>
      </c>
      <c r="J80" s="6">
        <v>3.0042608466332799E-3</v>
      </c>
      <c r="K80" s="6" t="s">
        <v>22</v>
      </c>
      <c r="L80" s="6" t="b">
        <v>0</v>
      </c>
      <c r="M80" s="7" t="str">
        <f t="shared" si="4"/>
        <v>No Correlation</v>
      </c>
      <c r="N80" s="4">
        <f t="shared" si="5"/>
        <v>0.5490196078431373</v>
      </c>
      <c r="O80" s="4">
        <f>IFERROR(F80/((E80*Factor!$C$2)+Phase1!F80), 0)</f>
        <v>0.1423118561023832</v>
      </c>
    </row>
    <row r="81" spans="1:17" x14ac:dyDescent="0.25">
      <c r="M81" s="6" t="str">
        <f t="shared" si="4"/>
        <v/>
      </c>
    </row>
    <row r="82" spans="1:17" x14ac:dyDescent="0.25">
      <c r="A82" s="6" t="s">
        <v>0</v>
      </c>
      <c r="B82" s="6" t="s">
        <v>1</v>
      </c>
      <c r="C82" s="6" t="s">
        <v>2</v>
      </c>
      <c r="D82" s="6" t="s">
        <v>3</v>
      </c>
      <c r="E82" s="6" t="s">
        <v>4</v>
      </c>
      <c r="F82" s="6" t="s">
        <v>5</v>
      </c>
      <c r="G82" s="6" t="s">
        <v>6</v>
      </c>
      <c r="H82" s="6" t="s">
        <v>7</v>
      </c>
      <c r="I82" s="6" t="s">
        <v>8</v>
      </c>
      <c r="J82" s="6" t="s">
        <v>9</v>
      </c>
      <c r="K82" s="6" t="s">
        <v>10</v>
      </c>
      <c r="L82" s="6" t="s">
        <v>11</v>
      </c>
      <c r="M82" s="7" t="str">
        <f t="shared" si="4"/>
        <v/>
      </c>
    </row>
    <row r="83" spans="1:17" x14ac:dyDescent="0.25">
      <c r="A83" s="6" t="s">
        <v>72</v>
      </c>
      <c r="B83" s="6" t="s">
        <v>24</v>
      </c>
      <c r="C83" s="6">
        <v>1736</v>
      </c>
      <c r="D83" s="6">
        <v>0.88436067244014305</v>
      </c>
      <c r="E83" s="6">
        <v>892</v>
      </c>
      <c r="F83" s="6">
        <v>844</v>
      </c>
      <c r="G83" s="6">
        <v>0.486175115207373</v>
      </c>
      <c r="H83" s="6">
        <v>-1.76117708000409E-2</v>
      </c>
      <c r="I83" s="6">
        <v>2.7425349420292199E-4</v>
      </c>
      <c r="J83" s="6">
        <v>2.37173347451147E-3</v>
      </c>
      <c r="K83" s="6" t="s">
        <v>25</v>
      </c>
      <c r="L83" s="6" t="b">
        <v>0</v>
      </c>
      <c r="M83" s="7" t="str">
        <f t="shared" si="4"/>
        <v>No Correlation</v>
      </c>
      <c r="N83" s="4">
        <f t="shared" si="5"/>
        <v>0.48617511520737328</v>
      </c>
      <c r="O83" s="4">
        <f>IFERROR(F83/((E83*Factor!$C$2)+Phase1!F83), 0)</f>
        <v>0.1142299682050899</v>
      </c>
    </row>
    <row r="84" spans="1:17" x14ac:dyDescent="0.25">
      <c r="A84" s="6" t="s">
        <v>72</v>
      </c>
      <c r="B84" s="6" t="s">
        <v>45</v>
      </c>
      <c r="C84" s="6">
        <v>227</v>
      </c>
      <c r="D84" s="6">
        <v>0.11563932755985699</v>
      </c>
      <c r="E84" s="6">
        <v>108</v>
      </c>
      <c r="F84" s="6">
        <v>119</v>
      </c>
      <c r="G84" s="6">
        <v>0.52422907488986803</v>
      </c>
      <c r="H84" s="6">
        <v>0.13469413317132101</v>
      </c>
      <c r="I84" s="6">
        <v>2.0974799803085498E-3</v>
      </c>
      <c r="J84" s="6">
        <v>2.37173347451147E-3</v>
      </c>
      <c r="K84" s="6" t="s">
        <v>22</v>
      </c>
      <c r="L84" s="6" t="b">
        <v>0</v>
      </c>
      <c r="M84" s="7" t="str">
        <f t="shared" si="4"/>
        <v>No Correlation</v>
      </c>
      <c r="N84" s="4">
        <f t="shared" si="5"/>
        <v>0.52422907488986781</v>
      </c>
      <c r="O84" s="4">
        <f>IFERROR(F84/((E84*Factor!$C$2)+Phase1!F84), 0)</f>
        <v>0.13056892942255618</v>
      </c>
    </row>
    <row r="85" spans="1:17" x14ac:dyDescent="0.25">
      <c r="M85" s="6" t="str">
        <f t="shared" si="4"/>
        <v/>
      </c>
    </row>
    <row r="86" spans="1:17" x14ac:dyDescent="0.25">
      <c r="A86" s="6" t="s">
        <v>0</v>
      </c>
      <c r="B86" s="6" t="s">
        <v>1</v>
      </c>
      <c r="C86" s="6" t="s">
        <v>2</v>
      </c>
      <c r="D86" s="6" t="s">
        <v>3</v>
      </c>
      <c r="E86" s="6" t="s">
        <v>4</v>
      </c>
      <c r="F86" s="6" t="s">
        <v>5</v>
      </c>
      <c r="G86" s="6" t="s">
        <v>6</v>
      </c>
      <c r="H86" s="6" t="s">
        <v>7</v>
      </c>
      <c r="I86" s="6" t="s">
        <v>8</v>
      </c>
      <c r="J86" s="6" t="s">
        <v>9</v>
      </c>
      <c r="K86" s="6" t="s">
        <v>10</v>
      </c>
      <c r="L86" s="6" t="s">
        <v>11</v>
      </c>
      <c r="M86" s="7" t="str">
        <f t="shared" si="4"/>
        <v/>
      </c>
    </row>
    <row r="87" spans="1:17" x14ac:dyDescent="0.25">
      <c r="A87" s="6" t="s">
        <v>73</v>
      </c>
      <c r="B87" s="6" t="s">
        <v>24</v>
      </c>
      <c r="C87" s="6">
        <v>1677</v>
      </c>
      <c r="D87" s="6">
        <v>0.85430463576158899</v>
      </c>
      <c r="E87" s="6">
        <v>863</v>
      </c>
      <c r="F87" s="6">
        <v>814</v>
      </c>
      <c r="G87" s="6">
        <v>0.48539057841383398</v>
      </c>
      <c r="H87" s="6">
        <v>-2.07524578968762E-2</v>
      </c>
      <c r="I87" s="6">
        <v>3.6783354500704202E-4</v>
      </c>
      <c r="J87" s="6">
        <v>3.7133589679329902E-3</v>
      </c>
      <c r="K87" s="6" t="s">
        <v>25</v>
      </c>
      <c r="L87" s="6" t="b">
        <v>0</v>
      </c>
      <c r="M87" s="7" t="str">
        <f t="shared" si="4"/>
        <v>No Correlation</v>
      </c>
      <c r="N87" s="4">
        <f t="shared" si="5"/>
        <v>0.48539057841383421</v>
      </c>
      <c r="O87" s="4">
        <f>IFERROR(F87/((E87*Factor!$C$2)+Phase1!F87), 0)</f>
        <v>0.1139125736390911</v>
      </c>
    </row>
    <row r="88" spans="1:17" x14ac:dyDescent="0.25">
      <c r="A88" s="6" t="s">
        <v>73</v>
      </c>
      <c r="B88" s="6" t="s">
        <v>26</v>
      </c>
      <c r="C88" s="6">
        <v>157</v>
      </c>
      <c r="D88" s="6">
        <v>7.9979623025980606E-2</v>
      </c>
      <c r="E88" s="6">
        <v>72</v>
      </c>
      <c r="F88" s="6">
        <v>85</v>
      </c>
      <c r="G88" s="6">
        <v>0.54140127388534998</v>
      </c>
      <c r="H88" s="6">
        <v>0.203687004658273</v>
      </c>
      <c r="I88" s="6">
        <v>3.3131393987198198E-3</v>
      </c>
      <c r="J88" s="6">
        <v>3.7133589679329902E-3</v>
      </c>
      <c r="K88" s="6" t="s">
        <v>27</v>
      </c>
      <c r="L88" s="6" t="b">
        <v>0</v>
      </c>
      <c r="M88" s="7" t="str">
        <f t="shared" si="4"/>
        <v>No Correlation</v>
      </c>
      <c r="N88" s="4">
        <f t="shared" si="5"/>
        <v>0.54140127388535031</v>
      </c>
      <c r="O88" s="4">
        <f>IFERROR(F88/((E88*Factor!$C$2)+Phase1!F88), 0)</f>
        <v>0.13860262464452502</v>
      </c>
    </row>
    <row r="89" spans="1:17" x14ac:dyDescent="0.25">
      <c r="A89" s="6" t="s">
        <v>73</v>
      </c>
      <c r="B89" s="6" t="s">
        <v>51</v>
      </c>
      <c r="C89" s="6">
        <v>129</v>
      </c>
      <c r="D89" s="6">
        <v>6.5715741212429998E-2</v>
      </c>
      <c r="E89" s="6">
        <v>65</v>
      </c>
      <c r="F89" s="6">
        <v>64</v>
      </c>
      <c r="G89" s="6">
        <v>0.49612403100775199</v>
      </c>
      <c r="H89" s="6">
        <v>2.2197680648046201E-2</v>
      </c>
      <c r="I89" s="6">
        <v>3.23860242061318E-5</v>
      </c>
      <c r="J89" s="6">
        <v>3.7133589679329902E-3</v>
      </c>
      <c r="K89" s="6" t="s">
        <v>22</v>
      </c>
      <c r="L89" s="6" t="b">
        <v>0</v>
      </c>
      <c r="M89" s="7" t="str">
        <f t="shared" si="4"/>
        <v>No Correlation</v>
      </c>
      <c r="N89" s="4">
        <f t="shared" si="5"/>
        <v>0.49612403100775193</v>
      </c>
      <c r="O89" s="4">
        <f>IFERROR(F89/((E89*Factor!$C$2)+Phase1!F89), 0)</f>
        <v>0.11832022258991876</v>
      </c>
    </row>
    <row r="90" spans="1:17" x14ac:dyDescent="0.25">
      <c r="M90" s="6" t="str">
        <f t="shared" si="4"/>
        <v/>
      </c>
    </row>
    <row r="91" spans="1:17" x14ac:dyDescent="0.25">
      <c r="A91" s="6" t="s">
        <v>0</v>
      </c>
      <c r="B91" s="6" t="s">
        <v>1</v>
      </c>
      <c r="C91" s="6" t="s">
        <v>2</v>
      </c>
      <c r="D91" s="6" t="s">
        <v>3</v>
      </c>
      <c r="E91" s="6" t="s">
        <v>4</v>
      </c>
      <c r="F91" s="6" t="s">
        <v>5</v>
      </c>
      <c r="G91" s="6" t="s">
        <v>6</v>
      </c>
      <c r="H91" s="6" t="s">
        <v>7</v>
      </c>
      <c r="I91" s="6" t="s">
        <v>8</v>
      </c>
      <c r="J91" s="6" t="s">
        <v>9</v>
      </c>
      <c r="K91" s="6" t="s">
        <v>10</v>
      </c>
      <c r="L91" s="6" t="s">
        <v>11</v>
      </c>
      <c r="M91" s="7" t="str">
        <f t="shared" si="4"/>
        <v/>
      </c>
    </row>
    <row r="92" spans="1:17" x14ac:dyDescent="0.25">
      <c r="A92" s="6" t="s">
        <v>74</v>
      </c>
      <c r="B92" s="6" t="s">
        <v>24</v>
      </c>
      <c r="C92" s="6">
        <v>1303</v>
      </c>
      <c r="D92" s="6">
        <v>0.66377992868059099</v>
      </c>
      <c r="E92" s="6">
        <v>644</v>
      </c>
      <c r="F92" s="6">
        <v>659</v>
      </c>
      <c r="G92" s="6">
        <v>0.50575594781274003</v>
      </c>
      <c r="H92" s="6">
        <v>6.0726675582164998E-2</v>
      </c>
      <c r="I92" s="6">
        <v>2.4484894698902399E-3</v>
      </c>
      <c r="J92" s="6">
        <v>1.1011278172776201E-2</v>
      </c>
      <c r="K92" s="6" t="s">
        <v>25</v>
      </c>
      <c r="L92" s="6" t="b">
        <v>0</v>
      </c>
      <c r="M92" s="7" t="str">
        <f t="shared" si="4"/>
        <v>Marginal contribution</v>
      </c>
      <c r="N92" s="4">
        <f t="shared" si="5"/>
        <v>0.5057559478127398</v>
      </c>
      <c r="O92" s="4">
        <f>IFERROR(F92/((E92*Factor!$C$2)+Phase1!F92), 0)</f>
        <v>0.12239906627528682</v>
      </c>
      <c r="P92" s="4">
        <f>O92</f>
        <v>0.12239906627528682</v>
      </c>
      <c r="Q92" s="12" t="s">
        <v>125</v>
      </c>
    </row>
    <row r="93" spans="1:17" x14ac:dyDescent="0.25">
      <c r="A93" s="6" t="s">
        <v>74</v>
      </c>
      <c r="B93" s="6" t="s">
        <v>26</v>
      </c>
      <c r="C93" s="6">
        <v>329</v>
      </c>
      <c r="D93" s="6">
        <v>0.16760061130922099</v>
      </c>
      <c r="E93" s="6">
        <v>170</v>
      </c>
      <c r="F93" s="6">
        <v>159</v>
      </c>
      <c r="G93" s="6">
        <v>0.48328267477203601</v>
      </c>
      <c r="H93" s="6">
        <v>-2.9192367646018801E-2</v>
      </c>
      <c r="I93" s="6">
        <v>1.4277886979517101E-4</v>
      </c>
      <c r="J93" s="6">
        <v>1.1011278172776201E-2</v>
      </c>
      <c r="K93" s="6" t="s">
        <v>27</v>
      </c>
      <c r="L93" s="6" t="b">
        <v>0</v>
      </c>
      <c r="M93" s="7" t="str">
        <f t="shared" si="4"/>
        <v>Marginal contribution</v>
      </c>
      <c r="N93" s="4">
        <f t="shared" si="5"/>
        <v>0.48328267477203646</v>
      </c>
      <c r="O93" s="4">
        <f>IFERROR(F93/((E93*Factor!$C$2)+Phase1!F93), 0)</f>
        <v>0.11306345063962625</v>
      </c>
      <c r="P93" s="4">
        <f>O93</f>
        <v>0.11306345063962625</v>
      </c>
    </row>
    <row r="94" spans="1:17" x14ac:dyDescent="0.25">
      <c r="A94" s="6" t="s">
        <v>74</v>
      </c>
      <c r="B94" s="6" t="s">
        <v>48</v>
      </c>
      <c r="C94" s="6">
        <v>169</v>
      </c>
      <c r="D94" s="6">
        <v>8.6092715231788103E-2</v>
      </c>
      <c r="E94" s="6">
        <v>98</v>
      </c>
      <c r="F94" s="6">
        <v>71</v>
      </c>
      <c r="G94" s="6">
        <v>0.42011834319526598</v>
      </c>
      <c r="H94" s="6">
        <v>-0.28458573444524499</v>
      </c>
      <c r="I94" s="6">
        <v>6.9074838597332896E-3</v>
      </c>
      <c r="J94" s="6">
        <v>1.1011278172776201E-2</v>
      </c>
      <c r="K94" s="6" t="s">
        <v>14</v>
      </c>
      <c r="L94" s="6" t="b">
        <v>0</v>
      </c>
      <c r="M94" s="7" t="str">
        <f t="shared" si="4"/>
        <v>Marginal contribution</v>
      </c>
      <c r="N94" s="4">
        <f t="shared" si="5"/>
        <v>0.42011834319526625</v>
      </c>
      <c r="O94" s="4">
        <f>IFERROR(F94/((E94*Factor!$C$2)+Phase1!F94), 0)</f>
        <v>8.9870459959545637E-2</v>
      </c>
      <c r="P94" s="4">
        <f>(F94+F95)/((F94+F95)+(E94+E95)*Factor!$C$2)</f>
        <v>9.6046717123208725E-2</v>
      </c>
    </row>
    <row r="95" spans="1:17" x14ac:dyDescent="0.25">
      <c r="A95" s="6" t="s">
        <v>74</v>
      </c>
      <c r="B95" s="6" t="s">
        <v>53</v>
      </c>
      <c r="C95" s="6">
        <v>162</v>
      </c>
      <c r="D95" s="6">
        <v>8.2526744778400399E-2</v>
      </c>
      <c r="E95" s="6">
        <v>88</v>
      </c>
      <c r="F95" s="6">
        <v>74</v>
      </c>
      <c r="G95" s="6">
        <v>0.45679012345678999</v>
      </c>
      <c r="H95" s="6">
        <v>-0.135569854090025</v>
      </c>
      <c r="I95" s="6">
        <v>1.51252597335745E-3</v>
      </c>
      <c r="J95" s="6">
        <v>1.1011278172776201E-2</v>
      </c>
      <c r="K95" s="6" t="s">
        <v>22</v>
      </c>
      <c r="L95" s="6" t="b">
        <v>0</v>
      </c>
      <c r="M95" s="7" t="str">
        <f t="shared" si="4"/>
        <v>Marginal contribution</v>
      </c>
      <c r="N95" s="4">
        <f t="shared" si="5"/>
        <v>0.4567901234567901</v>
      </c>
      <c r="O95" s="4">
        <f>IFERROR(F95/((E95*Factor!$C$2)+Phase1!F95), 0)</f>
        <v>0.1028269061885123</v>
      </c>
    </row>
    <row r="96" spans="1:17" x14ac:dyDescent="0.25">
      <c r="M96" s="6" t="str">
        <f t="shared" si="4"/>
        <v/>
      </c>
    </row>
    <row r="97" spans="1:17" x14ac:dyDescent="0.25">
      <c r="A97" s="6" t="s">
        <v>0</v>
      </c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7" t="str">
        <f t="shared" si="4"/>
        <v/>
      </c>
    </row>
    <row r="98" spans="1:17" x14ac:dyDescent="0.25">
      <c r="A98" s="6" t="s">
        <v>75</v>
      </c>
      <c r="B98" s="6" t="s">
        <v>24</v>
      </c>
      <c r="C98" s="6">
        <v>1384</v>
      </c>
      <c r="D98" s="6">
        <v>0.70504330106979096</v>
      </c>
      <c r="E98" s="6">
        <v>727</v>
      </c>
      <c r="F98" s="6">
        <v>657</v>
      </c>
      <c r="G98" s="6">
        <v>0.47471098265896</v>
      </c>
      <c r="H98" s="6">
        <v>-6.3540591864897397E-2</v>
      </c>
      <c r="I98" s="6">
        <v>2.8438868639345202E-3</v>
      </c>
      <c r="J98" s="6">
        <v>1.01203813114097E-2</v>
      </c>
      <c r="K98" s="6" t="s">
        <v>25</v>
      </c>
      <c r="L98" s="6" t="b">
        <v>0</v>
      </c>
      <c r="M98" s="7" t="str">
        <f t="shared" si="4"/>
        <v>Marginal contribution</v>
      </c>
      <c r="N98" s="4">
        <f t="shared" si="5"/>
        <v>0.47471098265895956</v>
      </c>
      <c r="O98" s="4">
        <f>IFERROR(F98/((E98*Factor!$C$2)+Phase1!F98), 0)</f>
        <v>0.10966451504999417</v>
      </c>
      <c r="P98" s="4" t="s">
        <v>124</v>
      </c>
    </row>
    <row r="99" spans="1:17" x14ac:dyDescent="0.25">
      <c r="A99" s="6" t="s">
        <v>75</v>
      </c>
      <c r="B99" s="6" t="s">
        <v>26</v>
      </c>
      <c r="C99" s="6">
        <v>378</v>
      </c>
      <c r="D99" s="6">
        <v>0.19256240448293399</v>
      </c>
      <c r="E99" s="6">
        <v>181</v>
      </c>
      <c r="F99" s="6">
        <v>197</v>
      </c>
      <c r="G99" s="6">
        <v>0.52116402116402105</v>
      </c>
      <c r="H99" s="6">
        <v>0.122408564656174</v>
      </c>
      <c r="I99" s="6">
        <v>2.8850541973013399E-3</v>
      </c>
      <c r="J99" s="6">
        <v>1.01203813114097E-2</v>
      </c>
      <c r="K99" s="6" t="s">
        <v>27</v>
      </c>
      <c r="L99" s="6" t="b">
        <v>0</v>
      </c>
      <c r="M99" s="7" t="str">
        <f t="shared" si="4"/>
        <v>Marginal contribution</v>
      </c>
      <c r="N99" s="4">
        <f t="shared" si="5"/>
        <v>0.52116402116402116</v>
      </c>
      <c r="O99" s="4">
        <f>IFERROR(F99/((E99*Factor!$C$2)+Phase1!F99), 0)</f>
        <v>0.12918058199458754</v>
      </c>
      <c r="P99" s="4" t="s">
        <v>124</v>
      </c>
    </row>
    <row r="100" spans="1:17" x14ac:dyDescent="0.25">
      <c r="A100" s="6" t="s">
        <v>75</v>
      </c>
      <c r="B100" s="6" t="s">
        <v>51</v>
      </c>
      <c r="C100" s="6">
        <v>201</v>
      </c>
      <c r="D100" s="6">
        <v>0.10239429444727501</v>
      </c>
      <c r="E100" s="6">
        <v>92</v>
      </c>
      <c r="F100" s="6">
        <v>109</v>
      </c>
      <c r="G100" s="6">
        <v>0.54228855721392999</v>
      </c>
      <c r="H100" s="6">
        <v>0.20726117236411501</v>
      </c>
      <c r="I100" s="6">
        <v>4.3914402501738304E-3</v>
      </c>
      <c r="J100" s="6">
        <v>1.01203813114097E-2</v>
      </c>
      <c r="K100" s="6" t="s">
        <v>22</v>
      </c>
      <c r="L100" s="6" t="b">
        <v>0</v>
      </c>
      <c r="M100" s="7" t="str">
        <f t="shared" si="4"/>
        <v>Marginal contribution</v>
      </c>
      <c r="N100" s="4">
        <f t="shared" si="5"/>
        <v>0.54228855721393032</v>
      </c>
      <c r="O100" s="4">
        <f>IFERROR(F100/((E100*Factor!$C$2)+Phase1!F100), 0)</f>
        <v>0.13902990290865863</v>
      </c>
      <c r="P100" s="4" t="s">
        <v>124</v>
      </c>
    </row>
    <row r="101" spans="1:17" x14ac:dyDescent="0.25">
      <c r="M101" s="6" t="str">
        <f t="shared" si="4"/>
        <v/>
      </c>
    </row>
    <row r="102" spans="1:17" x14ac:dyDescent="0.25">
      <c r="A102" s="6" t="s">
        <v>0</v>
      </c>
      <c r="B102" s="6" t="s">
        <v>1</v>
      </c>
      <c r="C102" s="6" t="s">
        <v>2</v>
      </c>
      <c r="D102" s="6" t="s">
        <v>3</v>
      </c>
      <c r="E102" s="6" t="s">
        <v>4</v>
      </c>
      <c r="F102" s="6" t="s">
        <v>5</v>
      </c>
      <c r="G102" s="6" t="s">
        <v>6</v>
      </c>
      <c r="H102" s="6" t="s">
        <v>7</v>
      </c>
      <c r="I102" s="6" t="s">
        <v>8</v>
      </c>
      <c r="J102" s="6" t="s">
        <v>9</v>
      </c>
      <c r="K102" s="6" t="s">
        <v>10</v>
      </c>
      <c r="L102" s="6" t="s">
        <v>11</v>
      </c>
      <c r="M102" s="7" t="str">
        <f t="shared" si="4"/>
        <v/>
      </c>
    </row>
    <row r="103" spans="1:17" x14ac:dyDescent="0.25">
      <c r="A103" s="6" t="s">
        <v>76</v>
      </c>
      <c r="B103" s="6" t="s">
        <v>24</v>
      </c>
      <c r="C103" s="6">
        <v>956</v>
      </c>
      <c r="D103" s="6">
        <v>0.48700967906265902</v>
      </c>
      <c r="E103" s="6">
        <v>492</v>
      </c>
      <c r="F103" s="6">
        <v>464</v>
      </c>
      <c r="G103" s="6">
        <v>0.48535564853556501</v>
      </c>
      <c r="H103" s="6">
        <v>-2.0892297082041399E-2</v>
      </c>
      <c r="I103" s="6">
        <v>2.1252434290309301E-4</v>
      </c>
      <c r="J103" s="6">
        <v>5.9416695234866899E-3</v>
      </c>
      <c r="K103" s="6" t="s">
        <v>25</v>
      </c>
      <c r="L103" s="6" t="b">
        <v>0</v>
      </c>
      <c r="M103" s="7" t="str">
        <f t="shared" si="4"/>
        <v>No Correlation</v>
      </c>
      <c r="N103" s="4">
        <f t="shared" si="5"/>
        <v>0.48535564853556484</v>
      </c>
      <c r="O103" s="4">
        <f>IFERROR(F103/((E103*Factor!$C$2)+Phase1!F103), 0)</f>
        <v>0.11389845952333494</v>
      </c>
    </row>
    <row r="104" spans="1:17" x14ac:dyDescent="0.25">
      <c r="A104" s="6" t="s">
        <v>76</v>
      </c>
      <c r="B104" s="6" t="s">
        <v>26</v>
      </c>
      <c r="C104" s="6">
        <v>453</v>
      </c>
      <c r="D104" s="6">
        <v>0.230769230769231</v>
      </c>
      <c r="E104" s="6">
        <v>240</v>
      </c>
      <c r="F104" s="6">
        <v>213</v>
      </c>
      <c r="G104" s="6">
        <v>0.47019867549668898</v>
      </c>
      <c r="H104" s="6">
        <v>-8.1644890448554705E-2</v>
      </c>
      <c r="I104" s="6">
        <v>1.536246536789E-3</v>
      </c>
      <c r="J104" s="6">
        <v>5.9416695234866899E-3</v>
      </c>
      <c r="K104" s="6" t="s">
        <v>27</v>
      </c>
      <c r="L104" s="6" t="b">
        <v>0</v>
      </c>
      <c r="M104" s="7" t="str">
        <f t="shared" si="4"/>
        <v>No Correlation</v>
      </c>
      <c r="N104" s="4">
        <f t="shared" si="5"/>
        <v>0.47019867549668876</v>
      </c>
      <c r="O104" s="4">
        <f>IFERROR(F104/((E104*Factor!$C$2)+Phase1!F104), 0)</f>
        <v>0.10790929539789654</v>
      </c>
    </row>
    <row r="105" spans="1:17" x14ac:dyDescent="0.25">
      <c r="A105" s="6" t="s">
        <v>76</v>
      </c>
      <c r="B105" s="6" t="s">
        <v>48</v>
      </c>
      <c r="C105" s="6">
        <v>265</v>
      </c>
      <c r="D105" s="6">
        <v>0.13499745287824799</v>
      </c>
      <c r="E105" s="6">
        <v>124</v>
      </c>
      <c r="F105" s="6">
        <v>141</v>
      </c>
      <c r="G105" s="6">
        <v>0.53207547169811298</v>
      </c>
      <c r="H105" s="6">
        <v>0.16618019195714301</v>
      </c>
      <c r="I105" s="6">
        <v>3.7253353935314602E-3</v>
      </c>
      <c r="J105" s="6">
        <v>5.9416695234866899E-3</v>
      </c>
      <c r="K105" s="6" t="s">
        <v>14</v>
      </c>
      <c r="L105" s="6" t="b">
        <v>0</v>
      </c>
      <c r="M105" s="7" t="str">
        <f t="shared" si="4"/>
        <v>No Correlation</v>
      </c>
      <c r="N105" s="4">
        <f t="shared" si="5"/>
        <v>0.5320754716981132</v>
      </c>
      <c r="O105" s="4">
        <f>IFERROR(F105/((E105*Factor!$C$2)+Phase1!F105), 0)</f>
        <v>0.13418501162936766</v>
      </c>
    </row>
    <row r="106" spans="1:17" x14ac:dyDescent="0.25">
      <c r="A106" s="6" t="s">
        <v>76</v>
      </c>
      <c r="B106" s="6" t="s">
        <v>15</v>
      </c>
      <c r="C106" s="6">
        <v>140</v>
      </c>
      <c r="D106" s="6">
        <v>7.13194090677534E-2</v>
      </c>
      <c r="E106" s="6">
        <v>71</v>
      </c>
      <c r="F106" s="6">
        <v>69</v>
      </c>
      <c r="G106" s="6">
        <v>0.49285714285714299</v>
      </c>
      <c r="H106" s="6">
        <v>9.1284947399554693E-3</v>
      </c>
      <c r="I106" s="6">
        <v>5.9434747683822303E-6</v>
      </c>
      <c r="J106" s="6">
        <v>5.9416695234866899E-3</v>
      </c>
      <c r="K106" s="6" t="s">
        <v>16</v>
      </c>
      <c r="L106" s="6" t="b">
        <v>0</v>
      </c>
      <c r="M106" s="7" t="str">
        <f t="shared" si="4"/>
        <v>No Correlation</v>
      </c>
      <c r="N106" s="4">
        <f t="shared" si="5"/>
        <v>0.49285714285714288</v>
      </c>
      <c r="O106" s="4">
        <f>IFERROR(F106/((E106*Factor!$C$2)+Phase1!F106), 0)</f>
        <v>0.1169636243128387</v>
      </c>
    </row>
    <row r="107" spans="1:17" x14ac:dyDescent="0.25">
      <c r="A107" s="6" t="s">
        <v>76</v>
      </c>
      <c r="B107" s="6" t="s">
        <v>56</v>
      </c>
      <c r="C107" s="6">
        <v>149</v>
      </c>
      <c r="D107" s="6">
        <v>7.5904228222109002E-2</v>
      </c>
      <c r="E107" s="6">
        <v>73</v>
      </c>
      <c r="F107" s="6">
        <v>76</v>
      </c>
      <c r="G107" s="6">
        <v>0.51006711409395999</v>
      </c>
      <c r="H107" s="6">
        <v>7.7975766321951495E-2</v>
      </c>
      <c r="I107" s="6">
        <v>4.6161977549475199E-4</v>
      </c>
      <c r="J107" s="6">
        <v>5.9416695234866899E-3</v>
      </c>
      <c r="K107" s="6" t="s">
        <v>22</v>
      </c>
      <c r="L107" s="6" t="b">
        <v>0</v>
      </c>
      <c r="M107" s="7" t="str">
        <f t="shared" si="4"/>
        <v>No Correlation</v>
      </c>
      <c r="N107" s="4">
        <f t="shared" si="5"/>
        <v>0.51006711409395977</v>
      </c>
      <c r="O107" s="4">
        <f>IFERROR(F107/((E107*Factor!$C$2)+Phase1!F107), 0)</f>
        <v>0.12426402180506572</v>
      </c>
    </row>
    <row r="108" spans="1:17" x14ac:dyDescent="0.25">
      <c r="M108" s="6" t="str">
        <f t="shared" si="4"/>
        <v/>
      </c>
    </row>
    <row r="109" spans="1:17" x14ac:dyDescent="0.25">
      <c r="A109" s="6" t="s">
        <v>0</v>
      </c>
      <c r="B109" s="6" t="s">
        <v>1</v>
      </c>
      <c r="C109" s="6" t="s">
        <v>2</v>
      </c>
      <c r="D109" s="6" t="s">
        <v>3</v>
      </c>
      <c r="E109" s="6" t="s">
        <v>4</v>
      </c>
      <c r="F109" s="6" t="s">
        <v>5</v>
      </c>
      <c r="G109" s="6" t="s">
        <v>6</v>
      </c>
      <c r="H109" s="6" t="s">
        <v>7</v>
      </c>
      <c r="I109" s="6" t="s">
        <v>8</v>
      </c>
      <c r="J109" s="6" t="s">
        <v>9</v>
      </c>
      <c r="K109" s="6" t="s">
        <v>10</v>
      </c>
      <c r="L109" s="6" t="s">
        <v>11</v>
      </c>
      <c r="M109" s="7" t="str">
        <f t="shared" si="4"/>
        <v/>
      </c>
    </row>
    <row r="110" spans="1:17" x14ac:dyDescent="0.25">
      <c r="A110" s="6" t="s">
        <v>77</v>
      </c>
      <c r="B110" s="6" t="s">
        <v>13</v>
      </c>
      <c r="C110" s="6">
        <v>575</v>
      </c>
      <c r="D110" s="6">
        <v>0.29291900152827299</v>
      </c>
      <c r="E110" s="6">
        <v>298</v>
      </c>
      <c r="F110" s="6">
        <v>277</v>
      </c>
      <c r="G110" s="6">
        <v>0.481739130434783</v>
      </c>
      <c r="H110" s="6">
        <v>-3.5374113134054502E-2</v>
      </c>
      <c r="I110" s="6">
        <v>3.6637736697721601E-4</v>
      </c>
      <c r="J110" s="6">
        <v>1.9992214807801601E-2</v>
      </c>
      <c r="K110" s="6" t="s">
        <v>14</v>
      </c>
      <c r="L110" s="6" t="b">
        <v>0</v>
      </c>
      <c r="M110" s="7" t="str">
        <f t="shared" si="4"/>
        <v>Marginal contribution</v>
      </c>
      <c r="N110" s="4">
        <f t="shared" si="5"/>
        <v>0.48173913043478261</v>
      </c>
      <c r="O110" s="4">
        <f>IFERROR(F110/((E110*Factor!$C$2)+Phase1!F110), 0)</f>
        <v>0.11244502574869308</v>
      </c>
      <c r="P110" s="4">
        <f>(F110+F111)/((F110+F111)+(E110+E111)*Factor!$C$2)</f>
        <v>0.10803460785225157</v>
      </c>
      <c r="Q110" s="12" t="s">
        <v>126</v>
      </c>
    </row>
    <row r="111" spans="1:17" x14ac:dyDescent="0.25">
      <c r="A111" s="6" t="s">
        <v>77</v>
      </c>
      <c r="B111" s="6" t="s">
        <v>15</v>
      </c>
      <c r="C111" s="6">
        <v>324</v>
      </c>
      <c r="D111" s="6">
        <v>0.16505348955680099</v>
      </c>
      <c r="E111" s="6">
        <v>178</v>
      </c>
      <c r="F111" s="6">
        <v>146</v>
      </c>
      <c r="G111" s="6">
        <v>0.45061728395061701</v>
      </c>
      <c r="H111" s="6">
        <v>-0.160475061399737</v>
      </c>
      <c r="I111" s="6">
        <v>4.2350085258701098E-3</v>
      </c>
      <c r="J111" s="6">
        <v>1.9992214807801601E-2</v>
      </c>
      <c r="K111" s="6" t="s">
        <v>16</v>
      </c>
      <c r="L111" s="6" t="b">
        <v>0</v>
      </c>
      <c r="M111" s="7" t="str">
        <f t="shared" si="4"/>
        <v>Marginal contribution</v>
      </c>
      <c r="N111" s="4">
        <f t="shared" si="5"/>
        <v>0.45061728395061729</v>
      </c>
      <c r="O111" s="4">
        <f>IFERROR(F111/((E111*Factor!$C$2)+Phase1!F111), 0)</f>
        <v>0.10055193369633042</v>
      </c>
    </row>
    <row r="112" spans="1:17" x14ac:dyDescent="0.25">
      <c r="A112" s="6" t="s">
        <v>77</v>
      </c>
      <c r="B112" s="6" t="s">
        <v>78</v>
      </c>
      <c r="C112" s="6">
        <v>496</v>
      </c>
      <c r="D112" s="6">
        <v>0.25267447784004099</v>
      </c>
      <c r="E112" s="6">
        <v>230</v>
      </c>
      <c r="F112" s="6">
        <v>266</v>
      </c>
      <c r="G112" s="6">
        <v>0.53629032258064502</v>
      </c>
      <c r="H112" s="6">
        <v>0.18311886704251501</v>
      </c>
      <c r="I112" s="6">
        <v>8.4637806563471907E-3</v>
      </c>
      <c r="J112" s="6">
        <v>1.9992214807801601E-2</v>
      </c>
      <c r="K112" s="6" t="s">
        <v>20</v>
      </c>
      <c r="L112" s="6" t="b">
        <v>0</v>
      </c>
      <c r="M112" s="7" t="str">
        <f t="shared" si="4"/>
        <v>Marginal contribution</v>
      </c>
      <c r="N112" s="4">
        <f t="shared" si="5"/>
        <v>0.53629032258064513</v>
      </c>
      <c r="O112" s="4">
        <f>IFERROR(F112/((E112*Factor!$C$2)+Phase1!F112), 0)</f>
        <v>0.13616515912383351</v>
      </c>
      <c r="P112" s="4">
        <f>(F112+F113+F114)/((F112+F113+F114)+(E112+E113+E114)*Factor!$C$2)</f>
        <v>0.12172897663385721</v>
      </c>
    </row>
    <row r="113" spans="1:17" x14ac:dyDescent="0.25">
      <c r="A113" s="6" t="s">
        <v>77</v>
      </c>
      <c r="B113" s="6" t="s">
        <v>79</v>
      </c>
      <c r="C113" s="6">
        <v>352</v>
      </c>
      <c r="D113" s="6">
        <v>0.179317371370352</v>
      </c>
      <c r="E113" s="6">
        <v>181</v>
      </c>
      <c r="F113" s="6">
        <v>171</v>
      </c>
      <c r="G113" s="6">
        <v>0.48579545454545497</v>
      </c>
      <c r="H113" s="6">
        <v>-1.9131607579154501E-2</v>
      </c>
      <c r="I113" s="6">
        <v>6.5619625995791495E-5</v>
      </c>
      <c r="J113" s="6">
        <v>1.9992214807801601E-2</v>
      </c>
      <c r="K113" s="6" t="s">
        <v>80</v>
      </c>
      <c r="L113" s="6" t="b">
        <v>0</v>
      </c>
      <c r="M113" s="7" t="str">
        <f t="shared" si="4"/>
        <v>Marginal contribution</v>
      </c>
      <c r="N113" s="4">
        <f t="shared" si="5"/>
        <v>0.48579545454545453</v>
      </c>
      <c r="O113" s="4">
        <f>IFERROR(F113/((E113*Factor!$C$2)+Phase1!F113), 0)</f>
        <v>0.11407627900522817</v>
      </c>
    </row>
    <row r="114" spans="1:17" x14ac:dyDescent="0.25">
      <c r="A114" s="6" t="s">
        <v>77</v>
      </c>
      <c r="B114" s="6" t="s">
        <v>81</v>
      </c>
      <c r="C114" s="6">
        <v>106</v>
      </c>
      <c r="D114" s="6">
        <v>5.3998981151299003E-2</v>
      </c>
      <c r="E114" s="6">
        <v>62</v>
      </c>
      <c r="F114" s="6">
        <v>44</v>
      </c>
      <c r="G114" s="6">
        <v>0.41509433962264197</v>
      </c>
      <c r="H114" s="6">
        <v>-0.30524288394281901</v>
      </c>
      <c r="I114" s="6">
        <v>4.9783434425814304E-3</v>
      </c>
      <c r="J114" s="6">
        <v>1.9992214807801601E-2</v>
      </c>
      <c r="K114" s="6" t="s">
        <v>82</v>
      </c>
      <c r="L114" s="6" t="b">
        <v>0</v>
      </c>
      <c r="M114" s="7" t="str">
        <f t="shared" si="4"/>
        <v>Marginal contribution</v>
      </c>
      <c r="N114" s="4">
        <f t="shared" si="5"/>
        <v>0.41509433962264153</v>
      </c>
      <c r="O114" s="4">
        <f>IFERROR(F114/((E114*Factor!$C$2)+Phase1!F114), 0)</f>
        <v>8.8195087533624372E-2</v>
      </c>
    </row>
    <row r="115" spans="1:17" x14ac:dyDescent="0.25">
      <c r="A115" s="6" t="s">
        <v>77</v>
      </c>
      <c r="B115" s="6" t="s">
        <v>83</v>
      </c>
      <c r="C115" s="6">
        <v>110</v>
      </c>
      <c r="D115" s="6">
        <v>5.6036678553234798E-2</v>
      </c>
      <c r="E115" s="6">
        <v>51</v>
      </c>
      <c r="F115" s="6">
        <v>59</v>
      </c>
      <c r="G115" s="6">
        <v>0.53636363636363604</v>
      </c>
      <c r="H115" s="6">
        <v>0.18341367836540501</v>
      </c>
      <c r="I115" s="6">
        <v>1.8830851900298699E-3</v>
      </c>
      <c r="J115" s="6">
        <v>1.9992214807801601E-2</v>
      </c>
      <c r="K115" s="6" t="s">
        <v>22</v>
      </c>
      <c r="L115" s="6" t="b">
        <v>0</v>
      </c>
      <c r="M115" s="7" t="str">
        <f t="shared" si="4"/>
        <v>Marginal contribution</v>
      </c>
      <c r="N115" s="4">
        <f t="shared" si="5"/>
        <v>0.53636363636363638</v>
      </c>
      <c r="O115" s="4">
        <f>IFERROR(F115/((E115*Factor!$C$2)+Phase1!F115), 0)</f>
        <v>0.13619983979205286</v>
      </c>
      <c r="P115" s="4">
        <f>O115</f>
        <v>0.13619983979205286</v>
      </c>
    </row>
    <row r="116" spans="1:17" x14ac:dyDescent="0.25">
      <c r="M116" s="6" t="str">
        <f t="shared" si="4"/>
        <v/>
      </c>
    </row>
    <row r="117" spans="1:17" x14ac:dyDescent="0.25">
      <c r="A117" s="6" t="s">
        <v>0</v>
      </c>
      <c r="B117" s="6" t="s">
        <v>1</v>
      </c>
      <c r="C117" s="6" t="s">
        <v>2</v>
      </c>
      <c r="D117" s="6" t="s">
        <v>3</v>
      </c>
      <c r="E117" s="6" t="s">
        <v>4</v>
      </c>
      <c r="F117" s="6" t="s">
        <v>5</v>
      </c>
      <c r="G117" s="6" t="s">
        <v>6</v>
      </c>
      <c r="H117" s="6" t="s">
        <v>7</v>
      </c>
      <c r="I117" s="6" t="s">
        <v>8</v>
      </c>
      <c r="J117" s="6" t="s">
        <v>9</v>
      </c>
      <c r="K117" s="6" t="s">
        <v>10</v>
      </c>
      <c r="L117" s="6" t="s">
        <v>11</v>
      </c>
      <c r="M117" s="7" t="str">
        <f t="shared" si="4"/>
        <v/>
      </c>
    </row>
    <row r="118" spans="1:17" x14ac:dyDescent="0.25">
      <c r="A118" s="6" t="s">
        <v>84</v>
      </c>
      <c r="B118" s="6" t="s">
        <v>24</v>
      </c>
      <c r="C118" s="6">
        <v>344</v>
      </c>
      <c r="D118" s="6">
        <v>0.17524197656648</v>
      </c>
      <c r="E118" s="6">
        <v>187</v>
      </c>
      <c r="F118" s="6">
        <v>157</v>
      </c>
      <c r="G118" s="6">
        <v>0.456395348837209</v>
      </c>
      <c r="H118" s="6">
        <v>-0.137160944322267</v>
      </c>
      <c r="I118" s="6">
        <v>3.28744730623286E-3</v>
      </c>
      <c r="J118" s="6">
        <v>7.9937917456218508E-3</v>
      </c>
      <c r="K118" s="6" t="s">
        <v>25</v>
      </c>
      <c r="L118" s="6" t="b">
        <v>0</v>
      </c>
      <c r="M118" s="7" t="str">
        <f t="shared" si="4"/>
        <v>No Correlation</v>
      </c>
      <c r="N118" s="4">
        <f t="shared" si="5"/>
        <v>0.45639534883720928</v>
      </c>
      <c r="O118" s="4">
        <f>IFERROR(F118/((E118*Factor!$C$2)+Phase1!F118), 0)</f>
        <v>0.10268021522296322</v>
      </c>
    </row>
    <row r="119" spans="1:17" x14ac:dyDescent="0.25">
      <c r="A119" s="6" t="s">
        <v>84</v>
      </c>
      <c r="B119" s="6" t="s">
        <v>26</v>
      </c>
      <c r="C119" s="6">
        <v>414</v>
      </c>
      <c r="D119" s="6">
        <v>0.21090168110035701</v>
      </c>
      <c r="E119" s="6">
        <v>212</v>
      </c>
      <c r="F119" s="6">
        <v>202</v>
      </c>
      <c r="G119" s="6">
        <v>0.48792270531401</v>
      </c>
      <c r="H119" s="6">
        <v>-1.0616710086796301E-2</v>
      </c>
      <c r="I119" s="6">
        <v>2.3769083018829501E-5</v>
      </c>
      <c r="J119" s="6">
        <v>7.9937917456218508E-3</v>
      </c>
      <c r="K119" s="6" t="s">
        <v>27</v>
      </c>
      <c r="L119" s="6" t="b">
        <v>0</v>
      </c>
      <c r="M119" s="7" t="str">
        <f t="shared" si="4"/>
        <v>No Correlation</v>
      </c>
      <c r="N119" s="4">
        <f t="shared" si="5"/>
        <v>0.48792270531400966</v>
      </c>
      <c r="O119" s="4">
        <f>IFERROR(F119/((E119*Factor!$C$2)+Phase1!F119), 0)</f>
        <v>0.11493965099314687</v>
      </c>
    </row>
    <row r="120" spans="1:17" x14ac:dyDescent="0.25">
      <c r="A120" s="6" t="s">
        <v>84</v>
      </c>
      <c r="B120" s="6" t="s">
        <v>85</v>
      </c>
      <c r="C120" s="6">
        <v>652</v>
      </c>
      <c r="D120" s="6">
        <v>0.33214467651553697</v>
      </c>
      <c r="E120" s="6">
        <v>323</v>
      </c>
      <c r="F120" s="6">
        <v>329</v>
      </c>
      <c r="G120" s="6">
        <v>0.504601226993865</v>
      </c>
      <c r="H120" s="6">
        <v>5.6107294726726903E-2</v>
      </c>
      <c r="I120" s="6">
        <v>1.04587959256436E-3</v>
      </c>
      <c r="J120" s="6">
        <v>7.9937917456218508E-3</v>
      </c>
      <c r="K120" s="6" t="s">
        <v>16</v>
      </c>
      <c r="L120" s="6" t="b">
        <v>0</v>
      </c>
      <c r="M120" s="7" t="str">
        <f t="shared" si="4"/>
        <v>No Correlation</v>
      </c>
      <c r="N120" s="4">
        <f t="shared" si="5"/>
        <v>0.504601226993865</v>
      </c>
      <c r="O120" s="4">
        <f>IFERROR(F120/((E120*Factor!$C$2)+Phase1!F120), 0)</f>
        <v>0.1219037286608264</v>
      </c>
    </row>
    <row r="121" spans="1:17" x14ac:dyDescent="0.25">
      <c r="A121" s="6" t="s">
        <v>84</v>
      </c>
      <c r="B121" s="6" t="s">
        <v>17</v>
      </c>
      <c r="C121" s="6">
        <v>167</v>
      </c>
      <c r="D121" s="6">
        <v>8.5073866530820205E-2</v>
      </c>
      <c r="E121" s="6">
        <v>78</v>
      </c>
      <c r="F121" s="6">
        <v>89</v>
      </c>
      <c r="G121" s="6">
        <v>0.53293413173652704</v>
      </c>
      <c r="H121" s="6">
        <v>0.16962941022656</v>
      </c>
      <c r="I121" s="6">
        <v>2.4459750679190098E-3</v>
      </c>
      <c r="J121" s="6">
        <v>7.9937917456218508E-3</v>
      </c>
      <c r="K121" s="6" t="s">
        <v>18</v>
      </c>
      <c r="L121" s="6" t="b">
        <v>0</v>
      </c>
      <c r="M121" s="7" t="str">
        <f t="shared" si="4"/>
        <v>No Correlation</v>
      </c>
      <c r="N121" s="4">
        <f t="shared" si="5"/>
        <v>0.53293413173652693</v>
      </c>
      <c r="O121" s="4">
        <f>IFERROR(F121/((E121*Factor!$C$2)+Phase1!F121), 0)</f>
        <v>0.13458624558814192</v>
      </c>
    </row>
    <row r="122" spans="1:17" x14ac:dyDescent="0.25">
      <c r="A122" s="6" t="s">
        <v>84</v>
      </c>
      <c r="B122" s="6" t="s">
        <v>19</v>
      </c>
      <c r="C122" s="6">
        <v>129</v>
      </c>
      <c r="D122" s="6">
        <v>6.5715741212429998E-2</v>
      </c>
      <c r="E122" s="6">
        <v>70</v>
      </c>
      <c r="F122" s="6">
        <v>59</v>
      </c>
      <c r="G122" s="6">
        <v>0.45736434108527102</v>
      </c>
      <c r="H122" s="6">
        <v>-0.13325593095962801</v>
      </c>
      <c r="I122" s="6">
        <v>1.1637407885467001E-3</v>
      </c>
      <c r="J122" s="6">
        <v>7.9937917456218508E-3</v>
      </c>
      <c r="K122" s="6" t="s">
        <v>20</v>
      </c>
      <c r="L122" s="6" t="b">
        <v>0</v>
      </c>
      <c r="M122" s="7" t="str">
        <f t="shared" si="4"/>
        <v>No Correlation</v>
      </c>
      <c r="N122" s="4">
        <f t="shared" si="5"/>
        <v>0.4573643410852713</v>
      </c>
      <c r="O122" s="4">
        <f>IFERROR(F122/((E122*Factor!$C$2)+Phase1!F122), 0)</f>
        <v>0.10304057004139086</v>
      </c>
    </row>
    <row r="123" spans="1:17" x14ac:dyDescent="0.25">
      <c r="A123" s="6" t="s">
        <v>84</v>
      </c>
      <c r="B123" s="6" t="s">
        <v>21</v>
      </c>
      <c r="C123" s="6">
        <v>257</v>
      </c>
      <c r="D123" s="6">
        <v>0.13092205807437601</v>
      </c>
      <c r="E123" s="6">
        <v>130</v>
      </c>
      <c r="F123" s="6">
        <v>127</v>
      </c>
      <c r="G123" s="6">
        <v>0.49416342412451397</v>
      </c>
      <c r="H123" s="6">
        <v>1.43545031870203E-2</v>
      </c>
      <c r="I123" s="6">
        <v>2.6979907340090001E-5</v>
      </c>
      <c r="J123" s="6">
        <v>7.9937917456218508E-3</v>
      </c>
      <c r="K123" s="6" t="s">
        <v>22</v>
      </c>
      <c r="L123" s="6" t="b">
        <v>0</v>
      </c>
      <c r="M123" s="7" t="str">
        <f t="shared" si="4"/>
        <v>No Correlation</v>
      </c>
      <c r="N123" s="4">
        <f t="shared" si="5"/>
        <v>0.49416342412451364</v>
      </c>
      <c r="O123" s="4">
        <f>IFERROR(F123/((E123*Factor!$C$2)+Phase1!F123), 0)</f>
        <v>0.11750446424440929</v>
      </c>
    </row>
    <row r="124" spans="1:17" x14ac:dyDescent="0.25">
      <c r="M124" s="6" t="str">
        <f t="shared" si="4"/>
        <v/>
      </c>
    </row>
    <row r="125" spans="1:17" x14ac:dyDescent="0.25">
      <c r="A125" s="6" t="s">
        <v>0</v>
      </c>
      <c r="B125" s="6" t="s">
        <v>1</v>
      </c>
      <c r="C125" s="6" t="s">
        <v>2</v>
      </c>
      <c r="D125" s="6" t="s">
        <v>3</v>
      </c>
      <c r="E125" s="6" t="s">
        <v>4</v>
      </c>
      <c r="F125" s="6" t="s">
        <v>5</v>
      </c>
      <c r="G125" s="6" t="s">
        <v>6</v>
      </c>
      <c r="H125" s="6" t="s">
        <v>7</v>
      </c>
      <c r="I125" s="6" t="s">
        <v>8</v>
      </c>
      <c r="J125" s="6" t="s">
        <v>9</v>
      </c>
      <c r="K125" s="6" t="s">
        <v>10</v>
      </c>
      <c r="L125" s="6" t="s">
        <v>11</v>
      </c>
      <c r="M125" s="7" t="str">
        <f t="shared" si="4"/>
        <v/>
      </c>
    </row>
    <row r="126" spans="1:17" x14ac:dyDescent="0.25">
      <c r="A126" s="6" t="s">
        <v>86</v>
      </c>
      <c r="B126" s="6" t="s">
        <v>87</v>
      </c>
      <c r="C126" s="6">
        <v>519</v>
      </c>
      <c r="D126" s="6">
        <v>0.26439123790117203</v>
      </c>
      <c r="E126" s="6">
        <v>288</v>
      </c>
      <c r="F126" s="6">
        <v>231</v>
      </c>
      <c r="G126" s="6">
        <v>0.44508670520231203</v>
      </c>
      <c r="H126" s="6">
        <v>-0.18284090243014101</v>
      </c>
      <c r="I126" s="6">
        <v>8.7991472297221703E-3</v>
      </c>
      <c r="J126" s="6">
        <v>2.69354642381728E-2</v>
      </c>
      <c r="K126" s="6" t="s">
        <v>88</v>
      </c>
      <c r="L126" s="6" t="b">
        <v>0</v>
      </c>
      <c r="M126" s="7" t="str">
        <f t="shared" si="4"/>
        <v>Marginal contribution</v>
      </c>
      <c r="N126" s="4">
        <f t="shared" si="5"/>
        <v>0.44508670520231214</v>
      </c>
      <c r="O126" s="4">
        <f>IFERROR(F126/((E126*Factor!$C$2)+Phase1!F126), 0)</f>
        <v>9.8547133686225918E-2</v>
      </c>
      <c r="P126" s="4">
        <f>(F126+F127)/((F126+F127)+(E126+E127)*Factor!$C$2)</f>
        <v>0.11762429283136851</v>
      </c>
      <c r="Q126" s="12" t="str">
        <f>K127</f>
        <v>3200000</v>
      </c>
    </row>
    <row r="127" spans="1:17" x14ac:dyDescent="0.25">
      <c r="A127" s="6" t="s">
        <v>86</v>
      </c>
      <c r="B127" s="6" t="s">
        <v>89</v>
      </c>
      <c r="C127" s="6">
        <v>923</v>
      </c>
      <c r="D127" s="6">
        <v>0.47019867549668898</v>
      </c>
      <c r="E127" s="6">
        <v>441</v>
      </c>
      <c r="F127" s="6">
        <v>482</v>
      </c>
      <c r="G127" s="6">
        <v>0.52221018418201504</v>
      </c>
      <c r="H127" s="6">
        <v>0.12660110578776601</v>
      </c>
      <c r="I127" s="6">
        <v>7.5351979028425399E-3</v>
      </c>
      <c r="J127" s="6">
        <v>2.69354642381728E-2</v>
      </c>
      <c r="K127" s="6" t="s">
        <v>90</v>
      </c>
      <c r="L127" s="6" t="b">
        <v>0</v>
      </c>
      <c r="M127" s="7" t="str">
        <f t="shared" si="4"/>
        <v>Marginal contribution</v>
      </c>
      <c r="N127" s="4">
        <f t="shared" si="5"/>
        <v>0.52221018418201515</v>
      </c>
      <c r="O127" s="4">
        <f>IFERROR(F127/((E127*Factor!$C$2)+Phase1!F127), 0)</f>
        <v>0.12965294703569519</v>
      </c>
    </row>
    <row r="128" spans="1:17" x14ac:dyDescent="0.25">
      <c r="A128" s="6" t="s">
        <v>86</v>
      </c>
      <c r="B128" s="6" t="s">
        <v>91</v>
      </c>
      <c r="C128" s="6">
        <v>102</v>
      </c>
      <c r="D128" s="6">
        <v>5.19612837493632E-2</v>
      </c>
      <c r="E128" s="6">
        <v>43</v>
      </c>
      <c r="F128" s="6">
        <v>59</v>
      </c>
      <c r="G128" s="6">
        <v>0.57843137254902</v>
      </c>
      <c r="H128" s="6">
        <v>0.35403919539616902</v>
      </c>
      <c r="I128" s="6">
        <v>6.4671894976261702E-3</v>
      </c>
      <c r="J128" s="6">
        <v>2.69354642381728E-2</v>
      </c>
      <c r="K128" s="6" t="s">
        <v>92</v>
      </c>
      <c r="L128" s="6" t="b">
        <v>0</v>
      </c>
      <c r="M128" s="7" t="str">
        <f t="shared" si="4"/>
        <v>Marginal contribution</v>
      </c>
      <c r="N128" s="4">
        <f t="shared" si="5"/>
        <v>0.57843137254901966</v>
      </c>
      <c r="O128" s="4">
        <f>IFERROR(F128/((E128*Factor!$C$2)+Phase1!F128), 0)</f>
        <v>0.15754717736874851</v>
      </c>
      <c r="P128" s="4">
        <f>(F128+F129)/((F128+F129)+(E128+E129)*Factor!$C$2)</f>
        <v>0.11169056174544648</v>
      </c>
    </row>
    <row r="129" spans="1:16" x14ac:dyDescent="0.25">
      <c r="A129" s="6" t="s">
        <v>86</v>
      </c>
      <c r="B129" s="6" t="s">
        <v>93</v>
      </c>
      <c r="C129" s="6">
        <v>419</v>
      </c>
      <c r="D129" s="6">
        <v>0.21344880285277601</v>
      </c>
      <c r="E129" s="6">
        <v>228</v>
      </c>
      <c r="F129" s="6">
        <v>191</v>
      </c>
      <c r="G129" s="6">
        <v>0.45584725536992798</v>
      </c>
      <c r="H129" s="6">
        <v>-0.13937033372379901</v>
      </c>
      <c r="I129" s="6">
        <v>4.1339296079819397E-3</v>
      </c>
      <c r="J129" s="6">
        <v>2.69354642381728E-2</v>
      </c>
      <c r="K129" s="6" t="s">
        <v>22</v>
      </c>
      <c r="L129" s="6" t="b">
        <v>0</v>
      </c>
      <c r="M129" s="7" t="str">
        <f t="shared" si="4"/>
        <v>Marginal contribution</v>
      </c>
      <c r="N129" s="4">
        <f t="shared" si="5"/>
        <v>0.45584725536992843</v>
      </c>
      <c r="O129" s="4">
        <f>IFERROR(F129/((E129*Factor!$C$2)+Phase1!F129), 0)</f>
        <v>0.10247682736034715</v>
      </c>
    </row>
    <row r="130" spans="1:16" x14ac:dyDescent="0.25">
      <c r="M130" s="6" t="str">
        <f t="shared" si="4"/>
        <v/>
      </c>
    </row>
    <row r="131" spans="1:16" x14ac:dyDescent="0.25">
      <c r="A131" s="6" t="s">
        <v>0</v>
      </c>
      <c r="B131" s="6" t="s">
        <v>1</v>
      </c>
      <c r="C131" s="6" t="s">
        <v>2</v>
      </c>
      <c r="D131" s="6" t="s">
        <v>3</v>
      </c>
      <c r="E131" s="6" t="s">
        <v>4</v>
      </c>
      <c r="F131" s="6" t="s">
        <v>5</v>
      </c>
      <c r="G131" s="6" t="s">
        <v>6</v>
      </c>
      <c r="H131" s="6" t="s">
        <v>7</v>
      </c>
      <c r="I131" s="6" t="s">
        <v>8</v>
      </c>
      <c r="J131" s="6" t="s">
        <v>9</v>
      </c>
      <c r="K131" s="6" t="s">
        <v>10</v>
      </c>
      <c r="L131" s="6" t="s">
        <v>11</v>
      </c>
      <c r="M131" s="7" t="str">
        <f t="shared" si="4"/>
        <v/>
      </c>
    </row>
    <row r="132" spans="1:16" x14ac:dyDescent="0.25">
      <c r="A132" s="6" t="s">
        <v>94</v>
      </c>
      <c r="B132" s="6" t="s">
        <v>39</v>
      </c>
      <c r="C132" s="6">
        <v>1782</v>
      </c>
      <c r="D132" s="6">
        <v>0.90779419256240401</v>
      </c>
      <c r="E132" s="6">
        <v>926</v>
      </c>
      <c r="F132" s="6">
        <v>856</v>
      </c>
      <c r="G132" s="6">
        <v>0.480359147025814</v>
      </c>
      <c r="H132" s="6">
        <v>-4.09019913204259E-2</v>
      </c>
      <c r="I132" s="6">
        <v>1.5179183445580299E-3</v>
      </c>
      <c r="J132" s="6">
        <v>1.6602308702285101E-2</v>
      </c>
      <c r="K132" s="6" t="s">
        <v>40</v>
      </c>
      <c r="L132" s="6" t="b">
        <v>0</v>
      </c>
      <c r="M132" s="7" t="str">
        <f t="shared" si="4"/>
        <v>Marginal contribution</v>
      </c>
      <c r="N132" s="4">
        <f t="shared" si="5"/>
        <v>0.48035914702581367</v>
      </c>
      <c r="O132" s="4">
        <f>IFERROR(F132/((E132*Factor!$C$2)+Phase1!F132), 0)</f>
        <v>0.11189451797906998</v>
      </c>
      <c r="P132" s="4" t="s">
        <v>124</v>
      </c>
    </row>
    <row r="133" spans="1:16" x14ac:dyDescent="0.25">
      <c r="A133" s="6" t="s">
        <v>94</v>
      </c>
      <c r="B133" s="6" t="s">
        <v>41</v>
      </c>
      <c r="C133" s="6">
        <v>181</v>
      </c>
      <c r="D133" s="6">
        <v>9.2205807437595502E-2</v>
      </c>
      <c r="E133" s="6">
        <v>74</v>
      </c>
      <c r="F133" s="6">
        <v>107</v>
      </c>
      <c r="G133" s="6">
        <v>0.59116022099447496</v>
      </c>
      <c r="H133" s="6">
        <v>0.40646560844174801</v>
      </c>
      <c r="I133" s="6">
        <v>1.5084390357727099E-2</v>
      </c>
      <c r="J133" s="6">
        <v>1.6602308702285101E-2</v>
      </c>
      <c r="K133" s="6" t="s">
        <v>22</v>
      </c>
      <c r="L133" s="6" t="b">
        <v>0</v>
      </c>
      <c r="M133" s="7" t="str">
        <f t="shared" si="4"/>
        <v>Marginal contribution</v>
      </c>
      <c r="N133" s="4">
        <f t="shared" si="5"/>
        <v>0.59116022099447518</v>
      </c>
      <c r="O133" s="4">
        <f>IFERROR(F133/((E133*Factor!$C$2)+Phase1!F133), 0)</f>
        <v>0.16463108788838321</v>
      </c>
      <c r="P133" s="4" t="s">
        <v>124</v>
      </c>
    </row>
    <row r="134" spans="1:16" x14ac:dyDescent="0.25">
      <c r="M134" s="6" t="str">
        <f t="shared" si="4"/>
        <v/>
      </c>
    </row>
    <row r="135" spans="1:16" x14ac:dyDescent="0.25">
      <c r="A135" s="6" t="s">
        <v>0</v>
      </c>
      <c r="B135" s="6" t="s">
        <v>1</v>
      </c>
      <c r="C135" s="6" t="s">
        <v>2</v>
      </c>
      <c r="D135" s="6" t="s">
        <v>3</v>
      </c>
      <c r="E135" s="6" t="s">
        <v>4</v>
      </c>
      <c r="F135" s="6" t="s">
        <v>5</v>
      </c>
      <c r="G135" s="6" t="s">
        <v>6</v>
      </c>
      <c r="H135" s="6" t="s">
        <v>7</v>
      </c>
      <c r="I135" s="6" t="s">
        <v>8</v>
      </c>
      <c r="J135" s="6" t="s">
        <v>9</v>
      </c>
      <c r="K135" s="6" t="s">
        <v>10</v>
      </c>
      <c r="L135" s="6" t="s">
        <v>11</v>
      </c>
      <c r="M135" s="7" t="str">
        <f t="shared" si="4"/>
        <v/>
      </c>
    </row>
    <row r="136" spans="1:16" x14ac:dyDescent="0.25">
      <c r="A136" s="6" t="s">
        <v>95</v>
      </c>
      <c r="B136" s="6" t="s">
        <v>24</v>
      </c>
      <c r="C136" s="6">
        <v>1818</v>
      </c>
      <c r="D136" s="6">
        <v>0.92613346917982697</v>
      </c>
      <c r="E136" s="6">
        <v>935</v>
      </c>
      <c r="F136" s="6">
        <v>883</v>
      </c>
      <c r="G136" s="6">
        <v>0.48569856985698601</v>
      </c>
      <c r="H136" s="6">
        <v>-1.9519461500715599E-2</v>
      </c>
      <c r="I136" s="6">
        <v>3.5278943657316401E-4</v>
      </c>
      <c r="J136" s="6">
        <v>4.7870201139387598E-3</v>
      </c>
      <c r="K136" s="6" t="s">
        <v>25</v>
      </c>
      <c r="L136" s="6" t="b">
        <v>0</v>
      </c>
      <c r="M136" s="7" t="str">
        <f t="shared" ref="M136:M168" si="6">IFERROR(IF(NOT(ISNUMBER(J136)), "", IF(J136&lt;0.01,"No Correlation",IF(J136&lt;0.03,"Marginal contribution",IF(J136&lt;0.1,"Adequate predictability",IF(J136&lt;0.3,"Strong Predictor",IF(J136&lt;0.5,"Very Strong predictor",IF(J136&gt;=0.5,"Extremely high correlation", ))))))), "")</f>
        <v>No Correlation</v>
      </c>
      <c r="N136" s="4">
        <f t="shared" ref="N136:N168" si="7">IFERROR(F136/C136, 0)</f>
        <v>0.48569856985698567</v>
      </c>
      <c r="O136" s="4">
        <f>IFERROR(F136/((E136*Factor!$C$2)+Phase1!F136), 0)</f>
        <v>0.11403708723708027</v>
      </c>
    </row>
    <row r="137" spans="1:16" x14ac:dyDescent="0.25">
      <c r="A137" s="6" t="s">
        <v>95</v>
      </c>
      <c r="B137" s="6" t="s">
        <v>45</v>
      </c>
      <c r="C137" s="6">
        <v>145</v>
      </c>
      <c r="D137" s="6">
        <v>7.3866530820173207E-2</v>
      </c>
      <c r="E137" s="6">
        <v>65</v>
      </c>
      <c r="F137" s="6">
        <v>80</v>
      </c>
      <c r="G137" s="6">
        <v>0.55172413793103403</v>
      </c>
      <c r="H137" s="6">
        <v>0.24534123196225599</v>
      </c>
      <c r="I137" s="6">
        <v>4.4342306773655898E-3</v>
      </c>
      <c r="J137" s="6">
        <v>4.7870201139387598E-3</v>
      </c>
      <c r="K137" s="6" t="s">
        <v>22</v>
      </c>
      <c r="L137" s="6" t="b">
        <v>0</v>
      </c>
      <c r="M137" s="7" t="str">
        <f t="shared" si="6"/>
        <v>No Correlation</v>
      </c>
      <c r="N137" s="4">
        <f t="shared" si="7"/>
        <v>0.55172413793103448</v>
      </c>
      <c r="O137" s="4">
        <f>IFERROR(F137/((E137*Factor!$C$2)+Phase1!F137), 0)</f>
        <v>0.14365107154721182</v>
      </c>
    </row>
    <row r="138" spans="1:16" x14ac:dyDescent="0.25">
      <c r="M138" s="6" t="str">
        <f t="shared" si="6"/>
        <v/>
      </c>
    </row>
    <row r="139" spans="1:16" x14ac:dyDescent="0.25">
      <c r="A139" s="6" t="s">
        <v>0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7" t="str">
        <f t="shared" si="6"/>
        <v/>
      </c>
    </row>
    <row r="140" spans="1:16" x14ac:dyDescent="0.25">
      <c r="A140" s="6" t="s">
        <v>96</v>
      </c>
      <c r="B140" s="6" t="s">
        <v>24</v>
      </c>
      <c r="C140" s="6">
        <v>1596</v>
      </c>
      <c r="D140" s="6">
        <v>0.81304126337238902</v>
      </c>
      <c r="E140" s="6">
        <v>828</v>
      </c>
      <c r="F140" s="6">
        <v>768</v>
      </c>
      <c r="G140" s="6">
        <v>0.48120300751879702</v>
      </c>
      <c r="H140" s="6">
        <v>-3.7521554053576101E-2</v>
      </c>
      <c r="I140" s="6">
        <v>1.1441151746928401E-3</v>
      </c>
      <c r="J140" s="6">
        <v>6.3921172416688404E-3</v>
      </c>
      <c r="K140" s="6" t="s">
        <v>25</v>
      </c>
      <c r="L140" s="6" t="b">
        <v>0</v>
      </c>
      <c r="M140" s="7" t="str">
        <f t="shared" si="6"/>
        <v>No Correlation</v>
      </c>
      <c r="N140" s="4">
        <f t="shared" si="7"/>
        <v>0.48120300751879697</v>
      </c>
      <c r="O140" s="4">
        <f>IFERROR(F140/((E140*Factor!$C$2)+Phase1!F140), 0)</f>
        <v>0.11223088699226484</v>
      </c>
    </row>
    <row r="141" spans="1:16" x14ac:dyDescent="0.25">
      <c r="A141" s="6" t="s">
        <v>96</v>
      </c>
      <c r="B141" s="6" t="s">
        <v>26</v>
      </c>
      <c r="C141" s="6">
        <v>200</v>
      </c>
      <c r="D141" s="6">
        <v>0.10188487009679099</v>
      </c>
      <c r="E141" s="6">
        <v>92</v>
      </c>
      <c r="F141" s="6">
        <v>108</v>
      </c>
      <c r="G141" s="6">
        <v>0.54</v>
      </c>
      <c r="H141" s="6">
        <v>0.19804451725919101</v>
      </c>
      <c r="I141" s="6">
        <v>3.9905044786057503E-3</v>
      </c>
      <c r="J141" s="6">
        <v>6.3921172416688404E-3</v>
      </c>
      <c r="K141" s="6" t="s">
        <v>27</v>
      </c>
      <c r="L141" s="6" t="b">
        <v>0</v>
      </c>
      <c r="M141" s="7" t="str">
        <f t="shared" si="6"/>
        <v>No Correlation</v>
      </c>
      <c r="N141" s="4">
        <f t="shared" si="7"/>
        <v>0.54</v>
      </c>
      <c r="O141" s="4">
        <f>IFERROR(F141/((E141*Factor!$C$2)+Phase1!F141), 0)</f>
        <v>0.13793032985782958</v>
      </c>
    </row>
    <row r="142" spans="1:16" x14ac:dyDescent="0.25">
      <c r="A142" s="6" t="s">
        <v>96</v>
      </c>
      <c r="B142" s="6" t="s">
        <v>51</v>
      </c>
      <c r="C142" s="6">
        <v>167</v>
      </c>
      <c r="D142" s="6">
        <v>8.5073866530820205E-2</v>
      </c>
      <c r="E142" s="6">
        <v>80</v>
      </c>
      <c r="F142" s="6">
        <v>87</v>
      </c>
      <c r="G142" s="6">
        <v>0.52095808383233499</v>
      </c>
      <c r="H142" s="6">
        <v>0.121583351164713</v>
      </c>
      <c r="I142" s="6">
        <v>1.2574975883702399E-3</v>
      </c>
      <c r="J142" s="6">
        <v>6.3921172416688404E-3</v>
      </c>
      <c r="K142" s="6" t="s">
        <v>22</v>
      </c>
      <c r="L142" s="6" t="b">
        <v>0</v>
      </c>
      <c r="M142" s="7" t="str">
        <f t="shared" si="6"/>
        <v>No Correlation</v>
      </c>
      <c r="N142" s="4">
        <f t="shared" si="7"/>
        <v>0.52095808383233533</v>
      </c>
      <c r="O142" s="4">
        <f>IFERROR(F142/((E142*Factor!$C$2)+Phase1!F142), 0)</f>
        <v>0.12908777969018931</v>
      </c>
    </row>
    <row r="143" spans="1:16" x14ac:dyDescent="0.25">
      <c r="M143" s="6" t="str">
        <f t="shared" si="6"/>
        <v/>
      </c>
    </row>
    <row r="144" spans="1:16" x14ac:dyDescent="0.25">
      <c r="A144" s="6" t="s">
        <v>0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7" t="str">
        <f t="shared" si="6"/>
        <v/>
      </c>
    </row>
    <row r="145" spans="1:17" x14ac:dyDescent="0.25">
      <c r="A145" s="6" t="s">
        <v>97</v>
      </c>
      <c r="B145" s="6" t="s">
        <v>24</v>
      </c>
      <c r="C145" s="6">
        <v>1501</v>
      </c>
      <c r="D145" s="6">
        <v>0.764645950076414</v>
      </c>
      <c r="E145" s="6">
        <v>782</v>
      </c>
      <c r="F145" s="6">
        <v>719</v>
      </c>
      <c r="G145" s="6">
        <v>0.47901399067288503</v>
      </c>
      <c r="H145" s="6">
        <v>-4.6291515640252898E-2</v>
      </c>
      <c r="I145" s="6">
        <v>1.63755635701024E-3</v>
      </c>
      <c r="J145" s="6">
        <v>8.4965888745687692E-3</v>
      </c>
      <c r="K145" s="6" t="s">
        <v>25</v>
      </c>
      <c r="L145" s="6" t="b">
        <v>0</v>
      </c>
      <c r="M145" s="7" t="str">
        <f t="shared" si="6"/>
        <v>No Correlation</v>
      </c>
      <c r="N145" s="4">
        <f t="shared" si="7"/>
        <v>0.47901399067288475</v>
      </c>
      <c r="O145" s="4">
        <f>IFERROR(F145/((E145*Factor!$C$2)+Phase1!F145), 0)</f>
        <v>0.11136005788864428</v>
      </c>
    </row>
    <row r="146" spans="1:17" x14ac:dyDescent="0.25">
      <c r="A146" s="6" t="s">
        <v>97</v>
      </c>
      <c r="B146" s="6" t="s">
        <v>26</v>
      </c>
      <c r="C146" s="6">
        <v>216</v>
      </c>
      <c r="D146" s="6">
        <v>0.11003565970453399</v>
      </c>
      <c r="E146" s="6">
        <v>98</v>
      </c>
      <c r="F146" s="6">
        <v>118</v>
      </c>
      <c r="G146" s="6">
        <v>0.54629629629629595</v>
      </c>
      <c r="H146" s="6">
        <v>0.22341901297910399</v>
      </c>
      <c r="I146" s="6">
        <v>5.4813059196721896E-3</v>
      </c>
      <c r="J146" s="6">
        <v>8.4965888745687692E-3</v>
      </c>
      <c r="K146" s="6" t="s">
        <v>27</v>
      </c>
      <c r="L146" s="6" t="b">
        <v>0</v>
      </c>
      <c r="M146" s="7" t="str">
        <f t="shared" si="6"/>
        <v>No Correlation</v>
      </c>
      <c r="N146" s="4">
        <f t="shared" si="7"/>
        <v>0.54629629629629628</v>
      </c>
      <c r="O146" s="4">
        <f>IFERROR(F146/((E146*Factor!$C$2)+Phase1!F146), 0)</f>
        <v>0.14097531020541776</v>
      </c>
    </row>
    <row r="147" spans="1:17" x14ac:dyDescent="0.25">
      <c r="A147" s="6" t="s">
        <v>97</v>
      </c>
      <c r="B147" s="6" t="s">
        <v>48</v>
      </c>
      <c r="C147" s="6">
        <v>107</v>
      </c>
      <c r="D147" s="6">
        <v>5.4508405501783E-2</v>
      </c>
      <c r="E147" s="6">
        <v>54</v>
      </c>
      <c r="F147" s="6">
        <v>53</v>
      </c>
      <c r="G147" s="6">
        <v>0.49532710280373798</v>
      </c>
      <c r="H147" s="6">
        <v>1.9009734171858899E-2</v>
      </c>
      <c r="I147" s="6">
        <v>1.9700638321407299E-5</v>
      </c>
      <c r="J147" s="6">
        <v>8.4965888745687692E-3</v>
      </c>
      <c r="K147" s="6" t="s">
        <v>14</v>
      </c>
      <c r="L147" s="6" t="b">
        <v>0</v>
      </c>
      <c r="M147" s="7" t="str">
        <f t="shared" si="6"/>
        <v>No Correlation</v>
      </c>
      <c r="N147" s="4">
        <f t="shared" si="7"/>
        <v>0.49532710280373832</v>
      </c>
      <c r="O147" s="4">
        <f>IFERROR(F147/((E147*Factor!$C$2)+Phase1!F147), 0)</f>
        <v>0.11798805871798183</v>
      </c>
    </row>
    <row r="148" spans="1:17" x14ac:dyDescent="0.25">
      <c r="A148" s="6" t="s">
        <v>97</v>
      </c>
      <c r="B148" s="6" t="s">
        <v>53</v>
      </c>
      <c r="C148" s="6">
        <v>139</v>
      </c>
      <c r="D148" s="6">
        <v>7.08099847172695E-2</v>
      </c>
      <c r="E148" s="6">
        <v>66</v>
      </c>
      <c r="F148" s="6">
        <v>73</v>
      </c>
      <c r="G148" s="6">
        <v>0.52517985611510798</v>
      </c>
      <c r="H148" s="6">
        <v>0.13850656630597699</v>
      </c>
      <c r="I148" s="6">
        <v>1.35802595956494E-3</v>
      </c>
      <c r="J148" s="6">
        <v>8.4965888745687692E-3</v>
      </c>
      <c r="K148" s="6" t="s">
        <v>22</v>
      </c>
      <c r="L148" s="6" t="b">
        <v>0</v>
      </c>
      <c r="M148" s="7" t="str">
        <f t="shared" si="6"/>
        <v>No Correlation</v>
      </c>
      <c r="N148" s="4">
        <f t="shared" si="7"/>
        <v>0.52517985611510787</v>
      </c>
      <c r="O148" s="4">
        <f>IFERROR(F148/((E148*Factor!$C$2)+Phase1!F148), 0)</f>
        <v>0.13100232932908862</v>
      </c>
    </row>
    <row r="149" spans="1:17" x14ac:dyDescent="0.25">
      <c r="M149" s="6" t="str">
        <f t="shared" si="6"/>
        <v/>
      </c>
    </row>
    <row r="150" spans="1:17" x14ac:dyDescent="0.25">
      <c r="A150" s="6" t="s">
        <v>0</v>
      </c>
      <c r="B150" s="6" t="s">
        <v>1</v>
      </c>
      <c r="C150" s="6" t="s">
        <v>2</v>
      </c>
      <c r="D150" s="6" t="s">
        <v>3</v>
      </c>
      <c r="E150" s="6" t="s">
        <v>4</v>
      </c>
      <c r="F150" s="6" t="s">
        <v>5</v>
      </c>
      <c r="G150" s="6" t="s">
        <v>6</v>
      </c>
      <c r="H150" s="6" t="s">
        <v>7</v>
      </c>
      <c r="I150" s="6" t="s">
        <v>8</v>
      </c>
      <c r="J150" s="6" t="s">
        <v>9</v>
      </c>
      <c r="K150" s="6" t="s">
        <v>10</v>
      </c>
      <c r="L150" s="6" t="s">
        <v>11</v>
      </c>
      <c r="M150" s="7" t="str">
        <f t="shared" si="6"/>
        <v/>
      </c>
    </row>
    <row r="151" spans="1:17" x14ac:dyDescent="0.25">
      <c r="A151" s="6" t="s">
        <v>98</v>
      </c>
      <c r="B151" s="6" t="s">
        <v>99</v>
      </c>
      <c r="C151" s="6">
        <v>1147</v>
      </c>
      <c r="D151" s="6">
        <v>0.58430973000509401</v>
      </c>
      <c r="E151" s="6">
        <v>573</v>
      </c>
      <c r="F151" s="6">
        <v>574</v>
      </c>
      <c r="G151" s="6">
        <v>0.50043591979075897</v>
      </c>
      <c r="H151" s="6">
        <v>3.9445546788838499E-2</v>
      </c>
      <c r="I151" s="6">
        <v>9.0937755374766996E-4</v>
      </c>
      <c r="J151" s="6">
        <v>7.7692916392359899E-3</v>
      </c>
      <c r="K151" s="6" t="s">
        <v>27</v>
      </c>
      <c r="L151" s="6" t="b">
        <v>0</v>
      </c>
      <c r="M151" s="7" t="str">
        <f t="shared" si="6"/>
        <v>No Correlation</v>
      </c>
      <c r="N151" s="4">
        <f t="shared" si="7"/>
        <v>0.50043591979075852</v>
      </c>
      <c r="O151" s="4">
        <f>IFERROR(F151/((E151*Factor!$C$2)+Phase1!F151), 0)</f>
        <v>0.12013140785429191</v>
      </c>
    </row>
    <row r="152" spans="1:17" x14ac:dyDescent="0.25">
      <c r="A152" s="6" t="s">
        <v>98</v>
      </c>
      <c r="B152" s="6" t="s">
        <v>48</v>
      </c>
      <c r="C152" s="6">
        <v>283</v>
      </c>
      <c r="D152" s="6">
        <v>0.144167091186959</v>
      </c>
      <c r="E152" s="6">
        <v>152</v>
      </c>
      <c r="F152" s="6">
        <v>131</v>
      </c>
      <c r="G152" s="6">
        <v>0.46289752650176702</v>
      </c>
      <c r="H152" s="6">
        <v>-0.110981330461113</v>
      </c>
      <c r="I152" s="6">
        <v>1.7720134342368401E-3</v>
      </c>
      <c r="J152" s="6">
        <v>7.7692916392359899E-3</v>
      </c>
      <c r="K152" s="6" t="s">
        <v>14</v>
      </c>
      <c r="L152" s="6" t="b">
        <v>0</v>
      </c>
      <c r="M152" s="7" t="str">
        <f t="shared" si="6"/>
        <v>No Correlation</v>
      </c>
      <c r="N152" s="4">
        <f t="shared" si="7"/>
        <v>0.4628975265017668</v>
      </c>
      <c r="O152" s="4">
        <f>IFERROR(F152/((E152*Factor!$C$2)+Phase1!F152), 0)</f>
        <v>0.10511753906199849</v>
      </c>
    </row>
    <row r="153" spans="1:17" x14ac:dyDescent="0.25">
      <c r="A153" s="6" t="s">
        <v>98</v>
      </c>
      <c r="B153" s="6" t="s">
        <v>15</v>
      </c>
      <c r="C153" s="6">
        <v>154</v>
      </c>
      <c r="D153" s="6">
        <v>7.8451349974528795E-2</v>
      </c>
      <c r="E153" s="6">
        <v>79</v>
      </c>
      <c r="F153" s="6">
        <v>75</v>
      </c>
      <c r="G153" s="6">
        <v>0.48701298701298701</v>
      </c>
      <c r="H153" s="6">
        <v>-1.42578717466996E-2</v>
      </c>
      <c r="I153" s="6">
        <v>1.59457194924149E-5</v>
      </c>
      <c r="J153" s="6">
        <v>7.7692916392359899E-3</v>
      </c>
      <c r="K153" s="6" t="s">
        <v>16</v>
      </c>
      <c r="L153" s="6" t="b">
        <v>0</v>
      </c>
      <c r="M153" s="7" t="str">
        <f t="shared" si="6"/>
        <v>No Correlation</v>
      </c>
      <c r="N153" s="4">
        <f t="shared" si="7"/>
        <v>0.48701298701298701</v>
      </c>
      <c r="O153" s="4">
        <f>IFERROR(F153/((E153*Factor!$C$2)+Phase1!F153), 0)</f>
        <v>0.11456975999926676</v>
      </c>
    </row>
    <row r="154" spans="1:17" x14ac:dyDescent="0.25">
      <c r="A154" s="6" t="s">
        <v>98</v>
      </c>
      <c r="B154" s="6" t="s">
        <v>78</v>
      </c>
      <c r="C154" s="6">
        <v>175</v>
      </c>
      <c r="D154" s="6">
        <v>8.9149261334691796E-2</v>
      </c>
      <c r="E154" s="6">
        <v>83</v>
      </c>
      <c r="F154" s="6">
        <v>92</v>
      </c>
      <c r="G154" s="6">
        <v>0.52571428571428602</v>
      </c>
      <c r="H154" s="6">
        <v>0.14064983643645401</v>
      </c>
      <c r="I154" s="6">
        <v>1.76301575869619E-3</v>
      </c>
      <c r="J154" s="6">
        <v>7.7692916392359899E-3</v>
      </c>
      <c r="K154" s="6" t="s">
        <v>20</v>
      </c>
      <c r="L154" s="6" t="b">
        <v>0</v>
      </c>
      <c r="M154" s="7" t="str">
        <f t="shared" si="6"/>
        <v>No Correlation</v>
      </c>
      <c r="N154" s="4">
        <f t="shared" si="7"/>
        <v>0.52571428571428569</v>
      </c>
      <c r="O154" s="4">
        <f>IFERROR(F154/((E154*Factor!$C$2)+Phase1!F154), 0)</f>
        <v>0.13124651376447813</v>
      </c>
    </row>
    <row r="155" spans="1:17" x14ac:dyDescent="0.25">
      <c r="A155" s="6" t="s">
        <v>98</v>
      </c>
      <c r="B155" s="6" t="s">
        <v>21</v>
      </c>
      <c r="C155" s="6">
        <v>204</v>
      </c>
      <c r="D155" s="6">
        <v>0.103922567498726</v>
      </c>
      <c r="E155" s="6">
        <v>113</v>
      </c>
      <c r="F155" s="6">
        <v>91</v>
      </c>
      <c r="G155" s="6">
        <v>0.44607843137254899</v>
      </c>
      <c r="H155" s="6">
        <v>-0.17882644501147901</v>
      </c>
      <c r="I155" s="6">
        <v>3.3089391730628699E-3</v>
      </c>
      <c r="J155" s="6">
        <v>7.7692916392359899E-3</v>
      </c>
      <c r="K155" s="6" t="s">
        <v>22</v>
      </c>
      <c r="L155" s="6" t="b">
        <v>0</v>
      </c>
      <c r="M155" s="7" t="str">
        <f t="shared" si="6"/>
        <v>No Correlation</v>
      </c>
      <c r="N155" s="4">
        <f t="shared" si="7"/>
        <v>0.44607843137254904</v>
      </c>
      <c r="O155" s="4">
        <f>IFERROR(F155/((E155*Factor!$C$2)+Phase1!F155), 0)</f>
        <v>9.8904335596539869E-2</v>
      </c>
    </row>
    <row r="156" spans="1:17" x14ac:dyDescent="0.25">
      <c r="M156" s="6" t="str">
        <f t="shared" si="6"/>
        <v/>
      </c>
    </row>
    <row r="157" spans="1:17" x14ac:dyDescent="0.25">
      <c r="A157" s="6" t="s">
        <v>0</v>
      </c>
      <c r="B157" s="6" t="s">
        <v>1</v>
      </c>
      <c r="C157" s="6" t="s">
        <v>2</v>
      </c>
      <c r="D157" s="6" t="s">
        <v>3</v>
      </c>
      <c r="E157" s="6" t="s">
        <v>4</v>
      </c>
      <c r="F157" s="6" t="s">
        <v>5</v>
      </c>
      <c r="G157" s="6" t="s">
        <v>6</v>
      </c>
      <c r="H157" s="6" t="s">
        <v>7</v>
      </c>
      <c r="I157" s="6" t="s">
        <v>8</v>
      </c>
      <c r="J157" s="6" t="s">
        <v>9</v>
      </c>
      <c r="K157" s="6" t="s">
        <v>10</v>
      </c>
      <c r="L157" s="6" t="s">
        <v>11</v>
      </c>
      <c r="M157" s="7" t="str">
        <f t="shared" si="6"/>
        <v/>
      </c>
    </row>
    <row r="158" spans="1:17" x14ac:dyDescent="0.25">
      <c r="A158" s="6" t="s">
        <v>100</v>
      </c>
      <c r="B158" s="6" t="s">
        <v>99</v>
      </c>
      <c r="C158" s="6">
        <v>1522</v>
      </c>
      <c r="D158" s="6">
        <v>0.77534386143657696</v>
      </c>
      <c r="E158" s="6">
        <v>804</v>
      </c>
      <c r="F158" s="6">
        <v>718</v>
      </c>
      <c r="G158" s="6">
        <v>0.47174770039421798</v>
      </c>
      <c r="H158" s="6">
        <v>-7.5427832946730694E-2</v>
      </c>
      <c r="I158" s="6">
        <v>4.4059880154927204E-3</v>
      </c>
      <c r="J158" s="6">
        <v>1.98326259509237E-2</v>
      </c>
      <c r="K158" s="6" t="s">
        <v>27</v>
      </c>
      <c r="L158" s="6" t="b">
        <v>0</v>
      </c>
      <c r="M158" s="7" t="str">
        <f t="shared" si="6"/>
        <v>Marginal contribution</v>
      </c>
      <c r="N158" s="4">
        <f t="shared" si="7"/>
        <v>0.47174770039421815</v>
      </c>
      <c r="O158" s="4">
        <f>IFERROR(F158/((E158*Factor!$C$2)+Phase1!F158), 0)</f>
        <v>0.10850924021165045</v>
      </c>
      <c r="P158" s="4">
        <f>O158</f>
        <v>0.10850924021165045</v>
      </c>
      <c r="Q158" s="12">
        <v>2</v>
      </c>
    </row>
    <row r="159" spans="1:17" x14ac:dyDescent="0.25">
      <c r="A159" s="6" t="s">
        <v>100</v>
      </c>
      <c r="B159" s="6" t="s">
        <v>48</v>
      </c>
      <c r="C159" s="6">
        <v>260</v>
      </c>
      <c r="D159" s="6">
        <v>0.13245033112582799</v>
      </c>
      <c r="E159" s="6">
        <v>114</v>
      </c>
      <c r="F159" s="6">
        <v>146</v>
      </c>
      <c r="G159" s="6">
        <v>0.56153846153846199</v>
      </c>
      <c r="H159" s="6">
        <v>0.28511004049785199</v>
      </c>
      <c r="I159" s="6">
        <v>1.07228613154218E-2</v>
      </c>
      <c r="J159" s="6">
        <v>1.98326259509237E-2</v>
      </c>
      <c r="K159" s="6" t="s">
        <v>14</v>
      </c>
      <c r="L159" s="6" t="b">
        <v>0</v>
      </c>
      <c r="M159" s="7" t="str">
        <f t="shared" si="6"/>
        <v>Marginal contribution</v>
      </c>
      <c r="N159" s="4">
        <f t="shared" si="7"/>
        <v>0.56153846153846154</v>
      </c>
      <c r="O159" s="4">
        <f>IFERROR(F159/((E159*Factor!$C$2)+Phase1!F159), 0)</f>
        <v>0.14861291222269951</v>
      </c>
      <c r="P159" s="4">
        <f>(F159+F160)/((F159+F160)+(E159+E160)*Factor!$C$2)</f>
        <v>0.14556888319552813</v>
      </c>
    </row>
    <row r="160" spans="1:17" x14ac:dyDescent="0.25">
      <c r="A160" s="6" t="s">
        <v>100</v>
      </c>
      <c r="B160" s="6" t="s">
        <v>53</v>
      </c>
      <c r="C160" s="6">
        <v>181</v>
      </c>
      <c r="D160" s="6">
        <v>9.2205807437595502E-2</v>
      </c>
      <c r="E160" s="6">
        <v>82</v>
      </c>
      <c r="F160" s="6">
        <v>99</v>
      </c>
      <c r="G160" s="6">
        <v>0.54696132596685099</v>
      </c>
      <c r="H160" s="6">
        <v>0.226102470054348</v>
      </c>
      <c r="I160" s="6">
        <v>4.7037766200091497E-3</v>
      </c>
      <c r="J160" s="6">
        <v>1.98326259509237E-2</v>
      </c>
      <c r="K160" s="6" t="s">
        <v>22</v>
      </c>
      <c r="L160" s="6" t="b">
        <v>0</v>
      </c>
      <c r="M160" s="7" t="str">
        <f t="shared" si="6"/>
        <v>Marginal contribution</v>
      </c>
      <c r="N160" s="4">
        <f t="shared" si="7"/>
        <v>0.54696132596685088</v>
      </c>
      <c r="O160" s="4">
        <f>IFERROR(F160/((E160*Factor!$C$2)+Phase1!F160), 0)</f>
        <v>0.14130059346249255</v>
      </c>
    </row>
    <row r="161" spans="1:17" x14ac:dyDescent="0.25">
      <c r="M161" s="6" t="str">
        <f t="shared" si="6"/>
        <v/>
      </c>
    </row>
    <row r="162" spans="1:17" x14ac:dyDescent="0.25">
      <c r="A162" s="6" t="s">
        <v>0</v>
      </c>
      <c r="B162" s="6" t="s">
        <v>1</v>
      </c>
      <c r="C162" s="6" t="s">
        <v>2</v>
      </c>
      <c r="D162" s="6" t="s">
        <v>3</v>
      </c>
      <c r="E162" s="6" t="s">
        <v>4</v>
      </c>
      <c r="F162" s="6" t="s">
        <v>5</v>
      </c>
      <c r="G162" s="6" t="s">
        <v>6</v>
      </c>
      <c r="H162" s="6" t="s">
        <v>7</v>
      </c>
      <c r="I162" s="6" t="s">
        <v>8</v>
      </c>
      <c r="J162" s="6" t="s">
        <v>9</v>
      </c>
      <c r="K162" s="6" t="s">
        <v>10</v>
      </c>
      <c r="L162" s="6" t="s">
        <v>11</v>
      </c>
      <c r="M162" s="7" t="str">
        <f t="shared" si="6"/>
        <v/>
      </c>
    </row>
    <row r="163" spans="1:17" x14ac:dyDescent="0.25">
      <c r="A163" s="6" t="s">
        <v>101</v>
      </c>
      <c r="B163" s="6" t="s">
        <v>24</v>
      </c>
      <c r="C163" s="6">
        <v>437</v>
      </c>
      <c r="D163" s="6">
        <v>0.22261844116148799</v>
      </c>
      <c r="E163" s="6">
        <v>250</v>
      </c>
      <c r="F163" s="6">
        <v>187</v>
      </c>
      <c r="G163" s="6">
        <v>0.4279176201373</v>
      </c>
      <c r="H163" s="6">
        <v>-0.25265043382364799</v>
      </c>
      <c r="I163" s="6">
        <v>1.4101724629305401E-2</v>
      </c>
      <c r="J163" s="6">
        <v>3.29130808090927E-2</v>
      </c>
      <c r="K163" s="6" t="s">
        <v>25</v>
      </c>
      <c r="L163" s="6" t="b">
        <v>0</v>
      </c>
      <c r="M163" s="7" t="str">
        <f t="shared" si="6"/>
        <v>Adequate predictability</v>
      </c>
      <c r="N163" s="4">
        <f t="shared" si="7"/>
        <v>0.42791762013729978</v>
      </c>
      <c r="O163" s="4">
        <f>IFERROR(F163/((E163*Factor!$C$2)+Phase1!F163), 0)</f>
        <v>9.2517006802721083E-2</v>
      </c>
      <c r="P163" s="4">
        <f>O163</f>
        <v>9.2517006802721083E-2</v>
      </c>
      <c r="Q163" s="12" t="s">
        <v>127</v>
      </c>
    </row>
    <row r="164" spans="1:17" x14ac:dyDescent="0.25">
      <c r="A164" s="6" t="s">
        <v>101</v>
      </c>
      <c r="B164" s="6" t="s">
        <v>26</v>
      </c>
      <c r="C164" s="6">
        <v>451</v>
      </c>
      <c r="D164" s="6">
        <v>0.22975038206826301</v>
      </c>
      <c r="E164" s="6">
        <v>230</v>
      </c>
      <c r="F164" s="6">
        <v>221</v>
      </c>
      <c r="G164" s="6">
        <v>0.49002217294900202</v>
      </c>
      <c r="H164" s="6">
        <v>-2.21474022143102E-3</v>
      </c>
      <c r="I164" s="6">
        <v>1.12691870041662E-6</v>
      </c>
      <c r="J164" s="6">
        <v>3.29130808090927E-2</v>
      </c>
      <c r="K164" s="6" t="s">
        <v>27</v>
      </c>
      <c r="L164" s="6" t="b">
        <v>0</v>
      </c>
      <c r="M164" s="7" t="str">
        <f t="shared" si="6"/>
        <v>Adequate predictability</v>
      </c>
      <c r="N164" s="4">
        <f t="shared" si="7"/>
        <v>0.49002217294900224</v>
      </c>
      <c r="O164" s="4">
        <f>IFERROR(F164/((E164*Factor!$C$2)+Phase1!F164), 0)</f>
        <v>0.11579714017741589</v>
      </c>
      <c r="P164" s="4">
        <f>O164</f>
        <v>0.11579714017741589</v>
      </c>
    </row>
    <row r="165" spans="1:17" x14ac:dyDescent="0.25">
      <c r="A165" s="6" t="s">
        <v>101</v>
      </c>
      <c r="B165" s="6" t="s">
        <v>85</v>
      </c>
      <c r="C165" s="6">
        <v>631</v>
      </c>
      <c r="D165" s="6">
        <v>0.32144676515537401</v>
      </c>
      <c r="E165" s="6">
        <v>308</v>
      </c>
      <c r="F165" s="6">
        <v>323</v>
      </c>
      <c r="G165" s="6">
        <v>0.51188589540411999</v>
      </c>
      <c r="H165" s="6">
        <v>8.5254407433093607E-2</v>
      </c>
      <c r="I165" s="6">
        <v>2.33683835784418E-3</v>
      </c>
      <c r="J165" s="6">
        <v>3.29130808090927E-2</v>
      </c>
      <c r="K165" s="6" t="s">
        <v>16</v>
      </c>
      <c r="L165" s="6" t="b">
        <v>0</v>
      </c>
      <c r="M165" s="7" t="str">
        <f t="shared" si="6"/>
        <v>Adequate predictability</v>
      </c>
      <c r="N165" s="4">
        <f t="shared" si="7"/>
        <v>0.51188589540412044</v>
      </c>
      <c r="O165" s="4">
        <f>IFERROR(F165/((E165*Factor!$C$2)+Phase1!F165), 0)</f>
        <v>0.12505827018471455</v>
      </c>
      <c r="P165" s="4">
        <f>O165</f>
        <v>0.12505827018471455</v>
      </c>
    </row>
    <row r="166" spans="1:17" x14ac:dyDescent="0.25">
      <c r="A166" s="6" t="s">
        <v>101</v>
      </c>
      <c r="B166" s="6" t="s">
        <v>17</v>
      </c>
      <c r="C166" s="6">
        <v>176</v>
      </c>
      <c r="D166" s="6">
        <v>8.9658685685175807E-2</v>
      </c>
      <c r="E166" s="6">
        <v>73</v>
      </c>
      <c r="F166" s="6">
        <v>103</v>
      </c>
      <c r="G166" s="6">
        <v>0.58522727272727304</v>
      </c>
      <c r="H166" s="6">
        <v>0.38197141426525599</v>
      </c>
      <c r="I166" s="6">
        <v>1.29707655429783E-2</v>
      </c>
      <c r="J166" s="6">
        <v>3.29130808090927E-2</v>
      </c>
      <c r="K166" s="6" t="s">
        <v>18</v>
      </c>
      <c r="L166" s="6" t="b">
        <v>0</v>
      </c>
      <c r="M166" s="7" t="str">
        <f t="shared" si="6"/>
        <v>Adequate predictability</v>
      </c>
      <c r="N166" s="4">
        <f t="shared" si="7"/>
        <v>0.58522727272727271</v>
      </c>
      <c r="O166" s="4">
        <f>IFERROR(F166/((E166*Factor!$C$2)+Phase1!F166), 0)</f>
        <v>0.16129007001241777</v>
      </c>
      <c r="P166" s="4">
        <f>(F166+F167)/((F166+F167)+(E166+E167)*Factor!$C$2)</f>
        <v>0.12926059162043649</v>
      </c>
    </row>
    <row r="167" spans="1:17" x14ac:dyDescent="0.25">
      <c r="A167" s="6" t="s">
        <v>101</v>
      </c>
      <c r="B167" s="6" t="s">
        <v>102</v>
      </c>
      <c r="C167" s="6">
        <v>152</v>
      </c>
      <c r="D167" s="6">
        <v>7.7432501273560897E-2</v>
      </c>
      <c r="E167" s="6">
        <v>84</v>
      </c>
      <c r="F167" s="6">
        <v>68</v>
      </c>
      <c r="G167" s="6">
        <v>0.44736842105263203</v>
      </c>
      <c r="H167" s="6">
        <v>-0.17360722648319499</v>
      </c>
      <c r="I167" s="6">
        <v>2.3241374494510402E-3</v>
      </c>
      <c r="J167" s="6">
        <v>3.29130808090927E-2</v>
      </c>
      <c r="K167" s="6" t="s">
        <v>103</v>
      </c>
      <c r="L167" s="6" t="b">
        <v>0</v>
      </c>
      <c r="M167" s="7" t="str">
        <f t="shared" si="6"/>
        <v>Adequate predictability</v>
      </c>
      <c r="N167" s="4">
        <f t="shared" si="7"/>
        <v>0.44736842105263158</v>
      </c>
      <c r="O167" s="4">
        <f>IFERROR(F167/((E167*Factor!$C$2)+Phase1!F167), 0)</f>
        <v>9.9370458916160559E-2</v>
      </c>
    </row>
    <row r="168" spans="1:17" x14ac:dyDescent="0.25">
      <c r="A168" s="6" t="s">
        <v>101</v>
      </c>
      <c r="B168" s="6" t="s">
        <v>104</v>
      </c>
      <c r="C168" s="6">
        <v>116</v>
      </c>
      <c r="D168" s="6">
        <v>5.9093224656138602E-2</v>
      </c>
      <c r="E168" s="6">
        <v>55</v>
      </c>
      <c r="F168" s="6">
        <v>61</v>
      </c>
      <c r="G168" s="6">
        <v>0.52586206896551702</v>
      </c>
      <c r="H168" s="6">
        <v>0.14124254612485199</v>
      </c>
      <c r="I168" s="6">
        <v>1.17848791081328E-3</v>
      </c>
      <c r="J168" s="6">
        <v>3.29130808090927E-2</v>
      </c>
      <c r="K168" s="6" t="s">
        <v>22</v>
      </c>
      <c r="L168" s="6" t="b">
        <v>0</v>
      </c>
      <c r="M168" s="7" t="str">
        <f t="shared" si="6"/>
        <v>Adequate predictability</v>
      </c>
      <c r="N168" s="4">
        <f t="shared" si="7"/>
        <v>0.52586206896551724</v>
      </c>
      <c r="O168" s="4">
        <f>IFERROR(F168/((E168*Factor!$C$2)+Phase1!F168), 0)</f>
        <v>0.13131410980873348</v>
      </c>
      <c r="P168" s="4">
        <f>O168</f>
        <v>0.13131410980873348</v>
      </c>
    </row>
  </sheetData>
  <autoFilter ref="A1:P168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"/>
  <sheetViews>
    <sheetView workbookViewId="0">
      <selection activeCell="Q26" sqref="Q26"/>
    </sheetView>
  </sheetViews>
  <sheetFormatPr defaultColWidth="11.42578125" defaultRowHeight="12.75" x14ac:dyDescent="0.25"/>
  <cols>
    <col min="1" max="2" width="11.42578125" style="6"/>
    <col min="3" max="8" width="11.5703125" style="6" bestFit="1" customWidth="1"/>
    <col min="9" max="10" width="15.28515625" style="6" bestFit="1" customWidth="1"/>
    <col min="11" max="11" width="11.42578125" style="6"/>
    <col min="12" max="12" width="11.5703125" style="6" bestFit="1" customWidth="1"/>
    <col min="13" max="13" width="17.42578125" style="7" bestFit="1" customWidth="1"/>
    <col min="14" max="14" width="12" style="4" bestFit="1" customWidth="1"/>
    <col min="15" max="15" width="20" style="4" bestFit="1" customWidth="1"/>
    <col min="16" max="16" width="30.5703125" style="7" bestFit="1" customWidth="1"/>
    <col min="17" max="16384" width="11.42578125" style="6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108</v>
      </c>
      <c r="N1" s="5" t="s">
        <v>109</v>
      </c>
      <c r="O1" s="5" t="s">
        <v>110</v>
      </c>
      <c r="P1" s="5" t="s">
        <v>145</v>
      </c>
    </row>
    <row r="2" spans="1:16" x14ac:dyDescent="0.25">
      <c r="A2" s="6" t="s">
        <v>12</v>
      </c>
      <c r="B2" s="6" t="s">
        <v>24</v>
      </c>
      <c r="C2" s="6">
        <v>256</v>
      </c>
      <c r="D2" s="6">
        <v>0.130412633723892</v>
      </c>
      <c r="E2" s="6">
        <v>136</v>
      </c>
      <c r="F2" s="6">
        <v>120</v>
      </c>
      <c r="G2" s="6">
        <v>0.46875</v>
      </c>
      <c r="H2" s="6">
        <v>-8.7461275769994504E-2</v>
      </c>
      <c r="I2" s="6">
        <v>9.9613216266386398E-4</v>
      </c>
      <c r="J2" s="6">
        <v>5.0415568562103396E-3</v>
      </c>
      <c r="K2" s="6" t="s">
        <v>25</v>
      </c>
      <c r="L2" s="6" t="b">
        <v>0</v>
      </c>
      <c r="M2" s="7" t="str">
        <f>IFERROR(IF(NOT(ISNUMBER(J2)), "", IF(J2&lt;0.01,"No Correlation",IF(J2&lt;0.03,"Marginal contribution",IF(J2&lt;0.1,"Adequate predictability",IF(J2&lt;0.3,"Strong Predictor",IF(J2&lt;0.5,"Very Strong predictor",IF(J2&gt;=0.5,"Extremely high correlation", ))))))), "")</f>
        <v>No Correlation</v>
      </c>
      <c r="N2" s="4">
        <f>IFERROR(F2/C2, 0)</f>
        <v>0.46875</v>
      </c>
      <c r="O2" s="17">
        <f>IFERROR(F2/((E2*Factor!$C$2)+F2), 0)</f>
        <v>0.10735065734385849</v>
      </c>
      <c r="P2" s="18" t="str">
        <f>VLOOKUP(A2, Synopsis!$G$2:$G$15,1,FALSE)</f>
        <v>Bor_No_Rep_Institutes</v>
      </c>
    </row>
    <row r="3" spans="1:16" x14ac:dyDescent="0.25">
      <c r="A3" s="6" t="s">
        <v>12</v>
      </c>
      <c r="B3" s="6" t="s">
        <v>146</v>
      </c>
      <c r="C3" s="6">
        <v>1462</v>
      </c>
      <c r="D3" s="6">
        <v>0.74477840040753995</v>
      </c>
      <c r="E3" s="6">
        <v>750</v>
      </c>
      <c r="F3" s="6">
        <v>712</v>
      </c>
      <c r="G3" s="6">
        <v>0.48700410396716798</v>
      </c>
      <c r="H3" s="6">
        <v>-1.42934279343688E-2</v>
      </c>
      <c r="I3" s="6">
        <v>1.52136694005483E-4</v>
      </c>
      <c r="J3" s="6">
        <v>5.0415568562103396E-3</v>
      </c>
      <c r="K3" s="6" t="s">
        <v>20</v>
      </c>
      <c r="L3" s="6" t="b">
        <v>0</v>
      </c>
      <c r="M3" s="7" t="str">
        <f t="shared" ref="M3:M66" si="0">IFERROR(IF(NOT(ISNUMBER(J3)), "", IF(J3&lt;0.01,"No Correlation",IF(J3&lt;0.03,"Marginal contribution",IF(J3&lt;0.1,"Adequate predictability",IF(J3&lt;0.3,"Strong Predictor",IF(J3&lt;0.5,"Very Strong predictor",IF(J3&gt;=0.5,"Extremely high correlation", ))))))), "")</f>
        <v>No Correlation</v>
      </c>
      <c r="N3" s="4">
        <f t="shared" ref="N3:N66" si="1">IFERROR(F3/C3, 0)</f>
        <v>0.48700410396716826</v>
      </c>
      <c r="O3" s="17">
        <f>IFERROR(F3/((E3*Factor!$C$2)+F3), 0)</f>
        <v>0.11456615310350377</v>
      </c>
      <c r="P3" s="18" t="str">
        <f>VLOOKUP(A3, Synopsis!$G$2:$G$15,1,FALSE)</f>
        <v>Bor_No_Rep_Institutes</v>
      </c>
    </row>
    <row r="4" spans="1:16" x14ac:dyDescent="0.25">
      <c r="A4" s="6" t="s">
        <v>12</v>
      </c>
      <c r="B4" s="6" t="s">
        <v>21</v>
      </c>
      <c r="C4" s="6">
        <v>245</v>
      </c>
      <c r="D4" s="6">
        <v>0.124808965868569</v>
      </c>
      <c r="E4" s="6">
        <v>114</v>
      </c>
      <c r="F4" s="6">
        <v>131</v>
      </c>
      <c r="G4" s="6">
        <v>0.53469387755102005</v>
      </c>
      <c r="H4" s="6">
        <v>0.17670074199066699</v>
      </c>
      <c r="I4" s="6">
        <v>3.8932879995409999E-3</v>
      </c>
      <c r="J4" s="6">
        <v>5.0415568562103396E-3</v>
      </c>
      <c r="K4" s="6" t="s">
        <v>22</v>
      </c>
      <c r="L4" s="6" t="b">
        <v>0</v>
      </c>
      <c r="M4" s="7" t="str">
        <f t="shared" si="0"/>
        <v>No Correlation</v>
      </c>
      <c r="N4" s="4">
        <f t="shared" si="1"/>
        <v>0.53469387755102038</v>
      </c>
      <c r="O4" s="17">
        <f>IFERROR(F4/((E4*Factor!$C$2)+F4), 0)</f>
        <v>0.13541199357464923</v>
      </c>
      <c r="P4" s="18" t="str">
        <f>VLOOKUP(A4, Synopsis!$G$2:$G$15,1,FALSE)</f>
        <v>Bor_No_Rep_Institutes</v>
      </c>
    </row>
    <row r="5" spans="1:16" x14ac:dyDescent="0.25">
      <c r="M5" s="7" t="str">
        <f t="shared" si="0"/>
        <v/>
      </c>
    </row>
    <row r="6" spans="1:16" x14ac:dyDescent="0.2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7" t="str">
        <f t="shared" si="0"/>
        <v/>
      </c>
    </row>
    <row r="7" spans="1:16" x14ac:dyDescent="0.25">
      <c r="A7" s="6" t="s">
        <v>23</v>
      </c>
      <c r="B7" s="6" t="s">
        <v>24</v>
      </c>
      <c r="C7" s="6">
        <v>453</v>
      </c>
      <c r="D7" s="6">
        <v>0.230769230769231</v>
      </c>
      <c r="E7" s="6">
        <v>255</v>
      </c>
      <c r="F7" s="6">
        <v>198</v>
      </c>
      <c r="G7" s="6">
        <v>0.43708609271523202</v>
      </c>
      <c r="H7" s="6">
        <v>-0.21529464727987899</v>
      </c>
      <c r="I7" s="6">
        <v>1.06339458960202E-2</v>
      </c>
      <c r="J7" s="6">
        <v>1.38814082553012E-2</v>
      </c>
      <c r="K7" s="6" t="s">
        <v>25</v>
      </c>
      <c r="L7" s="6" t="b">
        <v>0</v>
      </c>
      <c r="M7" s="7" t="str">
        <f t="shared" si="0"/>
        <v>Marginal contribution</v>
      </c>
      <c r="N7" s="4">
        <f t="shared" si="1"/>
        <v>0.4370860927152318</v>
      </c>
      <c r="O7" s="17">
        <f>IFERROR(F7/((E7*Factor!$C$2)+F7), 0)</f>
        <v>9.5701411595821045E-2</v>
      </c>
      <c r="P7" s="18" t="str">
        <f>VLOOKUP(A7, Synopsis!$G$2:$G$15,1,FALSE)</f>
        <v>Bor_No_Living_Contracts</v>
      </c>
    </row>
    <row r="8" spans="1:16" x14ac:dyDescent="0.25">
      <c r="A8" s="6" t="s">
        <v>23</v>
      </c>
      <c r="B8" s="6" t="s">
        <v>129</v>
      </c>
      <c r="C8" s="6">
        <v>1372</v>
      </c>
      <c r="D8" s="6">
        <v>0.69893020886398405</v>
      </c>
      <c r="E8" s="6">
        <v>678</v>
      </c>
      <c r="F8" s="6">
        <v>694</v>
      </c>
      <c r="G8" s="6">
        <v>0.50583090379008699</v>
      </c>
      <c r="H8" s="6">
        <v>6.1026539750420397E-2</v>
      </c>
      <c r="I8" s="6">
        <v>2.60367228679727E-3</v>
      </c>
      <c r="J8" s="6">
        <v>1.38814082553012E-2</v>
      </c>
      <c r="K8" s="6" t="s">
        <v>18</v>
      </c>
      <c r="L8" s="6" t="b">
        <v>0</v>
      </c>
      <c r="M8" s="7" t="str">
        <f t="shared" si="0"/>
        <v>Marginal contribution</v>
      </c>
      <c r="N8" s="4">
        <f t="shared" si="1"/>
        <v>0.50583090379008744</v>
      </c>
      <c r="O8" s="17">
        <f>IFERROR(F8/((E8*Factor!$C$2)+F8), 0)</f>
        <v>0.12243128059238394</v>
      </c>
      <c r="P8" s="18" t="str">
        <f>VLOOKUP(A8, Synopsis!$G$2:$G$15,1,FALSE)</f>
        <v>Bor_No_Living_Contracts</v>
      </c>
    </row>
    <row r="9" spans="1:16" x14ac:dyDescent="0.25">
      <c r="A9" s="6" t="s">
        <v>23</v>
      </c>
      <c r="B9" s="6" t="s">
        <v>29</v>
      </c>
      <c r="C9" s="6">
        <v>138</v>
      </c>
      <c r="D9" s="6">
        <v>7.0300560366785503E-2</v>
      </c>
      <c r="E9" s="6">
        <v>67</v>
      </c>
      <c r="F9" s="6">
        <v>71</v>
      </c>
      <c r="G9" s="6">
        <v>0.51449275362318803</v>
      </c>
      <c r="H9" s="6">
        <v>9.56891248343609E-2</v>
      </c>
      <c r="I9" s="6">
        <v>6.4379007248372203E-4</v>
      </c>
      <c r="J9" s="6">
        <v>1.38814082553012E-2</v>
      </c>
      <c r="K9" s="6" t="s">
        <v>22</v>
      </c>
      <c r="L9" s="6" t="b">
        <v>0</v>
      </c>
      <c r="M9" s="7" t="str">
        <f t="shared" si="0"/>
        <v>Marginal contribution</v>
      </c>
      <c r="N9" s="4">
        <f t="shared" si="1"/>
        <v>0.51449275362318836</v>
      </c>
      <c r="O9" s="17">
        <f>IFERROR(F9/((E9*Factor!$C$2)+F9), 0)</f>
        <v>0.12620449750168422</v>
      </c>
      <c r="P9" s="18" t="str">
        <f>VLOOKUP(A9, Synopsis!$G$2:$G$15,1,FALSE)</f>
        <v>Bor_No_Living_Contracts</v>
      </c>
    </row>
    <row r="10" spans="1:16" x14ac:dyDescent="0.25">
      <c r="M10" s="7" t="str">
        <f t="shared" si="0"/>
        <v/>
      </c>
    </row>
    <row r="11" spans="1:16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7" t="str">
        <f t="shared" si="0"/>
        <v/>
      </c>
    </row>
    <row r="12" spans="1:16" x14ac:dyDescent="0.25">
      <c r="A12" s="6" t="s">
        <v>30</v>
      </c>
      <c r="B12" s="6" t="s">
        <v>130</v>
      </c>
      <c r="C12" s="6">
        <v>1126</v>
      </c>
      <c r="D12" s="6">
        <v>0.57361181864493105</v>
      </c>
      <c r="E12" s="6">
        <v>575</v>
      </c>
      <c r="F12" s="6">
        <v>551</v>
      </c>
      <c r="G12" s="6">
        <v>0.48934280639431599</v>
      </c>
      <c r="H12" s="6">
        <v>-4.9333644604244303E-3</v>
      </c>
      <c r="I12" s="6">
        <v>1.39599357784594E-5</v>
      </c>
      <c r="J12" s="6">
        <v>3.2737952117872698E-5</v>
      </c>
      <c r="K12" s="6" t="s">
        <v>34</v>
      </c>
      <c r="L12" s="6" t="b">
        <v>0</v>
      </c>
      <c r="M12" s="7" t="str">
        <f t="shared" si="0"/>
        <v>No Correlation</v>
      </c>
      <c r="N12" s="4">
        <f t="shared" si="1"/>
        <v>0.48934280639431615</v>
      </c>
      <c r="O12" s="17">
        <f>IFERROR(F12/((E12*Factor!$C$2)+F12), 0)</f>
        <v>0.11551907584739322</v>
      </c>
      <c r="P12" s="18" t="str">
        <f>VLOOKUP(A12, Synopsis!$G$2:$G$15,1,FALSE)</f>
        <v>Bor_Boral_OS_Amt</v>
      </c>
    </row>
    <row r="13" spans="1:16" x14ac:dyDescent="0.25">
      <c r="A13" s="6" t="s">
        <v>30</v>
      </c>
      <c r="B13" s="6" t="s">
        <v>131</v>
      </c>
      <c r="C13" s="6">
        <v>837</v>
      </c>
      <c r="D13" s="6">
        <v>0.42638818135506901</v>
      </c>
      <c r="E13" s="6">
        <v>425</v>
      </c>
      <c r="F13" s="6">
        <v>412</v>
      </c>
      <c r="G13" s="6">
        <v>0.49223416965352501</v>
      </c>
      <c r="H13" s="6">
        <v>6.6360476091210704E-3</v>
      </c>
      <c r="I13" s="6">
        <v>1.8778016339413301E-5</v>
      </c>
      <c r="J13" s="6">
        <v>3.2737952117872698E-5</v>
      </c>
      <c r="K13" s="6" t="s">
        <v>22</v>
      </c>
      <c r="L13" s="6" t="b">
        <v>0</v>
      </c>
      <c r="M13" s="7" t="str">
        <f t="shared" si="0"/>
        <v>No Correlation</v>
      </c>
      <c r="N13" s="4">
        <f t="shared" si="1"/>
        <v>0.49223416965352451</v>
      </c>
      <c r="O13" s="17">
        <f>IFERROR(F13/((E13*Factor!$C$2)+F13), 0)</f>
        <v>0.11670644222393757</v>
      </c>
      <c r="P13" s="18" t="str">
        <f>VLOOKUP(A13, Synopsis!$G$2:$G$15,1,FALSE)</f>
        <v>Bor_Boral_OS_Amt</v>
      </c>
    </row>
    <row r="14" spans="1:16" x14ac:dyDescent="0.25">
      <c r="M14" s="7" t="str">
        <f t="shared" si="0"/>
        <v/>
      </c>
    </row>
    <row r="15" spans="1:16" x14ac:dyDescent="0.25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9</v>
      </c>
      <c r="K15" s="6" t="s">
        <v>10</v>
      </c>
      <c r="L15" s="6" t="s">
        <v>11</v>
      </c>
      <c r="M15" s="7" t="str">
        <f t="shared" si="0"/>
        <v/>
      </c>
    </row>
    <row r="16" spans="1:16" x14ac:dyDescent="0.25">
      <c r="A16" s="6" t="s">
        <v>38</v>
      </c>
      <c r="B16" s="6" t="s">
        <v>39</v>
      </c>
      <c r="C16" s="6">
        <v>1860</v>
      </c>
      <c r="D16" s="6">
        <v>0.947529291900153</v>
      </c>
      <c r="E16" s="6">
        <v>958</v>
      </c>
      <c r="F16" s="6">
        <v>902</v>
      </c>
      <c r="G16" s="6">
        <v>0.48494623655913999</v>
      </c>
      <c r="H16" s="6">
        <v>-2.25313907242253E-2</v>
      </c>
      <c r="I16" s="6">
        <v>4.8090363961134498E-4</v>
      </c>
      <c r="J16" s="6">
        <v>9.2511676563528395E-3</v>
      </c>
      <c r="K16" s="6" t="s">
        <v>40</v>
      </c>
      <c r="L16" s="6" t="b">
        <v>0</v>
      </c>
      <c r="M16" s="7" t="str">
        <f t="shared" si="0"/>
        <v>No Correlation</v>
      </c>
      <c r="N16" s="4">
        <f t="shared" si="1"/>
        <v>0.48494623655913977</v>
      </c>
      <c r="O16" s="4">
        <f>IFERROR(F16/((E16*Factor!$C$2)+F16), 0)</f>
        <v>0.11373313767535015</v>
      </c>
      <c r="P16" s="7" t="e">
        <f>VLOOKUP(A16, Synopsis!$G$2:$G$15,1,FALSE)</f>
        <v>#N/A</v>
      </c>
    </row>
    <row r="17" spans="1:16" x14ac:dyDescent="0.25">
      <c r="A17" s="6" t="s">
        <v>38</v>
      </c>
      <c r="B17" s="6" t="s">
        <v>41</v>
      </c>
      <c r="C17" s="6">
        <v>103</v>
      </c>
      <c r="D17" s="6">
        <v>5.2470708099847198E-2</v>
      </c>
      <c r="E17" s="6">
        <v>42</v>
      </c>
      <c r="F17" s="6">
        <v>61</v>
      </c>
      <c r="G17" s="6">
        <v>0.59223300970873805</v>
      </c>
      <c r="H17" s="6">
        <v>0.41090611307395403</v>
      </c>
      <c r="I17" s="6">
        <v>8.77026401674149E-3</v>
      </c>
      <c r="J17" s="6">
        <v>9.2511676563528395E-3</v>
      </c>
      <c r="K17" s="6" t="s">
        <v>22</v>
      </c>
      <c r="L17" s="6" t="b">
        <v>0</v>
      </c>
      <c r="M17" s="7" t="str">
        <f t="shared" si="0"/>
        <v>No Correlation</v>
      </c>
      <c r="N17" s="4">
        <f t="shared" si="1"/>
        <v>0.59223300970873782</v>
      </c>
      <c r="O17" s="4">
        <f>IFERROR(F17/((E17*Factor!$C$2)+F17), 0)</f>
        <v>0.16524269004263803</v>
      </c>
      <c r="P17" s="7" t="e">
        <f>VLOOKUP(A17, Synopsis!$G$2:$G$15,1,FALSE)</f>
        <v>#N/A</v>
      </c>
    </row>
    <row r="18" spans="1:16" x14ac:dyDescent="0.25">
      <c r="M18" s="7" t="str">
        <f t="shared" si="0"/>
        <v/>
      </c>
    </row>
    <row r="19" spans="1:16" x14ac:dyDescent="0.25">
      <c r="A19" s="6" t="s">
        <v>0</v>
      </c>
      <c r="B19" s="6" t="s">
        <v>1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6</v>
      </c>
      <c r="H19" s="6" t="s">
        <v>7</v>
      </c>
      <c r="I19" s="6" t="s">
        <v>8</v>
      </c>
      <c r="J19" s="6" t="s">
        <v>9</v>
      </c>
      <c r="K19" s="6" t="s">
        <v>10</v>
      </c>
      <c r="L19" s="6" t="s">
        <v>11</v>
      </c>
      <c r="M19" s="7" t="str">
        <f t="shared" si="0"/>
        <v/>
      </c>
    </row>
    <row r="20" spans="1:16" x14ac:dyDescent="0.25">
      <c r="A20" s="6" t="s">
        <v>42</v>
      </c>
      <c r="B20" s="6" t="s">
        <v>43</v>
      </c>
      <c r="C20" s="6">
        <v>1963</v>
      </c>
      <c r="D20" s="6">
        <v>1</v>
      </c>
      <c r="E20" s="6">
        <v>1000</v>
      </c>
      <c r="F20" s="6">
        <v>963</v>
      </c>
      <c r="G20" s="6">
        <v>0.49057564951604699</v>
      </c>
      <c r="H20" s="6">
        <v>0</v>
      </c>
      <c r="I20" s="6">
        <v>0</v>
      </c>
      <c r="J20" s="6">
        <v>0</v>
      </c>
      <c r="K20" s="6" t="s">
        <v>22</v>
      </c>
      <c r="L20" s="6" t="b">
        <v>0</v>
      </c>
      <c r="M20" s="7" t="str">
        <f t="shared" si="0"/>
        <v>No Correlation</v>
      </c>
      <c r="N20" s="4">
        <f t="shared" si="1"/>
        <v>0.49057564951604687</v>
      </c>
      <c r="O20" s="4">
        <f>IFERROR(F20/((E20*Factor!$C$2)+F20), 0)</f>
        <v>0.11602409638554217</v>
      </c>
      <c r="P20" s="7" t="e">
        <f>VLOOKUP(A20, Synopsis!$G$2:$G$15,1,FALSE)</f>
        <v>#N/A</v>
      </c>
    </row>
    <row r="21" spans="1:16" x14ac:dyDescent="0.25">
      <c r="M21" s="7" t="str">
        <f t="shared" si="0"/>
        <v/>
      </c>
    </row>
    <row r="22" spans="1:16" x14ac:dyDescent="0.25">
      <c r="A22" s="6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6" t="s">
        <v>8</v>
      </c>
      <c r="J22" s="6" t="s">
        <v>9</v>
      </c>
      <c r="K22" s="6" t="s">
        <v>10</v>
      </c>
      <c r="L22" s="6" t="s">
        <v>11</v>
      </c>
      <c r="M22" s="7" t="str">
        <f t="shared" si="0"/>
        <v/>
      </c>
    </row>
    <row r="23" spans="1:16" x14ac:dyDescent="0.25">
      <c r="A23" s="6" t="s">
        <v>44</v>
      </c>
      <c r="B23" s="6" t="s">
        <v>24</v>
      </c>
      <c r="C23" s="6">
        <v>1748</v>
      </c>
      <c r="D23" s="6">
        <v>0.89047376464594996</v>
      </c>
      <c r="E23" s="6">
        <v>903</v>
      </c>
      <c r="F23" s="6">
        <v>845</v>
      </c>
      <c r="G23" s="6">
        <v>0.483409610983982</v>
      </c>
      <c r="H23" s="6">
        <v>-2.8684058875800101E-2</v>
      </c>
      <c r="I23" s="6">
        <v>7.3241155108727703E-4</v>
      </c>
      <c r="J23" s="6">
        <v>6.6990233815693197E-3</v>
      </c>
      <c r="K23" s="6" t="s">
        <v>25</v>
      </c>
      <c r="L23" s="6" t="b">
        <v>0</v>
      </c>
      <c r="M23" s="7" t="str">
        <f t="shared" si="0"/>
        <v>No Correlation</v>
      </c>
      <c r="N23" s="4">
        <f t="shared" si="1"/>
        <v>0.48340961098398172</v>
      </c>
      <c r="O23" s="4">
        <f>IFERROR(F23/((E23*Factor!$C$2)+F23), 0)</f>
        <v>0.1131144339238353</v>
      </c>
      <c r="P23" s="7" t="e">
        <f>VLOOKUP(A23, Synopsis!$G$2:$G$15,1,FALSE)</f>
        <v>#N/A</v>
      </c>
    </row>
    <row r="24" spans="1:16" x14ac:dyDescent="0.25">
      <c r="A24" s="6" t="s">
        <v>44</v>
      </c>
      <c r="B24" s="6" t="s">
        <v>45</v>
      </c>
      <c r="C24" s="6">
        <v>215</v>
      </c>
      <c r="D24" s="6">
        <v>0.10952623535405</v>
      </c>
      <c r="E24" s="6">
        <v>97</v>
      </c>
      <c r="F24" s="6">
        <v>118</v>
      </c>
      <c r="G24" s="6">
        <v>0.54883720930232605</v>
      </c>
      <c r="H24" s="6">
        <v>0.23367551314629301</v>
      </c>
      <c r="I24" s="6">
        <v>5.9666118304820496E-3</v>
      </c>
      <c r="J24" s="6">
        <v>6.6990233815693197E-3</v>
      </c>
      <c r="K24" s="6" t="s">
        <v>22</v>
      </c>
      <c r="L24" s="6" t="b">
        <v>0</v>
      </c>
      <c r="M24" s="7" t="str">
        <f t="shared" si="0"/>
        <v>No Correlation</v>
      </c>
      <c r="N24" s="4">
        <f t="shared" si="1"/>
        <v>0.5488372093023256</v>
      </c>
      <c r="O24" s="4">
        <f>IFERROR(F24/((E24*Factor!$C$2)+F24), 0)</f>
        <v>0.14222196509776555</v>
      </c>
      <c r="P24" s="7" t="e">
        <f>VLOOKUP(A24, Synopsis!$G$2:$G$15,1,FALSE)</f>
        <v>#N/A</v>
      </c>
    </row>
    <row r="25" spans="1:16" x14ac:dyDescent="0.25">
      <c r="M25" s="7" t="str">
        <f t="shared" si="0"/>
        <v/>
      </c>
    </row>
    <row r="26" spans="1:16" x14ac:dyDescent="0.25">
      <c r="A26" s="6" t="s">
        <v>0</v>
      </c>
      <c r="B26" s="6" t="s">
        <v>1</v>
      </c>
      <c r="C26" s="6" t="s">
        <v>2</v>
      </c>
      <c r="D26" s="6" t="s">
        <v>3</v>
      </c>
      <c r="E26" s="6" t="s">
        <v>4</v>
      </c>
      <c r="F26" s="6" t="s">
        <v>5</v>
      </c>
      <c r="G26" s="6" t="s">
        <v>6</v>
      </c>
      <c r="H26" s="6" t="s">
        <v>7</v>
      </c>
      <c r="I26" s="6" t="s">
        <v>8</v>
      </c>
      <c r="J26" s="6" t="s">
        <v>9</v>
      </c>
      <c r="K26" s="6" t="s">
        <v>10</v>
      </c>
      <c r="L26" s="6" t="s">
        <v>11</v>
      </c>
      <c r="M26" s="7" t="str">
        <f t="shared" si="0"/>
        <v/>
      </c>
    </row>
    <row r="27" spans="1:16" x14ac:dyDescent="0.25">
      <c r="A27" s="6" t="s">
        <v>46</v>
      </c>
      <c r="B27" s="6" t="s">
        <v>24</v>
      </c>
      <c r="C27" s="6">
        <v>1679</v>
      </c>
      <c r="D27" s="6">
        <v>0.85532348446255702</v>
      </c>
      <c r="E27" s="6">
        <v>873</v>
      </c>
      <c r="F27" s="6">
        <v>806</v>
      </c>
      <c r="G27" s="6">
        <v>0.480047647409172</v>
      </c>
      <c r="H27" s="6">
        <v>-4.2149946148962301E-2</v>
      </c>
      <c r="I27" s="6">
        <v>1.5187549132116801E-3</v>
      </c>
      <c r="J27" s="6">
        <v>1.0518176072269099E-2</v>
      </c>
      <c r="K27" s="6" t="s">
        <v>25</v>
      </c>
      <c r="L27" s="6" t="b">
        <v>0</v>
      </c>
      <c r="M27" s="7" t="str">
        <f t="shared" si="0"/>
        <v>Marginal contribution</v>
      </c>
      <c r="N27" s="4">
        <f t="shared" si="1"/>
        <v>0.48004764740917211</v>
      </c>
      <c r="O27" s="17">
        <f>IFERROR(F27/((E27*Factor!$C$2)+F27), 0)</f>
        <v>0.11177056359960012</v>
      </c>
      <c r="P27" s="18" t="str">
        <f>VLOOKUP(A27, Synopsis!$G$2:$G$15,1,FALSE)</f>
        <v>Bor_Historic_High_NPI_L24</v>
      </c>
    </row>
    <row r="28" spans="1:16" x14ac:dyDescent="0.25">
      <c r="A28" s="6" t="s">
        <v>46</v>
      </c>
      <c r="B28" s="6" t="s">
        <v>45</v>
      </c>
      <c r="C28" s="6">
        <v>284</v>
      </c>
      <c r="D28" s="6">
        <v>0.14467651553744301</v>
      </c>
      <c r="E28" s="6">
        <v>127</v>
      </c>
      <c r="F28" s="6">
        <v>157</v>
      </c>
      <c r="G28" s="6">
        <v>0.55281690140845097</v>
      </c>
      <c r="H28" s="6">
        <v>0.249760586073728</v>
      </c>
      <c r="I28" s="6">
        <v>8.9994211590574292E-3</v>
      </c>
      <c r="J28" s="6">
        <v>1.0518176072269099E-2</v>
      </c>
      <c r="K28" s="6" t="s">
        <v>22</v>
      </c>
      <c r="L28" s="6" t="b">
        <v>0</v>
      </c>
      <c r="M28" s="7" t="str">
        <f t="shared" si="0"/>
        <v>Marginal contribution</v>
      </c>
      <c r="N28" s="4">
        <f t="shared" si="1"/>
        <v>0.55281690140845074</v>
      </c>
      <c r="O28" s="17">
        <f>IFERROR(F28/((E28*Factor!$C$2)+F28), 0)</f>
        <v>0.14419557696140425</v>
      </c>
      <c r="P28" s="18" t="str">
        <f>VLOOKUP(A28, Synopsis!$G$2:$G$15,1,FALSE)</f>
        <v>Bor_Historic_High_NPI_L24</v>
      </c>
    </row>
    <row r="29" spans="1:16" x14ac:dyDescent="0.25">
      <c r="M29" s="7" t="str">
        <f t="shared" si="0"/>
        <v/>
      </c>
    </row>
    <row r="30" spans="1:16" x14ac:dyDescent="0.25">
      <c r="A30" s="6" t="s">
        <v>0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7" t="str">
        <f t="shared" si="0"/>
        <v/>
      </c>
    </row>
    <row r="31" spans="1:16" x14ac:dyDescent="0.25">
      <c r="A31" s="6" t="s">
        <v>47</v>
      </c>
      <c r="B31" s="6" t="s">
        <v>24</v>
      </c>
      <c r="C31" s="6">
        <v>919</v>
      </c>
      <c r="D31" s="6">
        <v>0.46816097809475299</v>
      </c>
      <c r="E31" s="6">
        <v>470</v>
      </c>
      <c r="F31" s="6">
        <v>449</v>
      </c>
      <c r="G31" s="6">
        <v>0.48857453754080499</v>
      </c>
      <c r="H31" s="6">
        <v>-8.0079397778384798E-3</v>
      </c>
      <c r="I31" s="6">
        <v>3.00193796448566E-5</v>
      </c>
      <c r="J31" s="6">
        <v>2.1424596679095499E-3</v>
      </c>
      <c r="K31" s="6" t="s">
        <v>25</v>
      </c>
      <c r="L31" s="6" t="b">
        <v>0</v>
      </c>
      <c r="M31" s="7" t="str">
        <f t="shared" si="0"/>
        <v>No Correlation</v>
      </c>
      <c r="N31" s="4">
        <f t="shared" si="1"/>
        <v>0.48857453754080521</v>
      </c>
      <c r="O31" s="4">
        <f>IFERROR(F31/((E31*Factor!$C$2)+F31), 0)</f>
        <v>0.11520530406246232</v>
      </c>
      <c r="P31" s="7" t="e">
        <f>VLOOKUP(A31, Synopsis!$G$2:$G$15,1,FALSE)</f>
        <v>#N/A</v>
      </c>
    </row>
    <row r="32" spans="1:16" x14ac:dyDescent="0.25">
      <c r="A32" s="6" t="s">
        <v>47</v>
      </c>
      <c r="B32" s="6" t="s">
        <v>26</v>
      </c>
      <c r="C32" s="6">
        <v>475</v>
      </c>
      <c r="D32" s="6">
        <v>0.241976566479878</v>
      </c>
      <c r="E32" s="6">
        <v>237</v>
      </c>
      <c r="F32" s="6">
        <v>238</v>
      </c>
      <c r="G32" s="6">
        <v>0.50105263157894697</v>
      </c>
      <c r="H32" s="6">
        <v>4.1912399720354897E-2</v>
      </c>
      <c r="I32" s="6">
        <v>4.2517365822237498E-4</v>
      </c>
      <c r="J32" s="6">
        <v>2.1424596679095499E-3</v>
      </c>
      <c r="K32" s="6" t="s">
        <v>27</v>
      </c>
      <c r="L32" s="6" t="b">
        <v>0</v>
      </c>
      <c r="M32" s="7" t="str">
        <f t="shared" si="0"/>
        <v>No Correlation</v>
      </c>
      <c r="N32" s="4">
        <f t="shared" si="1"/>
        <v>0.50105263157894742</v>
      </c>
      <c r="O32" s="4">
        <f>IFERROR(F32/((E32*Factor!$C$2)+F32), 0)</f>
        <v>0.12039239828233435</v>
      </c>
      <c r="P32" s="7" t="e">
        <f>VLOOKUP(A32, Synopsis!$G$2:$G$15,1,FALSE)</f>
        <v>#N/A</v>
      </c>
    </row>
    <row r="33" spans="1:16" x14ac:dyDescent="0.25">
      <c r="A33" s="6" t="s">
        <v>47</v>
      </c>
      <c r="B33" s="6" t="s">
        <v>48</v>
      </c>
      <c r="C33" s="6">
        <v>269</v>
      </c>
      <c r="D33" s="6">
        <v>0.13703515028018301</v>
      </c>
      <c r="E33" s="6">
        <v>139</v>
      </c>
      <c r="F33" s="6">
        <v>130</v>
      </c>
      <c r="G33" s="6">
        <v>0.48327137546468402</v>
      </c>
      <c r="H33" s="6">
        <v>-2.92376154910979E-2</v>
      </c>
      <c r="I33" s="6">
        <v>1.17102266821563E-4</v>
      </c>
      <c r="J33" s="6">
        <v>2.1424596679095499E-3</v>
      </c>
      <c r="K33" s="6" t="s">
        <v>14</v>
      </c>
      <c r="L33" s="6" t="b">
        <v>0</v>
      </c>
      <c r="M33" s="7" t="str">
        <f t="shared" si="0"/>
        <v>No Correlation</v>
      </c>
      <c r="N33" s="4">
        <f t="shared" si="1"/>
        <v>0.48327137546468402</v>
      </c>
      <c r="O33" s="4">
        <f>IFERROR(F33/((E33*Factor!$C$2)+F33), 0)</f>
        <v>0.11305891326033207</v>
      </c>
      <c r="P33" s="7" t="e">
        <f>VLOOKUP(A33, Synopsis!$G$2:$G$15,1,FALSE)</f>
        <v>#N/A</v>
      </c>
    </row>
    <row r="34" spans="1:16" x14ac:dyDescent="0.25">
      <c r="A34" s="6" t="s">
        <v>47</v>
      </c>
      <c r="B34" s="6" t="s">
        <v>49</v>
      </c>
      <c r="C34" s="6">
        <v>167</v>
      </c>
      <c r="D34" s="6">
        <v>8.5073866530820205E-2</v>
      </c>
      <c r="E34" s="6">
        <v>82</v>
      </c>
      <c r="F34" s="6">
        <v>85</v>
      </c>
      <c r="G34" s="6">
        <v>0.50898203592814395</v>
      </c>
      <c r="H34" s="6">
        <v>7.3633876410074794E-2</v>
      </c>
      <c r="I34" s="6">
        <v>4.6137778843031302E-4</v>
      </c>
      <c r="J34" s="6">
        <v>2.1424596679095499E-3</v>
      </c>
      <c r="K34" s="6" t="s">
        <v>18</v>
      </c>
      <c r="L34" s="6" t="b">
        <v>0</v>
      </c>
      <c r="M34" s="7" t="str">
        <f t="shared" si="0"/>
        <v>No Correlation</v>
      </c>
      <c r="N34" s="4">
        <f t="shared" si="1"/>
        <v>0.50898203592814373</v>
      </c>
      <c r="O34" s="4">
        <f>IFERROR(F34/((E34*Factor!$C$2)+F34), 0)</f>
        <v>0.12379229691509595</v>
      </c>
      <c r="P34" s="7" t="e">
        <f>VLOOKUP(A34, Synopsis!$G$2:$G$15,1,FALSE)</f>
        <v>#N/A</v>
      </c>
    </row>
    <row r="35" spans="1:16" x14ac:dyDescent="0.25">
      <c r="A35" s="6" t="s">
        <v>47</v>
      </c>
      <c r="B35" s="6" t="s">
        <v>29</v>
      </c>
      <c r="C35" s="6">
        <v>133</v>
      </c>
      <c r="D35" s="6">
        <v>6.7753438614365794E-2</v>
      </c>
      <c r="E35" s="6">
        <v>72</v>
      </c>
      <c r="F35" s="6">
        <v>61</v>
      </c>
      <c r="G35" s="6">
        <v>0.45864661654135302</v>
      </c>
      <c r="H35" s="6">
        <v>-0.12809038765873201</v>
      </c>
      <c r="I35" s="6">
        <v>1.1087865747904399E-3</v>
      </c>
      <c r="J35" s="6">
        <v>2.1424596679095499E-3</v>
      </c>
      <c r="K35" s="6" t="s">
        <v>22</v>
      </c>
      <c r="L35" s="6" t="b">
        <v>0</v>
      </c>
      <c r="M35" s="7" t="str">
        <f t="shared" si="0"/>
        <v>No Correlation</v>
      </c>
      <c r="N35" s="4">
        <f t="shared" si="1"/>
        <v>0.45864661654135336</v>
      </c>
      <c r="O35" s="4">
        <f>IFERROR(F35/((E35*Factor!$C$2)+F35), 0)</f>
        <v>0.10351896603220288</v>
      </c>
      <c r="P35" s="7" t="e">
        <f>VLOOKUP(A35, Synopsis!$G$2:$G$15,1,FALSE)</f>
        <v>#N/A</v>
      </c>
    </row>
    <row r="36" spans="1:16" x14ac:dyDescent="0.25">
      <c r="M36" s="7" t="str">
        <f t="shared" si="0"/>
        <v/>
      </c>
    </row>
    <row r="37" spans="1:16" x14ac:dyDescent="0.25">
      <c r="A37" s="6" t="s">
        <v>0</v>
      </c>
      <c r="B37" s="6" t="s">
        <v>1</v>
      </c>
      <c r="C37" s="6" t="s">
        <v>2</v>
      </c>
      <c r="D37" s="6" t="s">
        <v>3</v>
      </c>
      <c r="E37" s="6" t="s">
        <v>4</v>
      </c>
      <c r="F37" s="6" t="s">
        <v>5</v>
      </c>
      <c r="G37" s="6" t="s">
        <v>6</v>
      </c>
      <c r="H37" s="6" t="s">
        <v>7</v>
      </c>
      <c r="I37" s="6" t="s">
        <v>8</v>
      </c>
      <c r="J37" s="6" t="s">
        <v>9</v>
      </c>
      <c r="K37" s="6" t="s">
        <v>10</v>
      </c>
      <c r="L37" s="6" t="s">
        <v>11</v>
      </c>
      <c r="M37" s="7" t="str">
        <f t="shared" si="0"/>
        <v/>
      </c>
    </row>
    <row r="38" spans="1:16" x14ac:dyDescent="0.25">
      <c r="A38" s="6" t="s">
        <v>50</v>
      </c>
      <c r="B38" s="6" t="s">
        <v>24</v>
      </c>
      <c r="C38" s="6">
        <v>1274</v>
      </c>
      <c r="D38" s="6">
        <v>0.64900662251655605</v>
      </c>
      <c r="E38" s="6">
        <v>670</v>
      </c>
      <c r="F38" s="6">
        <v>604</v>
      </c>
      <c r="G38" s="6">
        <v>0.47409733124018799</v>
      </c>
      <c r="H38" s="6">
        <v>-6.6001647266185307E-2</v>
      </c>
      <c r="I38" s="6">
        <v>2.8244318627616799E-3</v>
      </c>
      <c r="J38" s="6">
        <v>8.7606655302201793E-3</v>
      </c>
      <c r="K38" s="6" t="s">
        <v>25</v>
      </c>
      <c r="L38" s="6" t="b">
        <v>0</v>
      </c>
      <c r="M38" s="7" t="str">
        <f t="shared" si="0"/>
        <v>No Correlation</v>
      </c>
      <c r="N38" s="4">
        <f t="shared" si="1"/>
        <v>0.47409733124018838</v>
      </c>
      <c r="O38" s="4">
        <f>IFERROR(F38/((E38*Factor!$C$2)+F38), 0)</f>
        <v>0.10942445274186156</v>
      </c>
      <c r="P38" s="7" t="e">
        <f>VLOOKUP(A38, Synopsis!$G$2:$G$15,1,FALSE)</f>
        <v>#N/A</v>
      </c>
    </row>
    <row r="39" spans="1:16" x14ac:dyDescent="0.25">
      <c r="A39" s="6" t="s">
        <v>50</v>
      </c>
      <c r="B39" s="6" t="s">
        <v>26</v>
      </c>
      <c r="C39" s="6">
        <v>568</v>
      </c>
      <c r="D39" s="6">
        <v>0.28935303107488503</v>
      </c>
      <c r="E39" s="6">
        <v>275</v>
      </c>
      <c r="F39" s="6">
        <v>293</v>
      </c>
      <c r="G39" s="6">
        <v>0.51584507042253502</v>
      </c>
      <c r="H39" s="6">
        <v>0.101103378534507</v>
      </c>
      <c r="I39" s="6">
        <v>2.9580349846414799E-3</v>
      </c>
      <c r="J39" s="6">
        <v>8.7606655302201793E-3</v>
      </c>
      <c r="K39" s="6" t="s">
        <v>27</v>
      </c>
      <c r="L39" s="6" t="b">
        <v>0</v>
      </c>
      <c r="M39" s="7" t="str">
        <f t="shared" si="0"/>
        <v>No Correlation</v>
      </c>
      <c r="N39" s="4">
        <f t="shared" si="1"/>
        <v>0.51584507042253525</v>
      </c>
      <c r="O39" s="4">
        <f>IFERROR(F39/((E39*Factor!$C$2)+F39), 0)</f>
        <v>0.12680277408116675</v>
      </c>
      <c r="P39" s="7" t="e">
        <f>VLOOKUP(A39, Synopsis!$G$2:$G$15,1,FALSE)</f>
        <v>#N/A</v>
      </c>
    </row>
    <row r="40" spans="1:16" x14ac:dyDescent="0.25">
      <c r="A40" s="6" t="s">
        <v>50</v>
      </c>
      <c r="B40" s="6" t="s">
        <v>51</v>
      </c>
      <c r="C40" s="6">
        <v>121</v>
      </c>
      <c r="D40" s="6">
        <v>6.1640346408558297E-2</v>
      </c>
      <c r="E40" s="6">
        <v>55</v>
      </c>
      <c r="F40" s="6">
        <v>66</v>
      </c>
      <c r="G40" s="6">
        <v>0.54545454545454497</v>
      </c>
      <c r="H40" s="6">
        <v>0.22002342397796601</v>
      </c>
      <c r="I40" s="6">
        <v>2.97819868281702E-3</v>
      </c>
      <c r="J40" s="6">
        <v>8.7606655302201793E-3</v>
      </c>
      <c r="K40" s="6" t="s">
        <v>22</v>
      </c>
      <c r="L40" s="6" t="b">
        <v>0</v>
      </c>
      <c r="M40" s="7" t="str">
        <f t="shared" si="0"/>
        <v>No Correlation</v>
      </c>
      <c r="N40" s="4">
        <f t="shared" si="1"/>
        <v>0.54545454545454541</v>
      </c>
      <c r="O40" s="4">
        <f>IFERROR(F40/((E40*Factor!$C$2)+F40), 0)</f>
        <v>0.14056460114794425</v>
      </c>
      <c r="P40" s="7" t="e">
        <f>VLOOKUP(A40, Synopsis!$G$2:$G$15,1,FALSE)</f>
        <v>#N/A</v>
      </c>
    </row>
    <row r="41" spans="1:16" x14ac:dyDescent="0.25">
      <c r="M41" s="7" t="str">
        <f t="shared" si="0"/>
        <v/>
      </c>
    </row>
    <row r="42" spans="1:16" x14ac:dyDescent="0.25">
      <c r="A42" s="6" t="s">
        <v>0</v>
      </c>
      <c r="B42" s="6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9</v>
      </c>
      <c r="K42" s="6" t="s">
        <v>10</v>
      </c>
      <c r="L42" s="6" t="s">
        <v>11</v>
      </c>
      <c r="M42" s="7" t="str">
        <f t="shared" si="0"/>
        <v/>
      </c>
    </row>
    <row r="43" spans="1:16" x14ac:dyDescent="0.25">
      <c r="A43" s="6" t="s">
        <v>52</v>
      </c>
      <c r="B43" s="6" t="s">
        <v>24</v>
      </c>
      <c r="C43" s="6">
        <v>606</v>
      </c>
      <c r="D43" s="6">
        <v>0.30871115639327601</v>
      </c>
      <c r="E43" s="6">
        <v>346</v>
      </c>
      <c r="F43" s="6">
        <v>260</v>
      </c>
      <c r="G43" s="6">
        <v>0.42904290429042902</v>
      </c>
      <c r="H43" s="6">
        <v>-0.24805527685818499</v>
      </c>
      <c r="I43" s="6">
        <v>1.88547769007948E-2</v>
      </c>
      <c r="J43" s="6">
        <v>2.7215193511386099E-2</v>
      </c>
      <c r="K43" s="6" t="s">
        <v>25</v>
      </c>
      <c r="L43" s="6" t="b">
        <v>0</v>
      </c>
      <c r="M43" s="7" t="str">
        <f t="shared" si="0"/>
        <v>Marginal contribution</v>
      </c>
      <c r="N43" s="4">
        <f t="shared" si="1"/>
        <v>0.42904290429042902</v>
      </c>
      <c r="O43" s="17">
        <f>IFERROR(F43/((E43*Factor!$C$2)+F43), 0)</f>
        <v>9.2903528261610621E-2</v>
      </c>
      <c r="P43" s="18" t="str">
        <f>VLOOKUP(A43, Synopsis!$G$2:$G$15,1,FALSE)</f>
        <v>Bor_No_Term_Loans_L24</v>
      </c>
    </row>
    <row r="44" spans="1:16" x14ac:dyDescent="0.25">
      <c r="A44" s="6" t="s">
        <v>52</v>
      </c>
      <c r="B44" s="6" t="s">
        <v>26</v>
      </c>
      <c r="C44" s="6">
        <v>767</v>
      </c>
      <c r="D44" s="6">
        <v>0.39072847682119199</v>
      </c>
      <c r="E44" s="6">
        <v>370</v>
      </c>
      <c r="F44" s="6">
        <v>397</v>
      </c>
      <c r="G44" s="6">
        <v>0.51760104302477195</v>
      </c>
      <c r="H44" s="6">
        <v>0.108135142232932</v>
      </c>
      <c r="I44" s="6">
        <v>4.5690747014101802E-3</v>
      </c>
      <c r="J44" s="6">
        <v>2.7215193511386099E-2</v>
      </c>
      <c r="K44" s="6" t="s">
        <v>27</v>
      </c>
      <c r="L44" s="6" t="b">
        <v>0</v>
      </c>
      <c r="M44" s="7" t="str">
        <f t="shared" si="0"/>
        <v>Marginal contribution</v>
      </c>
      <c r="N44" s="4">
        <f t="shared" si="1"/>
        <v>0.51760104302477183</v>
      </c>
      <c r="O44" s="17">
        <f>IFERROR(F44/((E44*Factor!$C$2)+F44), 0)</f>
        <v>0.12758340323104164</v>
      </c>
      <c r="P44" s="18" t="str">
        <f>VLOOKUP(A44, Synopsis!$G$2:$G$15,1,FALSE)</f>
        <v>Bor_No_Term_Loans_L24</v>
      </c>
    </row>
    <row r="45" spans="1:16" x14ac:dyDescent="0.25">
      <c r="A45" s="6" t="s">
        <v>52</v>
      </c>
      <c r="B45" s="6" t="s">
        <v>51</v>
      </c>
      <c r="C45" s="6">
        <v>590</v>
      </c>
      <c r="D45" s="6">
        <v>0.300560366785532</v>
      </c>
      <c r="E45" s="6">
        <v>284</v>
      </c>
      <c r="F45" s="6">
        <v>306</v>
      </c>
      <c r="G45" s="6">
        <v>0.51864406779660999</v>
      </c>
      <c r="H45" s="6">
        <v>0.112312730975186</v>
      </c>
      <c r="I45" s="6">
        <v>3.79134190918106E-3</v>
      </c>
      <c r="J45" s="6">
        <v>2.7215193511386099E-2</v>
      </c>
      <c r="K45" s="6" t="s">
        <v>22</v>
      </c>
      <c r="L45" s="6" t="b">
        <v>0</v>
      </c>
      <c r="M45" s="7" t="str">
        <f t="shared" si="0"/>
        <v>Marginal contribution</v>
      </c>
      <c r="N45" s="4">
        <f t="shared" si="1"/>
        <v>0.51864406779661021</v>
      </c>
      <c r="O45" s="17">
        <f>IFERROR(F45/((E45*Factor!$C$2)+F45), 0)</f>
        <v>0.12804911729801297</v>
      </c>
      <c r="P45" s="18" t="str">
        <f>VLOOKUP(A45, Synopsis!$G$2:$G$15,1,FALSE)</f>
        <v>Bor_No_Term_Loans_L24</v>
      </c>
    </row>
    <row r="46" spans="1:16" x14ac:dyDescent="0.25">
      <c r="M46" s="7" t="str">
        <f t="shared" si="0"/>
        <v/>
      </c>
    </row>
    <row r="47" spans="1:16" x14ac:dyDescent="0.25">
      <c r="A47" s="6" t="s">
        <v>0</v>
      </c>
      <c r="B47" s="6" t="s">
        <v>1</v>
      </c>
      <c r="C47" s="6" t="s">
        <v>2</v>
      </c>
      <c r="D47" s="6" t="s">
        <v>3</v>
      </c>
      <c r="E47" s="6" t="s">
        <v>4</v>
      </c>
      <c r="F47" s="6" t="s">
        <v>5</v>
      </c>
      <c r="G47" s="6" t="s">
        <v>6</v>
      </c>
      <c r="H47" s="6" t="s">
        <v>7</v>
      </c>
      <c r="I47" s="6" t="s">
        <v>8</v>
      </c>
      <c r="J47" s="6" t="s">
        <v>9</v>
      </c>
      <c r="K47" s="6" t="s">
        <v>10</v>
      </c>
      <c r="L47" s="6" t="s">
        <v>11</v>
      </c>
      <c r="M47" s="7" t="str">
        <f t="shared" si="0"/>
        <v/>
      </c>
    </row>
    <row r="48" spans="1:16" x14ac:dyDescent="0.25">
      <c r="A48" s="6" t="s">
        <v>54</v>
      </c>
      <c r="B48" s="6" t="s">
        <v>24</v>
      </c>
      <c r="C48" s="6">
        <v>732</v>
      </c>
      <c r="D48" s="6">
        <v>0.37289862455425399</v>
      </c>
      <c r="E48" s="6">
        <v>363</v>
      </c>
      <c r="F48" s="6">
        <v>369</v>
      </c>
      <c r="G48" s="6">
        <v>0.50409836065573799</v>
      </c>
      <c r="H48" s="6">
        <v>5.4095676959687901E-2</v>
      </c>
      <c r="I48" s="6">
        <v>1.09151931360716E-3</v>
      </c>
      <c r="J48" s="6">
        <v>9.6784009435394794E-3</v>
      </c>
      <c r="K48" s="6" t="s">
        <v>25</v>
      </c>
      <c r="L48" s="6" t="b">
        <v>0</v>
      </c>
      <c r="M48" s="7" t="str">
        <f t="shared" si="0"/>
        <v>No Correlation</v>
      </c>
      <c r="N48" s="4">
        <f t="shared" si="1"/>
        <v>0.50409836065573765</v>
      </c>
      <c r="O48" s="4">
        <f>IFERROR(F48/((E48*Factor!$C$2)+F48), 0)</f>
        <v>0.12168856236340952</v>
      </c>
      <c r="P48" s="7" t="e">
        <f>VLOOKUP(A48, Synopsis!$G$2:$G$15,1,FALSE)</f>
        <v>#N/A</v>
      </c>
    </row>
    <row r="49" spans="1:16" x14ac:dyDescent="0.25">
      <c r="A49" s="6" t="s">
        <v>54</v>
      </c>
      <c r="B49" s="6" t="s">
        <v>26</v>
      </c>
      <c r="C49" s="6">
        <v>555</v>
      </c>
      <c r="D49" s="6">
        <v>0.28273051451859399</v>
      </c>
      <c r="E49" s="6">
        <v>272</v>
      </c>
      <c r="F49" s="6">
        <v>283</v>
      </c>
      <c r="G49" s="6">
        <v>0.50990990990991003</v>
      </c>
      <c r="H49" s="6">
        <v>7.7346698531251701E-2</v>
      </c>
      <c r="I49" s="6">
        <v>1.6918285128372599E-3</v>
      </c>
      <c r="J49" s="6">
        <v>9.6784009435394794E-3</v>
      </c>
      <c r="K49" s="6" t="s">
        <v>27</v>
      </c>
      <c r="L49" s="6" t="b">
        <v>0</v>
      </c>
      <c r="M49" s="7" t="str">
        <f t="shared" si="0"/>
        <v>No Correlation</v>
      </c>
      <c r="N49" s="4">
        <f t="shared" si="1"/>
        <v>0.50990990990990992</v>
      </c>
      <c r="O49" s="4">
        <f>IFERROR(F49/((E49*Factor!$C$2)+F49), 0)</f>
        <v>0.12419558127042865</v>
      </c>
      <c r="P49" s="7" t="e">
        <f>VLOOKUP(A49, Synopsis!$G$2:$G$15,1,FALSE)</f>
        <v>#N/A</v>
      </c>
    </row>
    <row r="50" spans="1:16" x14ac:dyDescent="0.25">
      <c r="A50" s="6" t="s">
        <v>54</v>
      </c>
      <c r="B50" s="6" t="s">
        <v>48</v>
      </c>
      <c r="C50" s="6">
        <v>326</v>
      </c>
      <c r="D50" s="6">
        <v>0.16607233825776899</v>
      </c>
      <c r="E50" s="6">
        <v>182</v>
      </c>
      <c r="F50" s="6">
        <v>144</v>
      </c>
      <c r="G50" s="6">
        <v>0.441717791411043</v>
      </c>
      <c r="H50" s="6">
        <v>-0.19649152031678299</v>
      </c>
      <c r="I50" s="6">
        <v>6.3795471175748198E-3</v>
      </c>
      <c r="J50" s="6">
        <v>9.6784009435394794E-3</v>
      </c>
      <c r="K50" s="6" t="s">
        <v>14</v>
      </c>
      <c r="L50" s="6" t="b">
        <v>0</v>
      </c>
      <c r="M50" s="7" t="str">
        <f t="shared" si="0"/>
        <v>No Correlation</v>
      </c>
      <c r="N50" s="4">
        <f t="shared" si="1"/>
        <v>0.44171779141104295</v>
      </c>
      <c r="O50" s="4">
        <f>IFERROR(F50/((E50*Factor!$C$2)+F50), 0)</f>
        <v>9.7341100792653984E-2</v>
      </c>
      <c r="P50" s="7" t="e">
        <f>VLOOKUP(A50, Synopsis!$G$2:$G$15,1,FALSE)</f>
        <v>#N/A</v>
      </c>
    </row>
    <row r="51" spans="1:16" x14ac:dyDescent="0.25">
      <c r="A51" s="6" t="s">
        <v>54</v>
      </c>
      <c r="B51" s="6" t="s">
        <v>53</v>
      </c>
      <c r="C51" s="6">
        <v>350</v>
      </c>
      <c r="D51" s="6">
        <v>0.17829852266938401</v>
      </c>
      <c r="E51" s="6">
        <v>183</v>
      </c>
      <c r="F51" s="6">
        <v>167</v>
      </c>
      <c r="G51" s="6">
        <v>0.47714285714285698</v>
      </c>
      <c r="H51" s="6">
        <v>-5.37904732406543E-2</v>
      </c>
      <c r="I51" s="6">
        <v>5.1550599952024704E-4</v>
      </c>
      <c r="J51" s="6">
        <v>9.6784009435394794E-3</v>
      </c>
      <c r="K51" s="6" t="s">
        <v>22</v>
      </c>
      <c r="L51" s="6" t="b">
        <v>0</v>
      </c>
      <c r="M51" s="7" t="str">
        <f t="shared" si="0"/>
        <v>No Correlation</v>
      </c>
      <c r="N51" s="4">
        <f t="shared" si="1"/>
        <v>0.47714285714285715</v>
      </c>
      <c r="O51" s="4">
        <f>IFERROR(F51/((E51*Factor!$C$2)+F51), 0)</f>
        <v>0.110620128491572</v>
      </c>
      <c r="P51" s="7" t="e">
        <f>VLOOKUP(A51, Synopsis!$G$2:$G$15,1,FALSE)</f>
        <v>#N/A</v>
      </c>
    </row>
    <row r="52" spans="1:16" x14ac:dyDescent="0.25">
      <c r="M52" s="7" t="str">
        <f t="shared" si="0"/>
        <v/>
      </c>
    </row>
    <row r="53" spans="1:16" x14ac:dyDescent="0.25">
      <c r="A53" s="6" t="s">
        <v>0</v>
      </c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6" t="s">
        <v>8</v>
      </c>
      <c r="J53" s="6" t="s">
        <v>9</v>
      </c>
      <c r="K53" s="6" t="s">
        <v>10</v>
      </c>
      <c r="L53" s="6" t="s">
        <v>11</v>
      </c>
      <c r="M53" s="7" t="str">
        <f t="shared" si="0"/>
        <v/>
      </c>
    </row>
    <row r="54" spans="1:16" x14ac:dyDescent="0.25">
      <c r="A54" s="6" t="s">
        <v>55</v>
      </c>
      <c r="B54" s="6" t="s">
        <v>24</v>
      </c>
      <c r="C54" s="6">
        <v>945</v>
      </c>
      <c r="D54" s="6">
        <v>0.481406011207336</v>
      </c>
      <c r="E54" s="6">
        <v>478</v>
      </c>
      <c r="F54" s="6">
        <v>467</v>
      </c>
      <c r="G54" s="6">
        <v>0.494179894179894</v>
      </c>
      <c r="H54" s="6">
        <v>1.4420392361452899E-2</v>
      </c>
      <c r="I54" s="6">
        <v>1.00119151950856E-4</v>
      </c>
      <c r="J54" s="6">
        <v>7.7875403922087602E-3</v>
      </c>
      <c r="K54" s="6" t="s">
        <v>25</v>
      </c>
      <c r="L54" s="6" t="b">
        <v>0</v>
      </c>
      <c r="M54" s="7" t="str">
        <f t="shared" si="0"/>
        <v>No Correlation</v>
      </c>
      <c r="N54" s="4">
        <f t="shared" si="1"/>
        <v>0.49417989417989416</v>
      </c>
      <c r="O54" s="4">
        <f>IFERROR(F54/((E54*Factor!$C$2)+F54), 0)</f>
        <v>0.1175112969372077</v>
      </c>
      <c r="P54" s="7" t="e">
        <f>VLOOKUP(A54, Synopsis!$G$2:$G$15,1,FALSE)</f>
        <v>#N/A</v>
      </c>
    </row>
    <row r="55" spans="1:16" x14ac:dyDescent="0.25">
      <c r="A55" s="6" t="s">
        <v>55</v>
      </c>
      <c r="B55" s="6" t="s">
        <v>26</v>
      </c>
      <c r="C55" s="6">
        <v>512</v>
      </c>
      <c r="D55" s="6">
        <v>0.260825267447784</v>
      </c>
      <c r="E55" s="6">
        <v>276</v>
      </c>
      <c r="F55" s="6">
        <v>236</v>
      </c>
      <c r="G55" s="6">
        <v>0.4609375</v>
      </c>
      <c r="H55" s="6">
        <v>-0.118867193507528</v>
      </c>
      <c r="I55" s="6">
        <v>3.6768597717572798E-3</v>
      </c>
      <c r="J55" s="6">
        <v>7.7875403922087602E-3</v>
      </c>
      <c r="K55" s="6" t="s">
        <v>27</v>
      </c>
      <c r="L55" s="6" t="b">
        <v>0</v>
      </c>
      <c r="M55" s="7" t="str">
        <f t="shared" si="0"/>
        <v>No Correlation</v>
      </c>
      <c r="N55" s="4">
        <f t="shared" si="1"/>
        <v>0.4609375</v>
      </c>
      <c r="O55" s="4">
        <f>IFERROR(F55/((E55*Factor!$C$2)+F55), 0)</f>
        <v>0.10437803956812261</v>
      </c>
      <c r="P55" s="7" t="e">
        <f>VLOOKUP(A55, Synopsis!$G$2:$G$15,1,FALSE)</f>
        <v>#N/A</v>
      </c>
    </row>
    <row r="56" spans="1:16" x14ac:dyDescent="0.25">
      <c r="A56" s="6" t="s">
        <v>55</v>
      </c>
      <c r="B56" s="6" t="s">
        <v>48</v>
      </c>
      <c r="C56" s="6">
        <v>254</v>
      </c>
      <c r="D56" s="6">
        <v>0.12939378502292401</v>
      </c>
      <c r="E56" s="6">
        <v>125</v>
      </c>
      <c r="F56" s="6">
        <v>129</v>
      </c>
      <c r="G56" s="6">
        <v>0.50787401574803104</v>
      </c>
      <c r="H56" s="6">
        <v>6.9200534243382406E-2</v>
      </c>
      <c r="I56" s="6">
        <v>6.1978671635428101E-4</v>
      </c>
      <c r="J56" s="6">
        <v>7.7875403922087602E-3</v>
      </c>
      <c r="K56" s="6" t="s">
        <v>14</v>
      </c>
      <c r="L56" s="6" t="b">
        <v>0</v>
      </c>
      <c r="M56" s="7" t="str">
        <f t="shared" si="0"/>
        <v>No Correlation</v>
      </c>
      <c r="N56" s="4">
        <f t="shared" si="1"/>
        <v>0.50787401574803148</v>
      </c>
      <c r="O56" s="4">
        <f>IFERROR(F56/((E56*Factor!$C$2)+F56), 0)</f>
        <v>0.12331222368263831</v>
      </c>
      <c r="P56" s="7" t="e">
        <f>VLOOKUP(A56, Synopsis!$G$2:$G$15,1,FALSE)</f>
        <v>#N/A</v>
      </c>
    </row>
    <row r="57" spans="1:16" x14ac:dyDescent="0.25">
      <c r="A57" s="6" t="s">
        <v>55</v>
      </c>
      <c r="B57" s="6" t="s">
        <v>15</v>
      </c>
      <c r="C57" s="6">
        <v>124</v>
      </c>
      <c r="D57" s="6">
        <v>6.3168619460010206E-2</v>
      </c>
      <c r="E57" s="6">
        <v>56</v>
      </c>
      <c r="F57" s="6">
        <v>68</v>
      </c>
      <c r="G57" s="6">
        <v>0.54838709677419395</v>
      </c>
      <c r="H57" s="6">
        <v>0.23185788162496901</v>
      </c>
      <c r="I57" s="6">
        <v>3.3880624197576001E-3</v>
      </c>
      <c r="J57" s="6">
        <v>7.7875403922087602E-3</v>
      </c>
      <c r="K57" s="6" t="s">
        <v>16</v>
      </c>
      <c r="L57" s="6" t="b">
        <v>0</v>
      </c>
      <c r="M57" s="7" t="str">
        <f t="shared" si="0"/>
        <v>No Correlation</v>
      </c>
      <c r="N57" s="4">
        <f t="shared" si="1"/>
        <v>0.54838709677419351</v>
      </c>
      <c r="O57" s="4">
        <f>IFERROR(F57/((E57*Factor!$C$2)+F57), 0)</f>
        <v>0.14200036753036302</v>
      </c>
      <c r="P57" s="7" t="e">
        <f>VLOOKUP(A57, Synopsis!$G$2:$G$15,1,FALSE)</f>
        <v>#N/A</v>
      </c>
    </row>
    <row r="58" spans="1:16" x14ac:dyDescent="0.25">
      <c r="A58" s="6" t="s">
        <v>55</v>
      </c>
      <c r="B58" s="6" t="s">
        <v>56</v>
      </c>
      <c r="C58" s="6">
        <v>128</v>
      </c>
      <c r="D58" s="6">
        <v>6.5206316861946001E-2</v>
      </c>
      <c r="E58" s="6">
        <v>65</v>
      </c>
      <c r="F58" s="6">
        <v>63</v>
      </c>
      <c r="G58" s="6">
        <v>0.4921875</v>
      </c>
      <c r="H58" s="6">
        <v>6.4493236799068997E-3</v>
      </c>
      <c r="I58" s="6">
        <v>2.7123323887458299E-6</v>
      </c>
      <c r="J58" s="6">
        <v>7.7875403922087602E-3</v>
      </c>
      <c r="K58" s="6" t="s">
        <v>22</v>
      </c>
      <c r="L58" s="6" t="b">
        <v>0</v>
      </c>
      <c r="M58" s="7" t="str">
        <f t="shared" si="0"/>
        <v>No Correlation</v>
      </c>
      <c r="N58" s="4">
        <f t="shared" si="1"/>
        <v>0.4921875</v>
      </c>
      <c r="O58" s="4">
        <f>IFERROR(F58/((E58*Factor!$C$2)+F58), 0)</f>
        <v>0.11668719496948537</v>
      </c>
      <c r="P58" s="7" t="e">
        <f>VLOOKUP(A58, Synopsis!$G$2:$G$15,1,FALSE)</f>
        <v>#N/A</v>
      </c>
    </row>
    <row r="59" spans="1:16" x14ac:dyDescent="0.25">
      <c r="M59" s="7" t="str">
        <f t="shared" si="0"/>
        <v/>
      </c>
    </row>
    <row r="60" spans="1:16" x14ac:dyDescent="0.25">
      <c r="A60" s="6" t="s">
        <v>0</v>
      </c>
      <c r="B60" s="6" t="s">
        <v>1</v>
      </c>
      <c r="C60" s="6" t="s">
        <v>2</v>
      </c>
      <c r="D60" s="6" t="s">
        <v>3</v>
      </c>
      <c r="E60" s="6" t="s">
        <v>4</v>
      </c>
      <c r="F60" s="6" t="s">
        <v>5</v>
      </c>
      <c r="G60" s="6" t="s">
        <v>6</v>
      </c>
      <c r="H60" s="6" t="s">
        <v>7</v>
      </c>
      <c r="I60" s="6" t="s">
        <v>8</v>
      </c>
      <c r="J60" s="6" t="s">
        <v>9</v>
      </c>
      <c r="K60" s="6" t="s">
        <v>10</v>
      </c>
      <c r="L60" s="6" t="s">
        <v>11</v>
      </c>
      <c r="M60" s="7" t="str">
        <f t="shared" si="0"/>
        <v/>
      </c>
    </row>
    <row r="61" spans="1:16" x14ac:dyDescent="0.25">
      <c r="A61" s="6" t="s">
        <v>57</v>
      </c>
      <c r="B61" s="6" t="s">
        <v>132</v>
      </c>
      <c r="C61" s="6">
        <v>1422</v>
      </c>
      <c r="D61" s="6">
        <v>0.72440142638818095</v>
      </c>
      <c r="E61" s="6">
        <v>723</v>
      </c>
      <c r="F61" s="6">
        <v>699</v>
      </c>
      <c r="G61" s="6">
        <v>0.49156118143459898</v>
      </c>
      <c r="H61" s="6">
        <v>3.9433872590571703E-3</v>
      </c>
      <c r="I61" s="6">
        <v>1.12650657836617E-5</v>
      </c>
      <c r="J61" s="6">
        <v>4.08791261602328E-5</v>
      </c>
      <c r="K61" s="6" t="s">
        <v>61</v>
      </c>
      <c r="L61" s="6" t="b">
        <v>0</v>
      </c>
      <c r="M61" s="7" t="str">
        <f t="shared" si="0"/>
        <v>No Correlation</v>
      </c>
      <c r="N61" s="4">
        <f t="shared" si="1"/>
        <v>0.49156118143459915</v>
      </c>
      <c r="O61" s="17">
        <f>IFERROR(F61/((E61*Factor!$C$2)+F61), 0)</f>
        <v>0.1164291528604844</v>
      </c>
      <c r="P61" s="18" t="str">
        <f>VLOOKUP(A61, Synopsis!$G$2:$G$15,1,FALSE)</f>
        <v>Guar_Guaral_OS_Amt</v>
      </c>
    </row>
    <row r="62" spans="1:16" x14ac:dyDescent="0.25">
      <c r="A62" s="6" t="s">
        <v>57</v>
      </c>
      <c r="B62" s="6" t="s">
        <v>133</v>
      </c>
      <c r="C62" s="6">
        <v>541</v>
      </c>
      <c r="D62" s="6">
        <v>0.275598573611819</v>
      </c>
      <c r="E62" s="6">
        <v>277</v>
      </c>
      <c r="F62" s="6">
        <v>264</v>
      </c>
      <c r="G62" s="6">
        <v>0.48798521256931598</v>
      </c>
      <c r="H62" s="6">
        <v>-1.0366535857011101E-2</v>
      </c>
      <c r="I62" s="6">
        <v>2.9614060376571101E-5</v>
      </c>
      <c r="J62" s="6">
        <v>4.08791261602328E-5</v>
      </c>
      <c r="K62" s="6" t="s">
        <v>22</v>
      </c>
      <c r="L62" s="6" t="b">
        <v>0</v>
      </c>
      <c r="M62" s="7" t="str">
        <f t="shared" si="0"/>
        <v>No Correlation</v>
      </c>
      <c r="N62" s="4">
        <f t="shared" si="1"/>
        <v>0.4879852125693161</v>
      </c>
      <c r="O62" s="17">
        <f>IFERROR(F62/((E62*Factor!$C$2)+F62), 0)</f>
        <v>0.11496510330093553</v>
      </c>
      <c r="P62" s="18" t="str">
        <f>VLOOKUP(A62, Synopsis!$G$2:$G$15,1,FALSE)</f>
        <v>Guar_Guaral_OS_Amt</v>
      </c>
    </row>
    <row r="63" spans="1:16" x14ac:dyDescent="0.25">
      <c r="M63" s="7" t="str">
        <f t="shared" si="0"/>
        <v/>
      </c>
    </row>
    <row r="64" spans="1:16" x14ac:dyDescent="0.25">
      <c r="A64" s="6" t="s">
        <v>0</v>
      </c>
      <c r="B64" s="6" t="s">
        <v>1</v>
      </c>
      <c r="C64" s="6" t="s">
        <v>2</v>
      </c>
      <c r="D64" s="6" t="s">
        <v>3</v>
      </c>
      <c r="E64" s="6" t="s">
        <v>4</v>
      </c>
      <c r="F64" s="6" t="s">
        <v>5</v>
      </c>
      <c r="G64" s="6" t="s">
        <v>6</v>
      </c>
      <c r="H64" s="6" t="s">
        <v>7</v>
      </c>
      <c r="I64" s="6" t="s">
        <v>8</v>
      </c>
      <c r="J64" s="6" t="s">
        <v>9</v>
      </c>
      <c r="K64" s="6" t="s">
        <v>10</v>
      </c>
      <c r="L64" s="6" t="s">
        <v>11</v>
      </c>
      <c r="M64" s="7" t="str">
        <f t="shared" si="0"/>
        <v/>
      </c>
    </row>
    <row r="65" spans="1:16" x14ac:dyDescent="0.25">
      <c r="A65" s="6" t="s">
        <v>67</v>
      </c>
      <c r="B65" s="6" t="s">
        <v>68</v>
      </c>
      <c r="C65" s="6">
        <v>1860</v>
      </c>
      <c r="D65" s="6">
        <v>0.947529291900153</v>
      </c>
      <c r="E65" s="6">
        <v>956</v>
      </c>
      <c r="F65" s="6">
        <v>904</v>
      </c>
      <c r="G65" s="6">
        <v>0.48602150537634398</v>
      </c>
      <c r="H65" s="6">
        <v>-1.8226685475213299E-2</v>
      </c>
      <c r="I65" s="6">
        <v>3.1471788793545802E-4</v>
      </c>
      <c r="J65" s="6">
        <v>6.0309110675898798E-3</v>
      </c>
      <c r="K65" s="6" t="s">
        <v>69</v>
      </c>
      <c r="L65" s="6" t="b">
        <v>0</v>
      </c>
      <c r="M65" s="7" t="str">
        <f t="shared" si="0"/>
        <v>No Correlation</v>
      </c>
      <c r="N65" s="4">
        <f t="shared" si="1"/>
        <v>0.48602150537634409</v>
      </c>
      <c r="O65" s="4">
        <f>IFERROR(F65/((E65*Factor!$C$2)+F65), 0)</f>
        <v>0.11416776498414029</v>
      </c>
      <c r="P65" s="7" t="e">
        <f>VLOOKUP(A65, Synopsis!$G$2:$G$15,1,FALSE)</f>
        <v>#N/A</v>
      </c>
    </row>
    <row r="66" spans="1:16" x14ac:dyDescent="0.25">
      <c r="A66" s="6" t="s">
        <v>67</v>
      </c>
      <c r="B66" s="6" t="s">
        <v>70</v>
      </c>
      <c r="C66" s="6">
        <v>103</v>
      </c>
      <c r="D66" s="6">
        <v>5.2470708099847198E-2</v>
      </c>
      <c r="E66" s="6">
        <v>44</v>
      </c>
      <c r="F66" s="6">
        <v>59</v>
      </c>
      <c r="G66" s="6">
        <v>0.57281553398058205</v>
      </c>
      <c r="H66" s="6">
        <v>0.33104967717146999</v>
      </c>
      <c r="I66" s="6">
        <v>5.7161931796544203E-3</v>
      </c>
      <c r="J66" s="6">
        <v>6.0309110675898798E-3</v>
      </c>
      <c r="K66" s="6" t="s">
        <v>22</v>
      </c>
      <c r="L66" s="6" t="b">
        <v>0</v>
      </c>
      <c r="M66" s="7" t="str">
        <f t="shared" si="0"/>
        <v>No Correlation</v>
      </c>
      <c r="N66" s="4">
        <f t="shared" si="1"/>
        <v>0.57281553398058249</v>
      </c>
      <c r="O66" s="4">
        <f>IFERROR(F66/((E66*Factor!$C$2)+F66), 0)</f>
        <v>0.15451983615659409</v>
      </c>
      <c r="P66" s="7" t="e">
        <f>VLOOKUP(A66, Synopsis!$G$2:$G$15,1,FALSE)</f>
        <v>#N/A</v>
      </c>
    </row>
    <row r="67" spans="1:16" x14ac:dyDescent="0.25">
      <c r="M67" s="7" t="str">
        <f t="shared" ref="M67:M130" si="2">IFERROR(IF(NOT(ISNUMBER(J67)), "", IF(J67&lt;0.01,"No Correlation",IF(J67&lt;0.03,"Marginal contribution",IF(J67&lt;0.1,"Adequate predictability",IF(J67&lt;0.3,"Strong Predictor",IF(J67&lt;0.5,"Very Strong predictor",IF(J67&gt;=0.5,"Extremely high correlation", ))))))), "")</f>
        <v/>
      </c>
    </row>
    <row r="68" spans="1:16" x14ac:dyDescent="0.25">
      <c r="A68" s="6" t="s">
        <v>0</v>
      </c>
      <c r="B68" s="6" t="s">
        <v>1</v>
      </c>
      <c r="C68" s="6" t="s">
        <v>2</v>
      </c>
      <c r="D68" s="6" t="s">
        <v>3</v>
      </c>
      <c r="E68" s="6" t="s">
        <v>4</v>
      </c>
      <c r="F68" s="6" t="s">
        <v>5</v>
      </c>
      <c r="G68" s="6" t="s">
        <v>6</v>
      </c>
      <c r="H68" s="6" t="s">
        <v>7</v>
      </c>
      <c r="I68" s="6" t="s">
        <v>8</v>
      </c>
      <c r="J68" s="6" t="s">
        <v>9</v>
      </c>
      <c r="K68" s="6" t="s">
        <v>10</v>
      </c>
      <c r="L68" s="6" t="s">
        <v>11</v>
      </c>
      <c r="M68" s="7" t="str">
        <f t="shared" si="2"/>
        <v/>
      </c>
    </row>
    <row r="69" spans="1:16" x14ac:dyDescent="0.25">
      <c r="A69" s="6" t="s">
        <v>71</v>
      </c>
      <c r="B69" s="6" t="s">
        <v>24</v>
      </c>
      <c r="C69" s="6">
        <v>1861</v>
      </c>
      <c r="D69" s="6">
        <v>0.94803871625063696</v>
      </c>
      <c r="E69" s="6">
        <v>954</v>
      </c>
      <c r="F69" s="6">
        <v>907</v>
      </c>
      <c r="G69" s="6">
        <v>0.48737238044062298</v>
      </c>
      <c r="H69" s="6">
        <v>-1.28193541491385E-2</v>
      </c>
      <c r="I69" s="6">
        <v>1.55775786348098E-4</v>
      </c>
      <c r="J69" s="6">
        <v>3.0042608466332799E-3</v>
      </c>
      <c r="K69" s="6" t="s">
        <v>25</v>
      </c>
      <c r="L69" s="6" t="b">
        <v>0</v>
      </c>
      <c r="M69" s="7" t="str">
        <f t="shared" si="2"/>
        <v>No Correlation</v>
      </c>
      <c r="N69" s="4">
        <f t="shared" ref="N69:N130" si="3">IFERROR(F69/C69, 0)</f>
        <v>0.48737238044062331</v>
      </c>
      <c r="O69" s="4">
        <f>IFERROR(F69/((E69*Factor!$C$2)+F69), 0)</f>
        <v>0.11471576923183943</v>
      </c>
      <c r="P69" s="7" t="e">
        <f>VLOOKUP(A69, Synopsis!$G$2:$G$15,1,FALSE)</f>
        <v>#N/A</v>
      </c>
    </row>
    <row r="70" spans="1:16" x14ac:dyDescent="0.25">
      <c r="A70" s="6" t="s">
        <v>71</v>
      </c>
      <c r="B70" s="6" t="s">
        <v>45</v>
      </c>
      <c r="C70" s="6">
        <v>102</v>
      </c>
      <c r="D70" s="6">
        <v>5.19612837493632E-2</v>
      </c>
      <c r="E70" s="6">
        <v>46</v>
      </c>
      <c r="F70" s="6">
        <v>56</v>
      </c>
      <c r="G70" s="6">
        <v>0.54901960784313697</v>
      </c>
      <c r="H70" s="6">
        <v>0.23441216143006599</v>
      </c>
      <c r="I70" s="6">
        <v>2.8484850602851801E-3</v>
      </c>
      <c r="J70" s="6">
        <v>3.0042608466332799E-3</v>
      </c>
      <c r="K70" s="6" t="s">
        <v>22</v>
      </c>
      <c r="L70" s="6" t="b">
        <v>0</v>
      </c>
      <c r="M70" s="7" t="str">
        <f t="shared" si="2"/>
        <v>No Correlation</v>
      </c>
      <c r="N70" s="4">
        <f t="shared" si="3"/>
        <v>0.5490196078431373</v>
      </c>
      <c r="O70" s="4">
        <f>IFERROR(F70/((E70*Factor!$C$2)+F70), 0)</f>
        <v>0.1423118561023832</v>
      </c>
      <c r="P70" s="7" t="e">
        <f>VLOOKUP(A70, Synopsis!$G$2:$G$15,1,FALSE)</f>
        <v>#N/A</v>
      </c>
    </row>
    <row r="71" spans="1:16" x14ac:dyDescent="0.25">
      <c r="M71" s="7" t="str">
        <f t="shared" si="2"/>
        <v/>
      </c>
    </row>
    <row r="72" spans="1:16" x14ac:dyDescent="0.25">
      <c r="A72" s="6" t="s">
        <v>0</v>
      </c>
      <c r="B72" s="6" t="s">
        <v>1</v>
      </c>
      <c r="C72" s="6" t="s">
        <v>2</v>
      </c>
      <c r="D72" s="6" t="s">
        <v>3</v>
      </c>
      <c r="E72" s="6" t="s">
        <v>4</v>
      </c>
      <c r="F72" s="6" t="s">
        <v>5</v>
      </c>
      <c r="G72" s="6" t="s">
        <v>6</v>
      </c>
      <c r="H72" s="6" t="s">
        <v>7</v>
      </c>
      <c r="I72" s="6" t="s">
        <v>8</v>
      </c>
      <c r="J72" s="6" t="s">
        <v>9</v>
      </c>
      <c r="K72" s="6" t="s">
        <v>10</v>
      </c>
      <c r="L72" s="6" t="s">
        <v>11</v>
      </c>
      <c r="M72" s="7" t="str">
        <f t="shared" si="2"/>
        <v/>
      </c>
    </row>
    <row r="73" spans="1:16" x14ac:dyDescent="0.25">
      <c r="A73" s="6" t="s">
        <v>72</v>
      </c>
      <c r="B73" s="6" t="s">
        <v>24</v>
      </c>
      <c r="C73" s="6">
        <v>1736</v>
      </c>
      <c r="D73" s="6">
        <v>0.88436067244014305</v>
      </c>
      <c r="E73" s="6">
        <v>892</v>
      </c>
      <c r="F73" s="6">
        <v>844</v>
      </c>
      <c r="G73" s="6">
        <v>0.486175115207373</v>
      </c>
      <c r="H73" s="6">
        <v>-1.76117708000409E-2</v>
      </c>
      <c r="I73" s="6">
        <v>2.7425349420292199E-4</v>
      </c>
      <c r="J73" s="6">
        <v>2.37173347451147E-3</v>
      </c>
      <c r="K73" s="6" t="s">
        <v>25</v>
      </c>
      <c r="L73" s="6" t="b">
        <v>0</v>
      </c>
      <c r="M73" s="7" t="str">
        <f t="shared" si="2"/>
        <v>No Correlation</v>
      </c>
      <c r="N73" s="4">
        <f t="shared" si="3"/>
        <v>0.48617511520737328</v>
      </c>
      <c r="O73" s="4">
        <f>IFERROR(F73/((E73*Factor!$C$2)+F73), 0)</f>
        <v>0.1142299682050899</v>
      </c>
      <c r="P73" s="7" t="e">
        <f>VLOOKUP(A73, Synopsis!$G$2:$G$15,1,FALSE)</f>
        <v>#N/A</v>
      </c>
    </row>
    <row r="74" spans="1:16" x14ac:dyDescent="0.25">
      <c r="A74" s="6" t="s">
        <v>72</v>
      </c>
      <c r="B74" s="6" t="s">
        <v>45</v>
      </c>
      <c r="C74" s="6">
        <v>227</v>
      </c>
      <c r="D74" s="6">
        <v>0.11563932755985699</v>
      </c>
      <c r="E74" s="6">
        <v>108</v>
      </c>
      <c r="F74" s="6">
        <v>119</v>
      </c>
      <c r="G74" s="6">
        <v>0.52422907488986803</v>
      </c>
      <c r="H74" s="6">
        <v>0.13469413317132101</v>
      </c>
      <c r="I74" s="6">
        <v>2.0974799803085498E-3</v>
      </c>
      <c r="J74" s="6">
        <v>2.37173347451147E-3</v>
      </c>
      <c r="K74" s="6" t="s">
        <v>22</v>
      </c>
      <c r="L74" s="6" t="b">
        <v>0</v>
      </c>
      <c r="M74" s="7" t="str">
        <f t="shared" si="2"/>
        <v>No Correlation</v>
      </c>
      <c r="N74" s="4">
        <f t="shared" si="3"/>
        <v>0.52422907488986781</v>
      </c>
      <c r="O74" s="4">
        <f>IFERROR(F74/((E74*Factor!$C$2)+F74), 0)</f>
        <v>0.13056892942255618</v>
      </c>
      <c r="P74" s="7" t="e">
        <f>VLOOKUP(A74, Synopsis!$G$2:$G$15,1,FALSE)</f>
        <v>#N/A</v>
      </c>
    </row>
    <row r="75" spans="1:16" x14ac:dyDescent="0.25">
      <c r="M75" s="7" t="str">
        <f t="shared" si="2"/>
        <v/>
      </c>
    </row>
    <row r="76" spans="1:16" x14ac:dyDescent="0.25">
      <c r="A76" s="6" t="s">
        <v>0</v>
      </c>
      <c r="B76" s="6" t="s">
        <v>1</v>
      </c>
      <c r="C76" s="6" t="s">
        <v>2</v>
      </c>
      <c r="D76" s="6" t="s">
        <v>3</v>
      </c>
      <c r="E76" s="6" t="s">
        <v>4</v>
      </c>
      <c r="F76" s="6" t="s">
        <v>5</v>
      </c>
      <c r="G76" s="6" t="s">
        <v>6</v>
      </c>
      <c r="H76" s="6" t="s">
        <v>7</v>
      </c>
      <c r="I76" s="6" t="s">
        <v>8</v>
      </c>
      <c r="J76" s="6" t="s">
        <v>9</v>
      </c>
      <c r="K76" s="6" t="s">
        <v>10</v>
      </c>
      <c r="L76" s="6" t="s">
        <v>11</v>
      </c>
      <c r="M76" s="7" t="str">
        <f t="shared" si="2"/>
        <v/>
      </c>
    </row>
    <row r="77" spans="1:16" x14ac:dyDescent="0.25">
      <c r="A77" s="6" t="s">
        <v>73</v>
      </c>
      <c r="B77" s="6" t="s">
        <v>24</v>
      </c>
      <c r="C77" s="6">
        <v>1677</v>
      </c>
      <c r="D77" s="6">
        <v>0.85430463576158899</v>
      </c>
      <c r="E77" s="6">
        <v>863</v>
      </c>
      <c r="F77" s="6">
        <v>814</v>
      </c>
      <c r="G77" s="6">
        <v>0.48539057841383398</v>
      </c>
      <c r="H77" s="6">
        <v>-2.07524578968762E-2</v>
      </c>
      <c r="I77" s="6">
        <v>3.6783354500704202E-4</v>
      </c>
      <c r="J77" s="6">
        <v>3.7133589679329902E-3</v>
      </c>
      <c r="K77" s="6" t="s">
        <v>25</v>
      </c>
      <c r="L77" s="6" t="b">
        <v>0</v>
      </c>
      <c r="M77" s="7" t="str">
        <f t="shared" si="2"/>
        <v>No Correlation</v>
      </c>
      <c r="N77" s="4">
        <f t="shared" si="3"/>
        <v>0.48539057841383421</v>
      </c>
      <c r="O77" s="4">
        <f>IFERROR(F77/((E77*Factor!$C$2)+F77), 0)</f>
        <v>0.1139125736390911</v>
      </c>
      <c r="P77" s="7" t="e">
        <f>VLOOKUP(A77, Synopsis!$G$2:$G$15,1,FALSE)</f>
        <v>#N/A</v>
      </c>
    </row>
    <row r="78" spans="1:16" x14ac:dyDescent="0.25">
      <c r="A78" s="6" t="s">
        <v>73</v>
      </c>
      <c r="B78" s="6" t="s">
        <v>26</v>
      </c>
      <c r="C78" s="6">
        <v>157</v>
      </c>
      <c r="D78" s="6">
        <v>7.9979623025980606E-2</v>
      </c>
      <c r="E78" s="6">
        <v>72</v>
      </c>
      <c r="F78" s="6">
        <v>85</v>
      </c>
      <c r="G78" s="6">
        <v>0.54140127388534998</v>
      </c>
      <c r="H78" s="6">
        <v>0.203687004658273</v>
      </c>
      <c r="I78" s="6">
        <v>3.3131393987198198E-3</v>
      </c>
      <c r="J78" s="6">
        <v>3.7133589679329902E-3</v>
      </c>
      <c r="K78" s="6" t="s">
        <v>27</v>
      </c>
      <c r="L78" s="6" t="b">
        <v>0</v>
      </c>
      <c r="M78" s="7" t="str">
        <f t="shared" si="2"/>
        <v>No Correlation</v>
      </c>
      <c r="N78" s="4">
        <f t="shared" si="3"/>
        <v>0.54140127388535031</v>
      </c>
      <c r="O78" s="4">
        <f>IFERROR(F78/((E78*Factor!$C$2)+F78), 0)</f>
        <v>0.13860262464452502</v>
      </c>
      <c r="P78" s="7" t="e">
        <f>VLOOKUP(A78, Synopsis!$G$2:$G$15,1,FALSE)</f>
        <v>#N/A</v>
      </c>
    </row>
    <row r="79" spans="1:16" x14ac:dyDescent="0.25">
      <c r="A79" s="6" t="s">
        <v>73</v>
      </c>
      <c r="B79" s="6" t="s">
        <v>51</v>
      </c>
      <c r="C79" s="6">
        <v>129</v>
      </c>
      <c r="D79" s="6">
        <v>6.5715741212429998E-2</v>
      </c>
      <c r="E79" s="6">
        <v>65</v>
      </c>
      <c r="F79" s="6">
        <v>64</v>
      </c>
      <c r="G79" s="6">
        <v>0.49612403100775199</v>
      </c>
      <c r="H79" s="6">
        <v>2.2197680648046201E-2</v>
      </c>
      <c r="I79" s="6">
        <v>3.23860242061318E-5</v>
      </c>
      <c r="J79" s="6">
        <v>3.7133589679329902E-3</v>
      </c>
      <c r="K79" s="6" t="s">
        <v>22</v>
      </c>
      <c r="L79" s="6" t="b">
        <v>0</v>
      </c>
      <c r="M79" s="7" t="str">
        <f t="shared" si="2"/>
        <v>No Correlation</v>
      </c>
      <c r="N79" s="4">
        <f t="shared" si="3"/>
        <v>0.49612403100775193</v>
      </c>
      <c r="O79" s="4">
        <f>IFERROR(F79/((E79*Factor!$C$2)+F79), 0)</f>
        <v>0.11832022258991876</v>
      </c>
      <c r="P79" s="7" t="e">
        <f>VLOOKUP(A79, Synopsis!$G$2:$G$15,1,FALSE)</f>
        <v>#N/A</v>
      </c>
    </row>
    <row r="80" spans="1:16" x14ac:dyDescent="0.25">
      <c r="M80" s="7" t="str">
        <f t="shared" si="2"/>
        <v/>
      </c>
    </row>
    <row r="81" spans="1:16" x14ac:dyDescent="0.25">
      <c r="A81" s="6" t="s">
        <v>0</v>
      </c>
      <c r="B81" s="6" t="s">
        <v>1</v>
      </c>
      <c r="C81" s="6" t="s">
        <v>2</v>
      </c>
      <c r="D81" s="6" t="s">
        <v>3</v>
      </c>
      <c r="E81" s="6" t="s">
        <v>4</v>
      </c>
      <c r="F81" s="6" t="s">
        <v>5</v>
      </c>
      <c r="G81" s="6" t="s">
        <v>6</v>
      </c>
      <c r="H81" s="6" t="s">
        <v>7</v>
      </c>
      <c r="I81" s="6" t="s">
        <v>8</v>
      </c>
      <c r="J81" s="6" t="s">
        <v>9</v>
      </c>
      <c r="K81" s="6" t="s">
        <v>10</v>
      </c>
      <c r="L81" s="6" t="s">
        <v>11</v>
      </c>
      <c r="M81" s="7" t="str">
        <f t="shared" si="2"/>
        <v/>
      </c>
    </row>
    <row r="82" spans="1:16" x14ac:dyDescent="0.25">
      <c r="A82" s="6" t="s">
        <v>74</v>
      </c>
      <c r="B82" s="6" t="s">
        <v>24</v>
      </c>
      <c r="C82" s="6">
        <v>1303</v>
      </c>
      <c r="D82" s="6">
        <v>0.66377992868059099</v>
      </c>
      <c r="E82" s="6">
        <v>644</v>
      </c>
      <c r="F82" s="6">
        <v>659</v>
      </c>
      <c r="G82" s="6">
        <v>0.50575594781274003</v>
      </c>
      <c r="H82" s="6">
        <v>6.0726675582164998E-2</v>
      </c>
      <c r="I82" s="6">
        <v>2.4484894698902399E-3</v>
      </c>
      <c r="J82" s="6">
        <v>1.0077780162383001E-2</v>
      </c>
      <c r="K82" s="6" t="s">
        <v>25</v>
      </c>
      <c r="L82" s="6" t="b">
        <v>0</v>
      </c>
      <c r="M82" s="7" t="str">
        <f t="shared" si="2"/>
        <v>Marginal contribution</v>
      </c>
      <c r="N82" s="4">
        <f t="shared" si="3"/>
        <v>0.5057559478127398</v>
      </c>
      <c r="O82" s="17">
        <f>IFERROR(F82/((E82*Factor!$C$2)+F82), 0)</f>
        <v>0.12239906627528682</v>
      </c>
      <c r="P82" s="18" t="str">
        <f>VLOOKUP(A82, Synopsis!$G$2:$G$15,1,FALSE)</f>
        <v>Guar_Terminated_Loans_L24</v>
      </c>
    </row>
    <row r="83" spans="1:16" x14ac:dyDescent="0.25">
      <c r="A83" s="6" t="s">
        <v>74</v>
      </c>
      <c r="B83" s="6" t="s">
        <v>26</v>
      </c>
      <c r="C83" s="6">
        <v>329</v>
      </c>
      <c r="D83" s="6">
        <v>0.16760061130922099</v>
      </c>
      <c r="E83" s="6">
        <v>170</v>
      </c>
      <c r="F83" s="6">
        <v>159</v>
      </c>
      <c r="G83" s="6">
        <v>0.48328267477203601</v>
      </c>
      <c r="H83" s="6">
        <v>-2.9192367646018801E-2</v>
      </c>
      <c r="I83" s="6">
        <v>1.4277886979517101E-4</v>
      </c>
      <c r="J83" s="6">
        <v>1.0077780162383001E-2</v>
      </c>
      <c r="K83" s="6" t="s">
        <v>27</v>
      </c>
      <c r="L83" s="6" t="b">
        <v>0</v>
      </c>
      <c r="M83" s="7" t="str">
        <f t="shared" si="2"/>
        <v>Marginal contribution</v>
      </c>
      <c r="N83" s="4">
        <f t="shared" si="3"/>
        <v>0.48328267477203646</v>
      </c>
      <c r="O83" s="17">
        <f>IFERROR(F83/((E83*Factor!$C$2)+F83), 0)</f>
        <v>0.11306345063962625</v>
      </c>
      <c r="P83" s="18" t="str">
        <f>VLOOKUP(A83, Synopsis!$G$2:$G$15,1,FALSE)</f>
        <v>Guar_Terminated_Loans_L24</v>
      </c>
    </row>
    <row r="84" spans="1:16" x14ac:dyDescent="0.25">
      <c r="A84" s="6" t="s">
        <v>74</v>
      </c>
      <c r="B84" s="6" t="s">
        <v>51</v>
      </c>
      <c r="C84" s="6">
        <v>331</v>
      </c>
      <c r="D84" s="6">
        <v>0.16861946001018799</v>
      </c>
      <c r="E84" s="6">
        <v>186</v>
      </c>
      <c r="F84" s="6">
        <v>145</v>
      </c>
      <c r="G84" s="6">
        <v>0.43806646525679799</v>
      </c>
      <c r="H84" s="6">
        <v>-0.211311064108615</v>
      </c>
      <c r="I84" s="6">
        <v>7.4865118226975502E-3</v>
      </c>
      <c r="J84" s="6">
        <v>1.0077780162383001E-2</v>
      </c>
      <c r="K84" s="6" t="s">
        <v>22</v>
      </c>
      <c r="L84" s="6" t="b">
        <v>0</v>
      </c>
      <c r="M84" s="7" t="str">
        <f t="shared" si="2"/>
        <v>Marginal contribution</v>
      </c>
      <c r="N84" s="4">
        <f t="shared" si="3"/>
        <v>0.4380664652567976</v>
      </c>
      <c r="O84" s="17">
        <f>IFERROR(F84/((E84*Factor!$C$2)+F84), 0)</f>
        <v>9.6046717123208725E-2</v>
      </c>
      <c r="P84" s="18" t="str">
        <f>VLOOKUP(A84, Synopsis!$G$2:$G$15,1,FALSE)</f>
        <v>Guar_Terminated_Loans_L24</v>
      </c>
    </row>
    <row r="85" spans="1:16" x14ac:dyDescent="0.25">
      <c r="M85" s="7" t="str">
        <f t="shared" si="2"/>
        <v/>
      </c>
    </row>
    <row r="86" spans="1:16" x14ac:dyDescent="0.25">
      <c r="A86" s="6" t="s">
        <v>0</v>
      </c>
      <c r="B86" s="6" t="s">
        <v>1</v>
      </c>
      <c r="C86" s="6" t="s">
        <v>2</v>
      </c>
      <c r="D86" s="6" t="s">
        <v>3</v>
      </c>
      <c r="E86" s="6" t="s">
        <v>4</v>
      </c>
      <c r="F86" s="6" t="s">
        <v>5</v>
      </c>
      <c r="G86" s="6" t="s">
        <v>6</v>
      </c>
      <c r="H86" s="6" t="s">
        <v>7</v>
      </c>
      <c r="I86" s="6" t="s">
        <v>8</v>
      </c>
      <c r="J86" s="6" t="s">
        <v>9</v>
      </c>
      <c r="K86" s="6" t="s">
        <v>10</v>
      </c>
      <c r="L86" s="6" t="s">
        <v>11</v>
      </c>
      <c r="M86" s="7" t="str">
        <f t="shared" si="2"/>
        <v/>
      </c>
    </row>
    <row r="87" spans="1:16" x14ac:dyDescent="0.25">
      <c r="A87" s="6" t="s">
        <v>75</v>
      </c>
      <c r="B87" s="6" t="s">
        <v>24</v>
      </c>
      <c r="C87" s="6">
        <v>1384</v>
      </c>
      <c r="D87" s="6">
        <v>0.70504330106979096</v>
      </c>
      <c r="E87" s="6">
        <v>727</v>
      </c>
      <c r="F87" s="6">
        <v>657</v>
      </c>
      <c r="G87" s="6">
        <v>0.47471098265896</v>
      </c>
      <c r="H87" s="6">
        <v>-6.3540591864897397E-2</v>
      </c>
      <c r="I87" s="6">
        <v>2.8438868639345202E-3</v>
      </c>
      <c r="J87" s="6">
        <v>1.01203813114097E-2</v>
      </c>
      <c r="K87" s="6" t="s">
        <v>25</v>
      </c>
      <c r="L87" s="6" t="b">
        <v>0</v>
      </c>
      <c r="M87" s="7" t="str">
        <f t="shared" si="2"/>
        <v>Marginal contribution</v>
      </c>
      <c r="N87" s="4">
        <f t="shared" si="3"/>
        <v>0.47471098265895956</v>
      </c>
      <c r="O87" s="17">
        <f>IFERROR(F87/((E87*Factor!$C$2)+F87), 0)</f>
        <v>0.10966451504999417</v>
      </c>
      <c r="P87" s="18" t="str">
        <f>VLOOKUP(A87, Synopsis!$G$2:$G$15,1,FALSE)</f>
        <v>Guar_No_Term_Loans_L12</v>
      </c>
    </row>
    <row r="88" spans="1:16" x14ac:dyDescent="0.25">
      <c r="A88" s="6" t="s">
        <v>75</v>
      </c>
      <c r="B88" s="6" t="s">
        <v>26</v>
      </c>
      <c r="C88" s="6">
        <v>378</v>
      </c>
      <c r="D88" s="6">
        <v>0.19256240448293399</v>
      </c>
      <c r="E88" s="6">
        <v>181</v>
      </c>
      <c r="F88" s="6">
        <v>197</v>
      </c>
      <c r="G88" s="6">
        <v>0.52116402116402105</v>
      </c>
      <c r="H88" s="6">
        <v>0.122408564656174</v>
      </c>
      <c r="I88" s="6">
        <v>2.8850541973013399E-3</v>
      </c>
      <c r="J88" s="6">
        <v>1.01203813114097E-2</v>
      </c>
      <c r="K88" s="6" t="s">
        <v>27</v>
      </c>
      <c r="L88" s="6" t="b">
        <v>0</v>
      </c>
      <c r="M88" s="7" t="str">
        <f t="shared" si="2"/>
        <v>Marginal contribution</v>
      </c>
      <c r="N88" s="4">
        <f t="shared" si="3"/>
        <v>0.52116402116402116</v>
      </c>
      <c r="O88" s="17">
        <f>IFERROR(F88/((E88*Factor!$C$2)+F88), 0)</f>
        <v>0.12918058199458754</v>
      </c>
      <c r="P88" s="18" t="str">
        <f>VLOOKUP(A88, Synopsis!$G$2:$G$15,1,FALSE)</f>
        <v>Guar_No_Term_Loans_L12</v>
      </c>
    </row>
    <row r="89" spans="1:16" x14ac:dyDescent="0.25">
      <c r="A89" s="6" t="s">
        <v>75</v>
      </c>
      <c r="B89" s="6" t="s">
        <v>51</v>
      </c>
      <c r="C89" s="6">
        <v>201</v>
      </c>
      <c r="D89" s="6">
        <v>0.10239429444727501</v>
      </c>
      <c r="E89" s="6">
        <v>92</v>
      </c>
      <c r="F89" s="6">
        <v>109</v>
      </c>
      <c r="G89" s="6">
        <v>0.54228855721392999</v>
      </c>
      <c r="H89" s="6">
        <v>0.20726117236411501</v>
      </c>
      <c r="I89" s="6">
        <v>4.3914402501738304E-3</v>
      </c>
      <c r="J89" s="6">
        <v>1.01203813114097E-2</v>
      </c>
      <c r="K89" s="6" t="s">
        <v>22</v>
      </c>
      <c r="L89" s="6" t="b">
        <v>0</v>
      </c>
      <c r="M89" s="7" t="str">
        <f t="shared" si="2"/>
        <v>Marginal contribution</v>
      </c>
      <c r="N89" s="4">
        <f t="shared" si="3"/>
        <v>0.54228855721393032</v>
      </c>
      <c r="O89" s="17">
        <f>IFERROR(F89/((E89*Factor!$C$2)+F89), 0)</f>
        <v>0.13902990290865863</v>
      </c>
      <c r="P89" s="18" t="str">
        <f>VLOOKUP(A89, Synopsis!$G$2:$G$15,1,FALSE)</f>
        <v>Guar_No_Term_Loans_L12</v>
      </c>
    </row>
    <row r="90" spans="1:16" x14ac:dyDescent="0.25">
      <c r="M90" s="7" t="str">
        <f t="shared" si="2"/>
        <v/>
      </c>
    </row>
    <row r="91" spans="1:16" x14ac:dyDescent="0.25">
      <c r="A91" s="6" t="s">
        <v>0</v>
      </c>
      <c r="B91" s="6" t="s">
        <v>1</v>
      </c>
      <c r="C91" s="6" t="s">
        <v>2</v>
      </c>
      <c r="D91" s="6" t="s">
        <v>3</v>
      </c>
      <c r="E91" s="6" t="s">
        <v>4</v>
      </c>
      <c r="F91" s="6" t="s">
        <v>5</v>
      </c>
      <c r="G91" s="6" t="s">
        <v>6</v>
      </c>
      <c r="H91" s="6" t="s">
        <v>7</v>
      </c>
      <c r="I91" s="6" t="s">
        <v>8</v>
      </c>
      <c r="J91" s="6" t="s">
        <v>9</v>
      </c>
      <c r="K91" s="6" t="s">
        <v>10</v>
      </c>
      <c r="L91" s="6" t="s">
        <v>11</v>
      </c>
      <c r="M91" s="7" t="str">
        <f t="shared" si="2"/>
        <v/>
      </c>
    </row>
    <row r="92" spans="1:16" x14ac:dyDescent="0.25">
      <c r="A92" s="6" t="s">
        <v>76</v>
      </c>
      <c r="B92" s="6" t="s">
        <v>24</v>
      </c>
      <c r="C92" s="6">
        <v>956</v>
      </c>
      <c r="D92" s="6">
        <v>0.48700967906265902</v>
      </c>
      <c r="E92" s="6">
        <v>492</v>
      </c>
      <c r="F92" s="6">
        <v>464</v>
      </c>
      <c r="G92" s="6">
        <v>0.48535564853556501</v>
      </c>
      <c r="H92" s="6">
        <v>-2.0892297082041399E-2</v>
      </c>
      <c r="I92" s="6">
        <v>2.1252434290309301E-4</v>
      </c>
      <c r="J92" s="6">
        <v>5.9416695234866899E-3</v>
      </c>
      <c r="K92" s="6" t="s">
        <v>25</v>
      </c>
      <c r="L92" s="6" t="b">
        <v>0</v>
      </c>
      <c r="M92" s="7" t="str">
        <f t="shared" si="2"/>
        <v>No Correlation</v>
      </c>
      <c r="N92" s="4">
        <f t="shared" si="3"/>
        <v>0.48535564853556484</v>
      </c>
      <c r="O92" s="4">
        <f>IFERROR(F92/((E92*Factor!$C$2)+F92), 0)</f>
        <v>0.11389845952333494</v>
      </c>
      <c r="P92" s="7" t="e">
        <f>VLOOKUP(A92, Synopsis!$G$2:$G$15,1,FALSE)</f>
        <v>#N/A</v>
      </c>
    </row>
    <row r="93" spans="1:16" x14ac:dyDescent="0.25">
      <c r="A93" s="6" t="s">
        <v>76</v>
      </c>
      <c r="B93" s="6" t="s">
        <v>26</v>
      </c>
      <c r="C93" s="6">
        <v>453</v>
      </c>
      <c r="D93" s="6">
        <v>0.230769230769231</v>
      </c>
      <c r="E93" s="6">
        <v>240</v>
      </c>
      <c r="F93" s="6">
        <v>213</v>
      </c>
      <c r="G93" s="6">
        <v>0.47019867549668898</v>
      </c>
      <c r="H93" s="6">
        <v>-8.1644890448554705E-2</v>
      </c>
      <c r="I93" s="6">
        <v>1.536246536789E-3</v>
      </c>
      <c r="J93" s="6">
        <v>5.9416695234866899E-3</v>
      </c>
      <c r="K93" s="6" t="s">
        <v>27</v>
      </c>
      <c r="L93" s="6" t="b">
        <v>0</v>
      </c>
      <c r="M93" s="7" t="str">
        <f t="shared" si="2"/>
        <v>No Correlation</v>
      </c>
      <c r="N93" s="4">
        <f t="shared" si="3"/>
        <v>0.47019867549668876</v>
      </c>
      <c r="O93" s="4">
        <f>IFERROR(F93/((E93*Factor!$C$2)+F93), 0)</f>
        <v>0.10790929539789654</v>
      </c>
      <c r="P93" s="7" t="e">
        <f>VLOOKUP(A93, Synopsis!$G$2:$G$15,1,FALSE)</f>
        <v>#N/A</v>
      </c>
    </row>
    <row r="94" spans="1:16" x14ac:dyDescent="0.25">
      <c r="A94" s="6" t="s">
        <v>76</v>
      </c>
      <c r="B94" s="6" t="s">
        <v>48</v>
      </c>
      <c r="C94" s="6">
        <v>265</v>
      </c>
      <c r="D94" s="6">
        <v>0.13499745287824799</v>
      </c>
      <c r="E94" s="6">
        <v>124</v>
      </c>
      <c r="F94" s="6">
        <v>141</v>
      </c>
      <c r="G94" s="6">
        <v>0.53207547169811298</v>
      </c>
      <c r="H94" s="6">
        <v>0.16618019195714301</v>
      </c>
      <c r="I94" s="6">
        <v>3.7253353935314602E-3</v>
      </c>
      <c r="J94" s="6">
        <v>5.9416695234866899E-3</v>
      </c>
      <c r="K94" s="6" t="s">
        <v>14</v>
      </c>
      <c r="L94" s="6" t="b">
        <v>0</v>
      </c>
      <c r="M94" s="7" t="str">
        <f t="shared" si="2"/>
        <v>No Correlation</v>
      </c>
      <c r="N94" s="4">
        <f t="shared" si="3"/>
        <v>0.5320754716981132</v>
      </c>
      <c r="O94" s="4">
        <f>IFERROR(F94/((E94*Factor!$C$2)+F94), 0)</f>
        <v>0.13418501162936766</v>
      </c>
      <c r="P94" s="7" t="e">
        <f>VLOOKUP(A94, Synopsis!$G$2:$G$15,1,FALSE)</f>
        <v>#N/A</v>
      </c>
    </row>
    <row r="95" spans="1:16" x14ac:dyDescent="0.25">
      <c r="A95" s="6" t="s">
        <v>76</v>
      </c>
      <c r="B95" s="6" t="s">
        <v>15</v>
      </c>
      <c r="C95" s="6">
        <v>140</v>
      </c>
      <c r="D95" s="6">
        <v>7.13194090677534E-2</v>
      </c>
      <c r="E95" s="6">
        <v>71</v>
      </c>
      <c r="F95" s="6">
        <v>69</v>
      </c>
      <c r="G95" s="6">
        <v>0.49285714285714299</v>
      </c>
      <c r="H95" s="6">
        <v>9.1284947399554693E-3</v>
      </c>
      <c r="I95" s="6">
        <v>5.9434747683822303E-6</v>
      </c>
      <c r="J95" s="6">
        <v>5.9416695234866899E-3</v>
      </c>
      <c r="K95" s="6" t="s">
        <v>16</v>
      </c>
      <c r="L95" s="6" t="b">
        <v>0</v>
      </c>
      <c r="M95" s="7" t="str">
        <f t="shared" si="2"/>
        <v>No Correlation</v>
      </c>
      <c r="N95" s="4">
        <f t="shared" si="3"/>
        <v>0.49285714285714288</v>
      </c>
      <c r="O95" s="4">
        <f>IFERROR(F95/((E95*Factor!$C$2)+F95), 0)</f>
        <v>0.1169636243128387</v>
      </c>
      <c r="P95" s="7" t="e">
        <f>VLOOKUP(A95, Synopsis!$G$2:$G$15,1,FALSE)</f>
        <v>#N/A</v>
      </c>
    </row>
    <row r="96" spans="1:16" x14ac:dyDescent="0.25">
      <c r="A96" s="6" t="s">
        <v>76</v>
      </c>
      <c r="B96" s="6" t="s">
        <v>56</v>
      </c>
      <c r="C96" s="6">
        <v>149</v>
      </c>
      <c r="D96" s="6">
        <v>7.5904228222109002E-2</v>
      </c>
      <c r="E96" s="6">
        <v>73</v>
      </c>
      <c r="F96" s="6">
        <v>76</v>
      </c>
      <c r="G96" s="6">
        <v>0.51006711409395999</v>
      </c>
      <c r="H96" s="6">
        <v>7.7975766321951495E-2</v>
      </c>
      <c r="I96" s="6">
        <v>4.6161977549475199E-4</v>
      </c>
      <c r="J96" s="6">
        <v>5.9416695234866899E-3</v>
      </c>
      <c r="K96" s="6" t="s">
        <v>22</v>
      </c>
      <c r="L96" s="6" t="b">
        <v>0</v>
      </c>
      <c r="M96" s="7" t="str">
        <f t="shared" si="2"/>
        <v>No Correlation</v>
      </c>
      <c r="N96" s="4">
        <f t="shared" si="3"/>
        <v>0.51006711409395977</v>
      </c>
      <c r="O96" s="4">
        <f>IFERROR(F96/((E96*Factor!$C$2)+F96), 0)</f>
        <v>0.12426402180506572</v>
      </c>
      <c r="P96" s="7" t="e">
        <f>VLOOKUP(A96, Synopsis!$G$2:$G$15,1,FALSE)</f>
        <v>#N/A</v>
      </c>
    </row>
    <row r="97" spans="1:16" x14ac:dyDescent="0.25">
      <c r="M97" s="7" t="str">
        <f t="shared" si="2"/>
        <v/>
      </c>
    </row>
    <row r="98" spans="1:16" x14ac:dyDescent="0.25">
      <c r="A98" s="6" t="s">
        <v>0</v>
      </c>
      <c r="B98" s="6" t="s">
        <v>1</v>
      </c>
      <c r="C98" s="6" t="s">
        <v>2</v>
      </c>
      <c r="D98" s="6" t="s">
        <v>3</v>
      </c>
      <c r="E98" s="6" t="s">
        <v>4</v>
      </c>
      <c r="F98" s="6" t="s">
        <v>5</v>
      </c>
      <c r="G98" s="6" t="s">
        <v>6</v>
      </c>
      <c r="H98" s="6" t="s">
        <v>7</v>
      </c>
      <c r="I98" s="6" t="s">
        <v>8</v>
      </c>
      <c r="J98" s="6" t="s">
        <v>9</v>
      </c>
      <c r="K98" s="6" t="s">
        <v>10</v>
      </c>
      <c r="L98" s="6" t="s">
        <v>11</v>
      </c>
      <c r="M98" s="7" t="str">
        <f t="shared" si="2"/>
        <v/>
      </c>
    </row>
    <row r="99" spans="1:16" x14ac:dyDescent="0.25">
      <c r="A99" s="6" t="s">
        <v>77</v>
      </c>
      <c r="B99" s="6" t="s">
        <v>128</v>
      </c>
      <c r="C99" s="6">
        <v>899</v>
      </c>
      <c r="D99" s="6">
        <v>0.45797249108507398</v>
      </c>
      <c r="E99" s="6">
        <v>476</v>
      </c>
      <c r="F99" s="6">
        <v>423</v>
      </c>
      <c r="G99" s="6">
        <v>0.47052280311457201</v>
      </c>
      <c r="H99" s="6">
        <v>-8.0343808001130501E-2</v>
      </c>
      <c r="I99" s="6">
        <v>2.9524472248639699E-3</v>
      </c>
      <c r="J99" s="6">
        <v>6.2780402737658203E-3</v>
      </c>
      <c r="K99" s="6" t="s">
        <v>16</v>
      </c>
      <c r="L99" s="6" t="b">
        <v>0</v>
      </c>
      <c r="M99" s="7" t="str">
        <f t="shared" si="2"/>
        <v>No Correlation</v>
      </c>
      <c r="N99" s="4">
        <f t="shared" si="3"/>
        <v>0.47052280311457173</v>
      </c>
      <c r="O99" s="17">
        <f>IFERROR(F99/((E99*Factor!$C$2)+F99), 0)</f>
        <v>0.10803460785225157</v>
      </c>
      <c r="P99" s="18" t="str">
        <f>VLOOKUP(A99, Synopsis!$G$2:$G$15,1,FALSE)</f>
        <v>Tot_No_Rep_Institutes</v>
      </c>
    </row>
    <row r="100" spans="1:16" x14ac:dyDescent="0.25">
      <c r="A100" s="6" t="s">
        <v>77</v>
      </c>
      <c r="B100" s="6" t="s">
        <v>134</v>
      </c>
      <c r="C100" s="6">
        <v>954</v>
      </c>
      <c r="D100" s="6">
        <v>0.485990830361691</v>
      </c>
      <c r="E100" s="6">
        <v>473</v>
      </c>
      <c r="F100" s="6">
        <v>481</v>
      </c>
      <c r="G100" s="6">
        <v>0.50419287211740005</v>
      </c>
      <c r="H100" s="6">
        <v>5.4473748797839901E-2</v>
      </c>
      <c r="I100" s="6">
        <v>1.44250785887198E-3</v>
      </c>
      <c r="J100" s="6">
        <v>6.2780402737658203E-3</v>
      </c>
      <c r="K100" s="6" t="s">
        <v>82</v>
      </c>
      <c r="L100" s="6" t="b">
        <v>0</v>
      </c>
      <c r="M100" s="7" t="str">
        <f t="shared" si="2"/>
        <v>No Correlation</v>
      </c>
      <c r="N100" s="4">
        <f t="shared" si="3"/>
        <v>0.50419287211740038</v>
      </c>
      <c r="O100" s="17">
        <f>IFERROR(F100/((E100*Factor!$C$2)+F100), 0)</f>
        <v>0.12172897663385721</v>
      </c>
      <c r="P100" s="18" t="str">
        <f>VLOOKUP(A100, Synopsis!$G$2:$G$15,1,FALSE)</f>
        <v>Tot_No_Rep_Institutes</v>
      </c>
    </row>
    <row r="101" spans="1:16" x14ac:dyDescent="0.25">
      <c r="A101" s="6" t="s">
        <v>77</v>
      </c>
      <c r="B101" s="6" t="s">
        <v>83</v>
      </c>
      <c r="C101" s="6">
        <v>110</v>
      </c>
      <c r="D101" s="6">
        <v>5.6036678553234798E-2</v>
      </c>
      <c r="E101" s="6">
        <v>51</v>
      </c>
      <c r="F101" s="6">
        <v>59</v>
      </c>
      <c r="G101" s="6">
        <v>0.53636363636363604</v>
      </c>
      <c r="H101" s="6">
        <v>0.18341367836540501</v>
      </c>
      <c r="I101" s="6">
        <v>1.8830851900298699E-3</v>
      </c>
      <c r="J101" s="6">
        <v>6.2780402737658203E-3</v>
      </c>
      <c r="K101" s="6" t="s">
        <v>22</v>
      </c>
      <c r="L101" s="6" t="b">
        <v>0</v>
      </c>
      <c r="M101" s="7" t="str">
        <f t="shared" si="2"/>
        <v>No Correlation</v>
      </c>
      <c r="N101" s="4">
        <f t="shared" si="3"/>
        <v>0.53636363636363638</v>
      </c>
      <c r="O101" s="17">
        <f>IFERROR(F101/((E101*Factor!$C$2)+F101), 0)</f>
        <v>0.13619983979205286</v>
      </c>
      <c r="P101" s="18" t="str">
        <f>VLOOKUP(A101, Synopsis!$G$2:$G$15,1,FALSE)</f>
        <v>Tot_No_Rep_Institutes</v>
      </c>
    </row>
    <row r="102" spans="1:16" x14ac:dyDescent="0.25">
      <c r="M102" s="7" t="str">
        <f t="shared" si="2"/>
        <v/>
      </c>
    </row>
    <row r="103" spans="1:16" x14ac:dyDescent="0.25">
      <c r="A103" s="6" t="s">
        <v>0</v>
      </c>
      <c r="B103" s="6" t="s">
        <v>1</v>
      </c>
      <c r="C103" s="6" t="s">
        <v>2</v>
      </c>
      <c r="D103" s="6" t="s">
        <v>3</v>
      </c>
      <c r="E103" s="6" t="s">
        <v>4</v>
      </c>
      <c r="F103" s="6" t="s">
        <v>5</v>
      </c>
      <c r="G103" s="6" t="s">
        <v>6</v>
      </c>
      <c r="H103" s="6" t="s">
        <v>7</v>
      </c>
      <c r="I103" s="6" t="s">
        <v>8</v>
      </c>
      <c r="J103" s="6" t="s">
        <v>9</v>
      </c>
      <c r="K103" s="6" t="s">
        <v>10</v>
      </c>
      <c r="L103" s="6" t="s">
        <v>11</v>
      </c>
      <c r="M103" s="7" t="str">
        <f t="shared" si="2"/>
        <v/>
      </c>
    </row>
    <row r="104" spans="1:16" x14ac:dyDescent="0.25">
      <c r="A104" s="6" t="s">
        <v>84</v>
      </c>
      <c r="B104" s="6" t="s">
        <v>24</v>
      </c>
      <c r="C104" s="6">
        <v>344</v>
      </c>
      <c r="D104" s="6">
        <v>0.17524197656648</v>
      </c>
      <c r="E104" s="6">
        <v>187</v>
      </c>
      <c r="F104" s="6">
        <v>157</v>
      </c>
      <c r="G104" s="6">
        <v>0.456395348837209</v>
      </c>
      <c r="H104" s="6">
        <v>-0.137160944322267</v>
      </c>
      <c r="I104" s="6">
        <v>3.28744730623286E-3</v>
      </c>
      <c r="J104" s="6">
        <v>7.9937917456218508E-3</v>
      </c>
      <c r="K104" s="6" t="s">
        <v>25</v>
      </c>
      <c r="L104" s="6" t="b">
        <v>0</v>
      </c>
      <c r="M104" s="7" t="str">
        <f t="shared" si="2"/>
        <v>No Correlation</v>
      </c>
      <c r="N104" s="4">
        <f t="shared" si="3"/>
        <v>0.45639534883720928</v>
      </c>
      <c r="O104" s="4">
        <f>IFERROR(F104/((E104*Factor!$C$2)+F104), 0)</f>
        <v>0.10268021522296322</v>
      </c>
      <c r="P104" s="7" t="e">
        <f>VLOOKUP(A104, Synopsis!$G$2:$G$15,1,FALSE)</f>
        <v>#N/A</v>
      </c>
    </row>
    <row r="105" spans="1:16" x14ac:dyDescent="0.25">
      <c r="A105" s="6" t="s">
        <v>84</v>
      </c>
      <c r="B105" s="6" t="s">
        <v>26</v>
      </c>
      <c r="C105" s="6">
        <v>414</v>
      </c>
      <c r="D105" s="6">
        <v>0.21090168110035701</v>
      </c>
      <c r="E105" s="6">
        <v>212</v>
      </c>
      <c r="F105" s="6">
        <v>202</v>
      </c>
      <c r="G105" s="6">
        <v>0.48792270531401</v>
      </c>
      <c r="H105" s="6">
        <v>-1.0616710086796301E-2</v>
      </c>
      <c r="I105" s="6">
        <v>2.3769083018829501E-5</v>
      </c>
      <c r="J105" s="6">
        <v>7.9937917456218508E-3</v>
      </c>
      <c r="K105" s="6" t="s">
        <v>27</v>
      </c>
      <c r="L105" s="6" t="b">
        <v>0</v>
      </c>
      <c r="M105" s="7" t="str">
        <f t="shared" si="2"/>
        <v>No Correlation</v>
      </c>
      <c r="N105" s="4">
        <f t="shared" si="3"/>
        <v>0.48792270531400966</v>
      </c>
      <c r="O105" s="4">
        <f>IFERROR(F105/((E105*Factor!$C$2)+F105), 0)</f>
        <v>0.11493965099314687</v>
      </c>
      <c r="P105" s="7" t="e">
        <f>VLOOKUP(A105, Synopsis!$G$2:$G$15,1,FALSE)</f>
        <v>#N/A</v>
      </c>
    </row>
    <row r="106" spans="1:16" x14ac:dyDescent="0.25">
      <c r="A106" s="6" t="s">
        <v>84</v>
      </c>
      <c r="B106" s="6" t="s">
        <v>85</v>
      </c>
      <c r="C106" s="6">
        <v>652</v>
      </c>
      <c r="D106" s="6">
        <v>0.33214467651553697</v>
      </c>
      <c r="E106" s="6">
        <v>323</v>
      </c>
      <c r="F106" s="6">
        <v>329</v>
      </c>
      <c r="G106" s="6">
        <v>0.504601226993865</v>
      </c>
      <c r="H106" s="6">
        <v>5.6107294726726903E-2</v>
      </c>
      <c r="I106" s="6">
        <v>1.04587959256436E-3</v>
      </c>
      <c r="J106" s="6">
        <v>7.9937917456218508E-3</v>
      </c>
      <c r="K106" s="6" t="s">
        <v>16</v>
      </c>
      <c r="L106" s="6" t="b">
        <v>0</v>
      </c>
      <c r="M106" s="7" t="str">
        <f t="shared" si="2"/>
        <v>No Correlation</v>
      </c>
      <c r="N106" s="4">
        <f t="shared" si="3"/>
        <v>0.504601226993865</v>
      </c>
      <c r="O106" s="4">
        <f>IFERROR(F106/((E106*Factor!$C$2)+F106), 0)</f>
        <v>0.1219037286608264</v>
      </c>
      <c r="P106" s="7" t="e">
        <f>VLOOKUP(A106, Synopsis!$G$2:$G$15,1,FALSE)</f>
        <v>#N/A</v>
      </c>
    </row>
    <row r="107" spans="1:16" x14ac:dyDescent="0.25">
      <c r="A107" s="6" t="s">
        <v>84</v>
      </c>
      <c r="B107" s="6" t="s">
        <v>17</v>
      </c>
      <c r="C107" s="6">
        <v>167</v>
      </c>
      <c r="D107" s="6">
        <v>8.5073866530820205E-2</v>
      </c>
      <c r="E107" s="6">
        <v>78</v>
      </c>
      <c r="F107" s="6">
        <v>89</v>
      </c>
      <c r="G107" s="6">
        <v>0.53293413173652704</v>
      </c>
      <c r="H107" s="6">
        <v>0.16962941022656</v>
      </c>
      <c r="I107" s="6">
        <v>2.4459750679190098E-3</v>
      </c>
      <c r="J107" s="6">
        <v>7.9937917456218508E-3</v>
      </c>
      <c r="K107" s="6" t="s">
        <v>18</v>
      </c>
      <c r="L107" s="6" t="b">
        <v>0</v>
      </c>
      <c r="M107" s="7" t="str">
        <f t="shared" si="2"/>
        <v>No Correlation</v>
      </c>
      <c r="N107" s="4">
        <f t="shared" si="3"/>
        <v>0.53293413173652693</v>
      </c>
      <c r="O107" s="4">
        <f>IFERROR(F107/((E107*Factor!$C$2)+F107), 0)</f>
        <v>0.13458624558814192</v>
      </c>
      <c r="P107" s="7" t="e">
        <f>VLOOKUP(A107, Synopsis!$G$2:$G$15,1,FALSE)</f>
        <v>#N/A</v>
      </c>
    </row>
    <row r="108" spans="1:16" x14ac:dyDescent="0.25">
      <c r="A108" s="6" t="s">
        <v>84</v>
      </c>
      <c r="B108" s="6" t="s">
        <v>19</v>
      </c>
      <c r="C108" s="6">
        <v>129</v>
      </c>
      <c r="D108" s="6">
        <v>6.5715741212429998E-2</v>
      </c>
      <c r="E108" s="6">
        <v>70</v>
      </c>
      <c r="F108" s="6">
        <v>59</v>
      </c>
      <c r="G108" s="6">
        <v>0.45736434108527102</v>
      </c>
      <c r="H108" s="6">
        <v>-0.13325593095962801</v>
      </c>
      <c r="I108" s="6">
        <v>1.1637407885467001E-3</v>
      </c>
      <c r="J108" s="6">
        <v>7.9937917456218508E-3</v>
      </c>
      <c r="K108" s="6" t="s">
        <v>20</v>
      </c>
      <c r="L108" s="6" t="b">
        <v>0</v>
      </c>
      <c r="M108" s="7" t="str">
        <f t="shared" si="2"/>
        <v>No Correlation</v>
      </c>
      <c r="N108" s="4">
        <f t="shared" si="3"/>
        <v>0.4573643410852713</v>
      </c>
      <c r="O108" s="4">
        <f>IFERROR(F108/((E108*Factor!$C$2)+F108), 0)</f>
        <v>0.10304057004139086</v>
      </c>
      <c r="P108" s="7" t="e">
        <f>VLOOKUP(A108, Synopsis!$G$2:$G$15,1,FALSE)</f>
        <v>#N/A</v>
      </c>
    </row>
    <row r="109" spans="1:16" x14ac:dyDescent="0.25">
      <c r="A109" s="6" t="s">
        <v>84</v>
      </c>
      <c r="B109" s="6" t="s">
        <v>21</v>
      </c>
      <c r="C109" s="6">
        <v>257</v>
      </c>
      <c r="D109" s="6">
        <v>0.13092205807437601</v>
      </c>
      <c r="E109" s="6">
        <v>130</v>
      </c>
      <c r="F109" s="6">
        <v>127</v>
      </c>
      <c r="G109" s="6">
        <v>0.49416342412451397</v>
      </c>
      <c r="H109" s="6">
        <v>1.43545031870203E-2</v>
      </c>
      <c r="I109" s="6">
        <v>2.6979907340090001E-5</v>
      </c>
      <c r="J109" s="6">
        <v>7.9937917456218508E-3</v>
      </c>
      <c r="K109" s="6" t="s">
        <v>22</v>
      </c>
      <c r="L109" s="6" t="b">
        <v>0</v>
      </c>
      <c r="M109" s="7" t="str">
        <f t="shared" si="2"/>
        <v>No Correlation</v>
      </c>
      <c r="N109" s="4">
        <f t="shared" si="3"/>
        <v>0.49416342412451364</v>
      </c>
      <c r="O109" s="4">
        <f>IFERROR(F109/((E109*Factor!$C$2)+F109), 0)</f>
        <v>0.11750446424440929</v>
      </c>
      <c r="P109" s="7" t="e">
        <f>VLOOKUP(A109, Synopsis!$G$2:$G$15,1,FALSE)</f>
        <v>#N/A</v>
      </c>
    </row>
    <row r="110" spans="1:16" x14ac:dyDescent="0.25">
      <c r="M110" s="7" t="str">
        <f t="shared" si="2"/>
        <v/>
      </c>
    </row>
    <row r="111" spans="1:16" x14ac:dyDescent="0.25">
      <c r="A111" s="6" t="s">
        <v>0</v>
      </c>
      <c r="B111" s="6" t="s">
        <v>1</v>
      </c>
      <c r="C111" s="6" t="s">
        <v>2</v>
      </c>
      <c r="D111" s="6" t="s">
        <v>3</v>
      </c>
      <c r="E111" s="6" t="s">
        <v>4</v>
      </c>
      <c r="F111" s="6" t="s">
        <v>5</v>
      </c>
      <c r="G111" s="6" t="s">
        <v>6</v>
      </c>
      <c r="H111" s="6" t="s">
        <v>7</v>
      </c>
      <c r="I111" s="6" t="s">
        <v>8</v>
      </c>
      <c r="J111" s="6" t="s">
        <v>9</v>
      </c>
      <c r="K111" s="6" t="s">
        <v>10</v>
      </c>
      <c r="L111" s="6" t="s">
        <v>11</v>
      </c>
      <c r="M111" s="7" t="str">
        <f t="shared" si="2"/>
        <v/>
      </c>
    </row>
    <row r="112" spans="1:16" x14ac:dyDescent="0.25">
      <c r="A112" s="6" t="s">
        <v>86</v>
      </c>
      <c r="B112" s="6" t="s">
        <v>135</v>
      </c>
      <c r="C112" s="6">
        <v>1442</v>
      </c>
      <c r="D112" s="6">
        <v>0.73458991339785995</v>
      </c>
      <c r="E112" s="6">
        <v>729</v>
      </c>
      <c r="F112" s="6">
        <v>713</v>
      </c>
      <c r="G112" s="6">
        <v>0.49445214979195601</v>
      </c>
      <c r="H112" s="6">
        <v>1.5509555589649201E-2</v>
      </c>
      <c r="I112" s="6">
        <v>1.7672518534290899E-4</v>
      </c>
      <c r="J112" s="6">
        <v>6.6619204017195595E-4</v>
      </c>
      <c r="K112" s="6" t="s">
        <v>90</v>
      </c>
      <c r="L112" s="6" t="b">
        <v>0</v>
      </c>
      <c r="M112" s="7" t="str">
        <f t="shared" si="2"/>
        <v>No Correlation</v>
      </c>
      <c r="N112" s="4">
        <f t="shared" si="3"/>
        <v>0.49445214979195562</v>
      </c>
      <c r="O112" s="17">
        <f>IFERROR(F112/((E112*Factor!$C$2)+F112), 0)</f>
        <v>0.11762429283136851</v>
      </c>
      <c r="P112" s="18" t="str">
        <f>VLOOKUP(A112, Synopsis!$G$2:$G$15,1,FALSE)</f>
        <v>Tot_Total_OS_Amt</v>
      </c>
    </row>
    <row r="113" spans="1:16" x14ac:dyDescent="0.25">
      <c r="A113" s="6" t="s">
        <v>86</v>
      </c>
      <c r="B113" s="6" t="s">
        <v>136</v>
      </c>
      <c r="C113" s="6">
        <v>521</v>
      </c>
      <c r="D113" s="6">
        <v>0.26541008660213999</v>
      </c>
      <c r="E113" s="6">
        <v>271</v>
      </c>
      <c r="F113" s="6">
        <v>250</v>
      </c>
      <c r="G113" s="6">
        <v>0.479846449136276</v>
      </c>
      <c r="H113" s="6">
        <v>-4.2956035833443103E-2</v>
      </c>
      <c r="I113" s="6">
        <v>4.8946685482904699E-4</v>
      </c>
      <c r="J113" s="6">
        <v>6.6619204017195595E-4</v>
      </c>
      <c r="K113" s="6" t="s">
        <v>22</v>
      </c>
      <c r="L113" s="6" t="b">
        <v>0</v>
      </c>
      <c r="M113" s="7" t="str">
        <f t="shared" si="2"/>
        <v>No Correlation</v>
      </c>
      <c r="N113" s="4">
        <f t="shared" si="3"/>
        <v>0.47984644913627639</v>
      </c>
      <c r="O113" s="17">
        <f>IFERROR(F113/((E113*Factor!$C$2)+F113), 0)</f>
        <v>0.11169056174544648</v>
      </c>
      <c r="P113" s="18" t="str">
        <f>VLOOKUP(A113, Synopsis!$G$2:$G$15,1,FALSE)</f>
        <v>Tot_Total_OS_Amt</v>
      </c>
    </row>
    <row r="114" spans="1:16" x14ac:dyDescent="0.25">
      <c r="M114" s="7" t="str">
        <f t="shared" si="2"/>
        <v/>
      </c>
    </row>
    <row r="115" spans="1:16" x14ac:dyDescent="0.25">
      <c r="A115" s="6" t="s">
        <v>0</v>
      </c>
      <c r="B115" s="6" t="s">
        <v>1</v>
      </c>
      <c r="C115" s="6" t="s">
        <v>2</v>
      </c>
      <c r="D115" s="6" t="s">
        <v>3</v>
      </c>
      <c r="E115" s="6" t="s">
        <v>4</v>
      </c>
      <c r="F115" s="6" t="s">
        <v>5</v>
      </c>
      <c r="G115" s="6" t="s">
        <v>6</v>
      </c>
      <c r="H115" s="6" t="s">
        <v>7</v>
      </c>
      <c r="I115" s="6" t="s">
        <v>8</v>
      </c>
      <c r="J115" s="6" t="s">
        <v>9</v>
      </c>
      <c r="K115" s="6" t="s">
        <v>10</v>
      </c>
      <c r="L115" s="6" t="s">
        <v>11</v>
      </c>
      <c r="M115" s="7" t="str">
        <f t="shared" si="2"/>
        <v/>
      </c>
    </row>
    <row r="116" spans="1:16" x14ac:dyDescent="0.25">
      <c r="A116" s="6" t="s">
        <v>94</v>
      </c>
      <c r="B116" s="6" t="s">
        <v>39</v>
      </c>
      <c r="C116" s="6">
        <v>1782</v>
      </c>
      <c r="D116" s="6">
        <v>0.90779419256240401</v>
      </c>
      <c r="E116" s="6">
        <v>926</v>
      </c>
      <c r="F116" s="6">
        <v>856</v>
      </c>
      <c r="G116" s="6">
        <v>0.480359147025814</v>
      </c>
      <c r="H116" s="6">
        <v>-4.09019913204259E-2</v>
      </c>
      <c r="I116" s="6">
        <v>1.5179183445580299E-3</v>
      </c>
      <c r="J116" s="6">
        <v>1.6602308702285101E-2</v>
      </c>
      <c r="K116" s="6" t="s">
        <v>40</v>
      </c>
      <c r="L116" s="6" t="b">
        <v>0</v>
      </c>
      <c r="M116" s="7" t="str">
        <f t="shared" si="2"/>
        <v>Marginal contribution</v>
      </c>
      <c r="N116" s="4">
        <f t="shared" si="3"/>
        <v>0.48035914702581367</v>
      </c>
      <c r="O116" s="17">
        <f>IFERROR(F116/((E116*Factor!$C$2)+F116), 0)</f>
        <v>0.11189451797906998</v>
      </c>
      <c r="P116" s="18" t="str">
        <f>VLOOKUP(A116, Synopsis!$G$2:$G$15,1,FALSE)</f>
        <v>Tot_Total_Overdue_Amt</v>
      </c>
    </row>
    <row r="117" spans="1:16" x14ac:dyDescent="0.25">
      <c r="A117" s="6" t="s">
        <v>94</v>
      </c>
      <c r="B117" s="6" t="s">
        <v>41</v>
      </c>
      <c r="C117" s="6">
        <v>181</v>
      </c>
      <c r="D117" s="6">
        <v>9.2205807437595502E-2</v>
      </c>
      <c r="E117" s="6">
        <v>74</v>
      </c>
      <c r="F117" s="6">
        <v>107</v>
      </c>
      <c r="G117" s="6">
        <v>0.59116022099447496</v>
      </c>
      <c r="H117" s="6">
        <v>0.40646560844174801</v>
      </c>
      <c r="I117" s="6">
        <v>1.5084390357727099E-2</v>
      </c>
      <c r="J117" s="6">
        <v>1.6602308702285101E-2</v>
      </c>
      <c r="K117" s="6" t="s">
        <v>22</v>
      </c>
      <c r="L117" s="6" t="b">
        <v>0</v>
      </c>
      <c r="M117" s="7" t="str">
        <f t="shared" si="2"/>
        <v>Marginal contribution</v>
      </c>
      <c r="N117" s="4">
        <f t="shared" si="3"/>
        <v>0.59116022099447518</v>
      </c>
      <c r="O117" s="17">
        <f>IFERROR(F117/((E117*Factor!$C$2)+F117), 0)</f>
        <v>0.16463108788838321</v>
      </c>
      <c r="P117" s="18" t="str">
        <f>VLOOKUP(A117, Synopsis!$G$2:$G$15,1,FALSE)</f>
        <v>Tot_Total_Overdue_Amt</v>
      </c>
    </row>
    <row r="118" spans="1:16" x14ac:dyDescent="0.25">
      <c r="M118" s="7" t="str">
        <f t="shared" si="2"/>
        <v/>
      </c>
    </row>
    <row r="119" spans="1:16" x14ac:dyDescent="0.25">
      <c r="A119" s="6" t="s">
        <v>0</v>
      </c>
      <c r="B119" s="6" t="s">
        <v>1</v>
      </c>
      <c r="C119" s="6" t="s">
        <v>2</v>
      </c>
      <c r="D119" s="6" t="s">
        <v>3</v>
      </c>
      <c r="E119" s="6" t="s">
        <v>4</v>
      </c>
      <c r="F119" s="6" t="s">
        <v>5</v>
      </c>
      <c r="G119" s="6" t="s">
        <v>6</v>
      </c>
      <c r="H119" s="6" t="s">
        <v>7</v>
      </c>
      <c r="I119" s="6" t="s">
        <v>8</v>
      </c>
      <c r="J119" s="6" t="s">
        <v>9</v>
      </c>
      <c r="K119" s="6" t="s">
        <v>10</v>
      </c>
      <c r="L119" s="6" t="s">
        <v>11</v>
      </c>
      <c r="M119" s="7" t="str">
        <f t="shared" si="2"/>
        <v/>
      </c>
    </row>
    <row r="120" spans="1:16" x14ac:dyDescent="0.25">
      <c r="A120" s="6" t="s">
        <v>95</v>
      </c>
      <c r="B120" s="6" t="s">
        <v>24</v>
      </c>
      <c r="C120" s="6">
        <v>1818</v>
      </c>
      <c r="D120" s="6">
        <v>0.92613346917982697</v>
      </c>
      <c r="E120" s="6">
        <v>935</v>
      </c>
      <c r="F120" s="6">
        <v>883</v>
      </c>
      <c r="G120" s="6">
        <v>0.48569856985698601</v>
      </c>
      <c r="H120" s="6">
        <v>-1.9519461500715599E-2</v>
      </c>
      <c r="I120" s="6">
        <v>3.5278943657316401E-4</v>
      </c>
      <c r="J120" s="6">
        <v>4.7870201139387598E-3</v>
      </c>
      <c r="K120" s="6" t="s">
        <v>25</v>
      </c>
      <c r="L120" s="6" t="b">
        <v>0</v>
      </c>
      <c r="M120" s="7" t="str">
        <f t="shared" si="2"/>
        <v>No Correlation</v>
      </c>
      <c r="N120" s="4">
        <f t="shared" si="3"/>
        <v>0.48569856985698567</v>
      </c>
      <c r="O120" s="4">
        <f>IFERROR(F120/((E120*Factor!$C$2)+F120), 0)</f>
        <v>0.11403708723708027</v>
      </c>
      <c r="P120" s="7" t="e">
        <f>VLOOKUP(A120, Synopsis!$G$2:$G$15,1,FALSE)</f>
        <v>#N/A</v>
      </c>
    </row>
    <row r="121" spans="1:16" x14ac:dyDescent="0.25">
      <c r="A121" s="6" t="s">
        <v>95</v>
      </c>
      <c r="B121" s="6" t="s">
        <v>45</v>
      </c>
      <c r="C121" s="6">
        <v>145</v>
      </c>
      <c r="D121" s="6">
        <v>7.3866530820173207E-2</v>
      </c>
      <c r="E121" s="6">
        <v>65</v>
      </c>
      <c r="F121" s="6">
        <v>80</v>
      </c>
      <c r="G121" s="6">
        <v>0.55172413793103403</v>
      </c>
      <c r="H121" s="6">
        <v>0.24534123196225599</v>
      </c>
      <c r="I121" s="6">
        <v>4.4342306773655898E-3</v>
      </c>
      <c r="J121" s="6">
        <v>4.7870201139387598E-3</v>
      </c>
      <c r="K121" s="6" t="s">
        <v>22</v>
      </c>
      <c r="L121" s="6" t="b">
        <v>0</v>
      </c>
      <c r="M121" s="7" t="str">
        <f t="shared" si="2"/>
        <v>No Correlation</v>
      </c>
      <c r="N121" s="4">
        <f t="shared" si="3"/>
        <v>0.55172413793103448</v>
      </c>
      <c r="O121" s="4">
        <f>IFERROR(F121/((E121*Factor!$C$2)+F121), 0)</f>
        <v>0.14365107154721182</v>
      </c>
      <c r="P121" s="7" t="e">
        <f>VLOOKUP(A121, Synopsis!$G$2:$G$15,1,FALSE)</f>
        <v>#N/A</v>
      </c>
    </row>
    <row r="122" spans="1:16" x14ac:dyDescent="0.25">
      <c r="M122" s="7" t="str">
        <f t="shared" si="2"/>
        <v/>
      </c>
    </row>
    <row r="123" spans="1:16" x14ac:dyDescent="0.25">
      <c r="A123" s="6" t="s">
        <v>0</v>
      </c>
      <c r="B123" s="6" t="s">
        <v>1</v>
      </c>
      <c r="C123" s="6" t="s">
        <v>2</v>
      </c>
      <c r="D123" s="6" t="s">
        <v>3</v>
      </c>
      <c r="E123" s="6" t="s">
        <v>4</v>
      </c>
      <c r="F123" s="6" t="s">
        <v>5</v>
      </c>
      <c r="G123" s="6" t="s">
        <v>6</v>
      </c>
      <c r="H123" s="6" t="s">
        <v>7</v>
      </c>
      <c r="I123" s="6" t="s">
        <v>8</v>
      </c>
      <c r="J123" s="6" t="s">
        <v>9</v>
      </c>
      <c r="K123" s="6" t="s">
        <v>10</v>
      </c>
      <c r="L123" s="6" t="s">
        <v>11</v>
      </c>
      <c r="M123" s="7" t="str">
        <f t="shared" si="2"/>
        <v/>
      </c>
    </row>
    <row r="124" spans="1:16" x14ac:dyDescent="0.25">
      <c r="A124" s="6" t="s">
        <v>96</v>
      </c>
      <c r="B124" s="6" t="s">
        <v>24</v>
      </c>
      <c r="C124" s="6">
        <v>1596</v>
      </c>
      <c r="D124" s="6">
        <v>0.81304126337238902</v>
      </c>
      <c r="E124" s="6">
        <v>828</v>
      </c>
      <c r="F124" s="6">
        <v>768</v>
      </c>
      <c r="G124" s="6">
        <v>0.48120300751879702</v>
      </c>
      <c r="H124" s="6">
        <v>-3.7521554053576101E-2</v>
      </c>
      <c r="I124" s="6">
        <v>1.1441151746928401E-3</v>
      </c>
      <c r="J124" s="6">
        <v>6.3921172416688404E-3</v>
      </c>
      <c r="K124" s="6" t="s">
        <v>25</v>
      </c>
      <c r="L124" s="6" t="b">
        <v>0</v>
      </c>
      <c r="M124" s="7" t="str">
        <f t="shared" si="2"/>
        <v>No Correlation</v>
      </c>
      <c r="N124" s="4">
        <f t="shared" si="3"/>
        <v>0.48120300751879697</v>
      </c>
      <c r="O124" s="4">
        <f>IFERROR(F124/((E124*Factor!$C$2)+F124), 0)</f>
        <v>0.11223088699226484</v>
      </c>
      <c r="P124" s="7" t="e">
        <f>VLOOKUP(A124, Synopsis!$G$2:$G$15,1,FALSE)</f>
        <v>#N/A</v>
      </c>
    </row>
    <row r="125" spans="1:16" x14ac:dyDescent="0.25">
      <c r="A125" s="6" t="s">
        <v>96</v>
      </c>
      <c r="B125" s="6" t="s">
        <v>26</v>
      </c>
      <c r="C125" s="6">
        <v>200</v>
      </c>
      <c r="D125" s="6">
        <v>0.10188487009679099</v>
      </c>
      <c r="E125" s="6">
        <v>92</v>
      </c>
      <c r="F125" s="6">
        <v>108</v>
      </c>
      <c r="G125" s="6">
        <v>0.54</v>
      </c>
      <c r="H125" s="6">
        <v>0.19804451725919101</v>
      </c>
      <c r="I125" s="6">
        <v>3.9905044786057503E-3</v>
      </c>
      <c r="J125" s="6">
        <v>6.3921172416688404E-3</v>
      </c>
      <c r="K125" s="6" t="s">
        <v>27</v>
      </c>
      <c r="L125" s="6" t="b">
        <v>0</v>
      </c>
      <c r="M125" s="7" t="str">
        <f t="shared" si="2"/>
        <v>No Correlation</v>
      </c>
      <c r="N125" s="4">
        <f t="shared" si="3"/>
        <v>0.54</v>
      </c>
      <c r="O125" s="4">
        <f>IFERROR(F125/((E125*Factor!$C$2)+F125), 0)</f>
        <v>0.13793032985782958</v>
      </c>
      <c r="P125" s="7" t="e">
        <f>VLOOKUP(A125, Synopsis!$G$2:$G$15,1,FALSE)</f>
        <v>#N/A</v>
      </c>
    </row>
    <row r="126" spans="1:16" x14ac:dyDescent="0.25">
      <c r="A126" s="6" t="s">
        <v>96</v>
      </c>
      <c r="B126" s="6" t="s">
        <v>51</v>
      </c>
      <c r="C126" s="6">
        <v>167</v>
      </c>
      <c r="D126" s="6">
        <v>8.5073866530820205E-2</v>
      </c>
      <c r="E126" s="6">
        <v>80</v>
      </c>
      <c r="F126" s="6">
        <v>87</v>
      </c>
      <c r="G126" s="6">
        <v>0.52095808383233499</v>
      </c>
      <c r="H126" s="6">
        <v>0.121583351164713</v>
      </c>
      <c r="I126" s="6">
        <v>1.2574975883702399E-3</v>
      </c>
      <c r="J126" s="6">
        <v>6.3921172416688404E-3</v>
      </c>
      <c r="K126" s="6" t="s">
        <v>22</v>
      </c>
      <c r="L126" s="6" t="b">
        <v>0</v>
      </c>
      <c r="M126" s="7" t="str">
        <f t="shared" si="2"/>
        <v>No Correlation</v>
      </c>
      <c r="N126" s="4">
        <f t="shared" si="3"/>
        <v>0.52095808383233533</v>
      </c>
      <c r="O126" s="4">
        <f>IFERROR(F126/((E126*Factor!$C$2)+F126), 0)</f>
        <v>0.12908777969018931</v>
      </c>
      <c r="P126" s="7" t="e">
        <f>VLOOKUP(A126, Synopsis!$G$2:$G$15,1,FALSE)</f>
        <v>#N/A</v>
      </c>
    </row>
    <row r="127" spans="1:16" x14ac:dyDescent="0.25">
      <c r="M127" s="7" t="str">
        <f t="shared" si="2"/>
        <v/>
      </c>
    </row>
    <row r="128" spans="1:16" x14ac:dyDescent="0.25">
      <c r="A128" s="6" t="s">
        <v>0</v>
      </c>
      <c r="B128" s="6" t="s">
        <v>1</v>
      </c>
      <c r="C128" s="6" t="s">
        <v>2</v>
      </c>
      <c r="D128" s="6" t="s">
        <v>3</v>
      </c>
      <c r="E128" s="6" t="s">
        <v>4</v>
      </c>
      <c r="F128" s="6" t="s">
        <v>5</v>
      </c>
      <c r="G128" s="6" t="s">
        <v>6</v>
      </c>
      <c r="H128" s="6" t="s">
        <v>7</v>
      </c>
      <c r="I128" s="6" t="s">
        <v>8</v>
      </c>
      <c r="J128" s="6" t="s">
        <v>9</v>
      </c>
      <c r="K128" s="6" t="s">
        <v>10</v>
      </c>
      <c r="L128" s="6" t="s">
        <v>11</v>
      </c>
      <c r="M128" s="7" t="str">
        <f t="shared" si="2"/>
        <v/>
      </c>
    </row>
    <row r="129" spans="1:16" x14ac:dyDescent="0.25">
      <c r="A129" s="6" t="s">
        <v>97</v>
      </c>
      <c r="B129" s="6" t="s">
        <v>24</v>
      </c>
      <c r="C129" s="6">
        <v>1501</v>
      </c>
      <c r="D129" s="6">
        <v>0.764645950076414</v>
      </c>
      <c r="E129" s="6">
        <v>782</v>
      </c>
      <c r="F129" s="6">
        <v>719</v>
      </c>
      <c r="G129" s="6">
        <v>0.47901399067288503</v>
      </c>
      <c r="H129" s="6">
        <v>-4.6291515640252898E-2</v>
      </c>
      <c r="I129" s="6">
        <v>1.63755635701024E-3</v>
      </c>
      <c r="J129" s="6">
        <v>8.4965888745687692E-3</v>
      </c>
      <c r="K129" s="6" t="s">
        <v>25</v>
      </c>
      <c r="L129" s="6" t="b">
        <v>0</v>
      </c>
      <c r="M129" s="7" t="str">
        <f t="shared" si="2"/>
        <v>No Correlation</v>
      </c>
      <c r="N129" s="4">
        <f t="shared" si="3"/>
        <v>0.47901399067288475</v>
      </c>
      <c r="O129" s="4">
        <f>IFERROR(F129/((E129*Factor!$C$2)+F129), 0)</f>
        <v>0.11136005788864428</v>
      </c>
      <c r="P129" s="7" t="e">
        <f>VLOOKUP(A129, Synopsis!$G$2:$G$15,1,FALSE)</f>
        <v>#N/A</v>
      </c>
    </row>
    <row r="130" spans="1:16" x14ac:dyDescent="0.25">
      <c r="A130" s="6" t="s">
        <v>97</v>
      </c>
      <c r="B130" s="6" t="s">
        <v>26</v>
      </c>
      <c r="C130" s="6">
        <v>216</v>
      </c>
      <c r="D130" s="6">
        <v>0.11003565970453399</v>
      </c>
      <c r="E130" s="6">
        <v>98</v>
      </c>
      <c r="F130" s="6">
        <v>118</v>
      </c>
      <c r="G130" s="6">
        <v>0.54629629629629595</v>
      </c>
      <c r="H130" s="6">
        <v>0.22341901297910399</v>
      </c>
      <c r="I130" s="6">
        <v>5.4813059196721896E-3</v>
      </c>
      <c r="J130" s="6">
        <v>8.4965888745687692E-3</v>
      </c>
      <c r="K130" s="6" t="s">
        <v>27</v>
      </c>
      <c r="L130" s="6" t="b">
        <v>0</v>
      </c>
      <c r="M130" s="7" t="str">
        <f t="shared" si="2"/>
        <v>No Correlation</v>
      </c>
      <c r="N130" s="4">
        <f t="shared" si="3"/>
        <v>0.54629629629629628</v>
      </c>
      <c r="O130" s="4">
        <f>IFERROR(F130/((E130*Factor!$C$2)+F130), 0)</f>
        <v>0.14097531020541776</v>
      </c>
      <c r="P130" s="7" t="e">
        <f>VLOOKUP(A130, Synopsis!$G$2:$G$15,1,FALSE)</f>
        <v>#N/A</v>
      </c>
    </row>
    <row r="131" spans="1:16" x14ac:dyDescent="0.25">
      <c r="A131" s="6" t="s">
        <v>97</v>
      </c>
      <c r="B131" s="6" t="s">
        <v>48</v>
      </c>
      <c r="C131" s="6">
        <v>107</v>
      </c>
      <c r="D131" s="6">
        <v>5.4508405501783E-2</v>
      </c>
      <c r="E131" s="6">
        <v>54</v>
      </c>
      <c r="F131" s="6">
        <v>53</v>
      </c>
      <c r="G131" s="6">
        <v>0.49532710280373798</v>
      </c>
      <c r="H131" s="6">
        <v>1.9009734171858899E-2</v>
      </c>
      <c r="I131" s="6">
        <v>1.9700638321407299E-5</v>
      </c>
      <c r="J131" s="6">
        <v>8.4965888745687692E-3</v>
      </c>
      <c r="K131" s="6" t="s">
        <v>14</v>
      </c>
      <c r="L131" s="6" t="b">
        <v>0</v>
      </c>
      <c r="M131" s="7" t="str">
        <f t="shared" ref="M131:M150" si="4">IFERROR(IF(NOT(ISNUMBER(J131)), "", IF(J131&lt;0.01,"No Correlation",IF(J131&lt;0.03,"Marginal contribution",IF(J131&lt;0.1,"Adequate predictability",IF(J131&lt;0.3,"Strong Predictor",IF(J131&lt;0.5,"Very Strong predictor",IF(J131&gt;=0.5,"Extremely high correlation", ))))))), "")</f>
        <v>No Correlation</v>
      </c>
      <c r="N131" s="4">
        <f t="shared" ref="N131:N150" si="5">IFERROR(F131/C131, 0)</f>
        <v>0.49532710280373832</v>
      </c>
      <c r="O131" s="4">
        <f>IFERROR(F131/((E131*Factor!$C$2)+F131), 0)</f>
        <v>0.11798805871798183</v>
      </c>
      <c r="P131" s="7" t="e">
        <f>VLOOKUP(A131, Synopsis!$G$2:$G$15,1,FALSE)</f>
        <v>#N/A</v>
      </c>
    </row>
    <row r="132" spans="1:16" x14ac:dyDescent="0.25">
      <c r="A132" s="6" t="s">
        <v>97</v>
      </c>
      <c r="B132" s="6" t="s">
        <v>53</v>
      </c>
      <c r="C132" s="6">
        <v>139</v>
      </c>
      <c r="D132" s="6">
        <v>7.08099847172695E-2</v>
      </c>
      <c r="E132" s="6">
        <v>66</v>
      </c>
      <c r="F132" s="6">
        <v>73</v>
      </c>
      <c r="G132" s="6">
        <v>0.52517985611510798</v>
      </c>
      <c r="H132" s="6">
        <v>0.13850656630597699</v>
      </c>
      <c r="I132" s="6">
        <v>1.35802595956494E-3</v>
      </c>
      <c r="J132" s="6">
        <v>8.4965888745687692E-3</v>
      </c>
      <c r="K132" s="6" t="s">
        <v>22</v>
      </c>
      <c r="L132" s="6" t="b">
        <v>0</v>
      </c>
      <c r="M132" s="7" t="str">
        <f t="shared" si="4"/>
        <v>No Correlation</v>
      </c>
      <c r="N132" s="4">
        <f t="shared" si="5"/>
        <v>0.52517985611510787</v>
      </c>
      <c r="O132" s="4">
        <f>IFERROR(F132/((E132*Factor!$C$2)+F132), 0)</f>
        <v>0.13100232932908862</v>
      </c>
      <c r="P132" s="7" t="e">
        <f>VLOOKUP(A132, Synopsis!$G$2:$G$15,1,FALSE)</f>
        <v>#N/A</v>
      </c>
    </row>
    <row r="133" spans="1:16" x14ac:dyDescent="0.25">
      <c r="M133" s="7" t="str">
        <f t="shared" si="4"/>
        <v/>
      </c>
    </row>
    <row r="134" spans="1:16" x14ac:dyDescent="0.25">
      <c r="A134" s="6" t="s">
        <v>0</v>
      </c>
      <c r="B134" s="6" t="s">
        <v>1</v>
      </c>
      <c r="C134" s="6" t="s">
        <v>2</v>
      </c>
      <c r="D134" s="6" t="s">
        <v>3</v>
      </c>
      <c r="E134" s="6" t="s">
        <v>4</v>
      </c>
      <c r="F134" s="6" t="s">
        <v>5</v>
      </c>
      <c r="G134" s="6" t="s">
        <v>6</v>
      </c>
      <c r="H134" s="6" t="s">
        <v>7</v>
      </c>
      <c r="I134" s="6" t="s">
        <v>8</v>
      </c>
      <c r="J134" s="6" t="s">
        <v>9</v>
      </c>
      <c r="K134" s="6" t="s">
        <v>10</v>
      </c>
      <c r="L134" s="6" t="s">
        <v>11</v>
      </c>
      <c r="M134" s="7" t="str">
        <f t="shared" si="4"/>
        <v/>
      </c>
    </row>
    <row r="135" spans="1:16" x14ac:dyDescent="0.25">
      <c r="A135" s="6" t="s">
        <v>98</v>
      </c>
      <c r="B135" s="6" t="s">
        <v>99</v>
      </c>
      <c r="C135" s="6">
        <v>1147</v>
      </c>
      <c r="D135" s="6">
        <v>0.58430973000509401</v>
      </c>
      <c r="E135" s="6">
        <v>573</v>
      </c>
      <c r="F135" s="6">
        <v>574</v>
      </c>
      <c r="G135" s="6">
        <v>0.50043591979075897</v>
      </c>
      <c r="H135" s="6">
        <v>3.9445546788838499E-2</v>
      </c>
      <c r="I135" s="6">
        <v>9.0937755374766996E-4</v>
      </c>
      <c r="J135" s="6">
        <v>7.7692916392359899E-3</v>
      </c>
      <c r="K135" s="6" t="s">
        <v>27</v>
      </c>
      <c r="L135" s="6" t="b">
        <v>0</v>
      </c>
      <c r="M135" s="7" t="str">
        <f t="shared" si="4"/>
        <v>No Correlation</v>
      </c>
      <c r="N135" s="4">
        <f t="shared" si="5"/>
        <v>0.50043591979075852</v>
      </c>
      <c r="O135" s="4">
        <f>IFERROR(F135/((E135*Factor!$C$2)+F135), 0)</f>
        <v>0.12013140785429191</v>
      </c>
      <c r="P135" s="7" t="e">
        <f>VLOOKUP(A135, Synopsis!$G$2:$G$15,1,FALSE)</f>
        <v>#N/A</v>
      </c>
    </row>
    <row r="136" spans="1:16" x14ac:dyDescent="0.25">
      <c r="A136" s="6" t="s">
        <v>98</v>
      </c>
      <c r="B136" s="6" t="s">
        <v>48</v>
      </c>
      <c r="C136" s="6">
        <v>283</v>
      </c>
      <c r="D136" s="6">
        <v>0.144167091186959</v>
      </c>
      <c r="E136" s="6">
        <v>152</v>
      </c>
      <c r="F136" s="6">
        <v>131</v>
      </c>
      <c r="G136" s="6">
        <v>0.46289752650176702</v>
      </c>
      <c r="H136" s="6">
        <v>-0.110981330461113</v>
      </c>
      <c r="I136" s="6">
        <v>1.7720134342368401E-3</v>
      </c>
      <c r="J136" s="6">
        <v>7.7692916392359899E-3</v>
      </c>
      <c r="K136" s="6" t="s">
        <v>14</v>
      </c>
      <c r="L136" s="6" t="b">
        <v>0</v>
      </c>
      <c r="M136" s="7" t="str">
        <f t="shared" si="4"/>
        <v>No Correlation</v>
      </c>
      <c r="N136" s="4">
        <f t="shared" si="5"/>
        <v>0.4628975265017668</v>
      </c>
      <c r="O136" s="4">
        <f>IFERROR(F136/((E136*Factor!$C$2)+F136), 0)</f>
        <v>0.10511753906199849</v>
      </c>
      <c r="P136" s="7" t="e">
        <f>VLOOKUP(A136, Synopsis!$G$2:$G$15,1,FALSE)</f>
        <v>#N/A</v>
      </c>
    </row>
    <row r="137" spans="1:16" x14ac:dyDescent="0.25">
      <c r="A137" s="6" t="s">
        <v>98</v>
      </c>
      <c r="B137" s="6" t="s">
        <v>15</v>
      </c>
      <c r="C137" s="6">
        <v>154</v>
      </c>
      <c r="D137" s="6">
        <v>7.8451349974528795E-2</v>
      </c>
      <c r="E137" s="6">
        <v>79</v>
      </c>
      <c r="F137" s="6">
        <v>75</v>
      </c>
      <c r="G137" s="6">
        <v>0.48701298701298701</v>
      </c>
      <c r="H137" s="6">
        <v>-1.42578717466996E-2</v>
      </c>
      <c r="I137" s="6">
        <v>1.59457194924149E-5</v>
      </c>
      <c r="J137" s="6">
        <v>7.7692916392359899E-3</v>
      </c>
      <c r="K137" s="6" t="s">
        <v>16</v>
      </c>
      <c r="L137" s="6" t="b">
        <v>0</v>
      </c>
      <c r="M137" s="7" t="str">
        <f t="shared" si="4"/>
        <v>No Correlation</v>
      </c>
      <c r="N137" s="4">
        <f t="shared" si="5"/>
        <v>0.48701298701298701</v>
      </c>
      <c r="O137" s="4">
        <f>IFERROR(F137/((E137*Factor!$C$2)+F137), 0)</f>
        <v>0.11456975999926676</v>
      </c>
      <c r="P137" s="7" t="e">
        <f>VLOOKUP(A137, Synopsis!$G$2:$G$15,1,FALSE)</f>
        <v>#N/A</v>
      </c>
    </row>
    <row r="138" spans="1:16" x14ac:dyDescent="0.25">
      <c r="A138" s="6" t="s">
        <v>98</v>
      </c>
      <c r="B138" s="6" t="s">
        <v>78</v>
      </c>
      <c r="C138" s="6">
        <v>175</v>
      </c>
      <c r="D138" s="6">
        <v>8.9149261334691796E-2</v>
      </c>
      <c r="E138" s="6">
        <v>83</v>
      </c>
      <c r="F138" s="6">
        <v>92</v>
      </c>
      <c r="G138" s="6">
        <v>0.52571428571428602</v>
      </c>
      <c r="H138" s="6">
        <v>0.14064983643645401</v>
      </c>
      <c r="I138" s="6">
        <v>1.76301575869619E-3</v>
      </c>
      <c r="J138" s="6">
        <v>7.7692916392359899E-3</v>
      </c>
      <c r="K138" s="6" t="s">
        <v>20</v>
      </c>
      <c r="L138" s="6" t="b">
        <v>0</v>
      </c>
      <c r="M138" s="7" t="str">
        <f t="shared" si="4"/>
        <v>No Correlation</v>
      </c>
      <c r="N138" s="4">
        <f t="shared" si="5"/>
        <v>0.52571428571428569</v>
      </c>
      <c r="O138" s="4">
        <f>IFERROR(F138/((E138*Factor!$C$2)+F138), 0)</f>
        <v>0.13124651376447813</v>
      </c>
      <c r="P138" s="7" t="e">
        <f>VLOOKUP(A138, Synopsis!$G$2:$G$15,1,FALSE)</f>
        <v>#N/A</v>
      </c>
    </row>
    <row r="139" spans="1:16" x14ac:dyDescent="0.25">
      <c r="A139" s="6" t="s">
        <v>98</v>
      </c>
      <c r="B139" s="6" t="s">
        <v>21</v>
      </c>
      <c r="C139" s="6">
        <v>204</v>
      </c>
      <c r="D139" s="6">
        <v>0.103922567498726</v>
      </c>
      <c r="E139" s="6">
        <v>113</v>
      </c>
      <c r="F139" s="6">
        <v>91</v>
      </c>
      <c r="G139" s="6">
        <v>0.44607843137254899</v>
      </c>
      <c r="H139" s="6">
        <v>-0.17882644501147901</v>
      </c>
      <c r="I139" s="6">
        <v>3.3089391730628699E-3</v>
      </c>
      <c r="J139" s="6">
        <v>7.7692916392359899E-3</v>
      </c>
      <c r="K139" s="6" t="s">
        <v>22</v>
      </c>
      <c r="L139" s="6" t="b">
        <v>0</v>
      </c>
      <c r="M139" s="7" t="str">
        <f t="shared" si="4"/>
        <v>No Correlation</v>
      </c>
      <c r="N139" s="4">
        <f t="shared" si="5"/>
        <v>0.44607843137254904</v>
      </c>
      <c r="O139" s="4">
        <f>IFERROR(F139/((E139*Factor!$C$2)+F139), 0)</f>
        <v>9.8904335596539869E-2</v>
      </c>
      <c r="P139" s="7" t="e">
        <f>VLOOKUP(A139, Synopsis!$G$2:$G$15,1,FALSE)</f>
        <v>#N/A</v>
      </c>
    </row>
    <row r="140" spans="1:16" x14ac:dyDescent="0.25">
      <c r="M140" s="7" t="str">
        <f t="shared" si="4"/>
        <v/>
      </c>
    </row>
    <row r="141" spans="1:16" x14ac:dyDescent="0.25">
      <c r="A141" s="6" t="s">
        <v>0</v>
      </c>
      <c r="B141" s="6" t="s">
        <v>1</v>
      </c>
      <c r="C141" s="6" t="s">
        <v>2</v>
      </c>
      <c r="D141" s="6" t="s">
        <v>3</v>
      </c>
      <c r="E141" s="6" t="s">
        <v>4</v>
      </c>
      <c r="F141" s="6" t="s">
        <v>5</v>
      </c>
      <c r="G141" s="6" t="s">
        <v>6</v>
      </c>
      <c r="H141" s="6" t="s">
        <v>7</v>
      </c>
      <c r="I141" s="6" t="s">
        <v>8</v>
      </c>
      <c r="J141" s="6" t="s">
        <v>9</v>
      </c>
      <c r="K141" s="6" t="s">
        <v>10</v>
      </c>
      <c r="L141" s="6" t="s">
        <v>11</v>
      </c>
      <c r="M141" s="7" t="str">
        <f t="shared" si="4"/>
        <v/>
      </c>
    </row>
    <row r="142" spans="1:16" x14ac:dyDescent="0.25">
      <c r="A142" s="6" t="s">
        <v>100</v>
      </c>
      <c r="B142" s="6" t="s">
        <v>99</v>
      </c>
      <c r="C142" s="6">
        <v>1522</v>
      </c>
      <c r="D142" s="6">
        <v>0.77534386143657696</v>
      </c>
      <c r="E142" s="6">
        <v>804</v>
      </c>
      <c r="F142" s="6">
        <v>718</v>
      </c>
      <c r="G142" s="6">
        <v>0.47174770039421798</v>
      </c>
      <c r="H142" s="6">
        <v>-7.5427832946730694E-2</v>
      </c>
      <c r="I142" s="6">
        <v>4.4059880154927204E-3</v>
      </c>
      <c r="J142" s="6">
        <v>1.9642827560001502E-2</v>
      </c>
      <c r="K142" s="6" t="s">
        <v>27</v>
      </c>
      <c r="L142" s="6" t="b">
        <v>0</v>
      </c>
      <c r="M142" s="7" t="str">
        <f t="shared" si="4"/>
        <v>Marginal contribution</v>
      </c>
      <c r="N142" s="4">
        <f t="shared" si="5"/>
        <v>0.47174770039421815</v>
      </c>
      <c r="O142" s="17">
        <f>IFERROR(F142/((E142*Factor!$C$2)+F142), 0)</f>
        <v>0.10850924021165045</v>
      </c>
      <c r="P142" s="18" t="str">
        <f>VLOOKUP(A142, Synopsis!$G$2:$G$15,1,FALSE)</f>
        <v>Tot_No_Term_Loans_L12</v>
      </c>
    </row>
    <row r="143" spans="1:16" x14ac:dyDescent="0.25">
      <c r="A143" s="6" t="s">
        <v>100</v>
      </c>
      <c r="B143" s="6" t="s">
        <v>51</v>
      </c>
      <c r="C143" s="6">
        <v>441</v>
      </c>
      <c r="D143" s="6">
        <v>0.22465613856342301</v>
      </c>
      <c r="E143" s="6">
        <v>196</v>
      </c>
      <c r="F143" s="6">
        <v>245</v>
      </c>
      <c r="G143" s="6">
        <v>0.55555555555555602</v>
      </c>
      <c r="H143" s="6">
        <v>0.26084541849822102</v>
      </c>
      <c r="I143" s="6">
        <v>1.5236839544508799E-2</v>
      </c>
      <c r="J143" s="6">
        <v>1.9642827560001502E-2</v>
      </c>
      <c r="K143" s="6" t="s">
        <v>22</v>
      </c>
      <c r="L143" s="6" t="b">
        <v>0</v>
      </c>
      <c r="M143" s="7" t="str">
        <f t="shared" si="4"/>
        <v>Marginal contribution</v>
      </c>
      <c r="N143" s="4">
        <f t="shared" si="5"/>
        <v>0.55555555555555558</v>
      </c>
      <c r="O143" s="17">
        <f>IFERROR(F143/((E143*Factor!$C$2)+F143), 0)</f>
        <v>0.14556888319552813</v>
      </c>
      <c r="P143" s="18" t="str">
        <f>VLOOKUP(A143, Synopsis!$G$2:$G$15,1,FALSE)</f>
        <v>Tot_No_Term_Loans_L12</v>
      </c>
    </row>
    <row r="144" spans="1:16" x14ac:dyDescent="0.25">
      <c r="M144" s="7" t="str">
        <f t="shared" si="4"/>
        <v/>
      </c>
    </row>
    <row r="145" spans="1:16" x14ac:dyDescent="0.25">
      <c r="A145" s="6" t="s">
        <v>0</v>
      </c>
      <c r="B145" s="6" t="s">
        <v>1</v>
      </c>
      <c r="C145" s="6" t="s">
        <v>2</v>
      </c>
      <c r="D145" s="6" t="s">
        <v>3</v>
      </c>
      <c r="E145" s="6" t="s">
        <v>4</v>
      </c>
      <c r="F145" s="6" t="s">
        <v>5</v>
      </c>
      <c r="G145" s="6" t="s">
        <v>6</v>
      </c>
      <c r="H145" s="6" t="s">
        <v>7</v>
      </c>
      <c r="I145" s="6" t="s">
        <v>8</v>
      </c>
      <c r="J145" s="6" t="s">
        <v>9</v>
      </c>
      <c r="K145" s="6" t="s">
        <v>10</v>
      </c>
      <c r="L145" s="6" t="s">
        <v>11</v>
      </c>
      <c r="M145" s="7" t="str">
        <f t="shared" si="4"/>
        <v/>
      </c>
    </row>
    <row r="146" spans="1:16" x14ac:dyDescent="0.25">
      <c r="A146" s="6" t="s">
        <v>101</v>
      </c>
      <c r="B146" s="6" t="s">
        <v>24</v>
      </c>
      <c r="C146" s="6">
        <v>437</v>
      </c>
      <c r="D146" s="6">
        <v>0.22261844116148799</v>
      </c>
      <c r="E146" s="6">
        <v>250</v>
      </c>
      <c r="F146" s="6">
        <v>187</v>
      </c>
      <c r="G146" s="6">
        <v>0.4279176201373</v>
      </c>
      <c r="H146" s="6">
        <v>-0.25265043382364799</v>
      </c>
      <c r="I146" s="6">
        <v>1.4101724629305401E-2</v>
      </c>
      <c r="J146" s="6">
        <v>2.01507598723898E-2</v>
      </c>
      <c r="K146" s="6" t="s">
        <v>25</v>
      </c>
      <c r="L146" s="6" t="b">
        <v>0</v>
      </c>
      <c r="M146" s="7" t="str">
        <f t="shared" si="4"/>
        <v>Marginal contribution</v>
      </c>
      <c r="N146" s="4">
        <f t="shared" si="5"/>
        <v>0.42791762013729978</v>
      </c>
      <c r="O146" s="17">
        <f>IFERROR(F146/((E146*Factor!$C$2)+F146), 0)</f>
        <v>9.2517006802721083E-2</v>
      </c>
      <c r="P146" s="18" t="str">
        <f>VLOOKUP(A146, Synopsis!$G$2:$G$15,1,FALSE)</f>
        <v>Tot_No_Term_Loans_L24</v>
      </c>
    </row>
    <row r="147" spans="1:16" x14ac:dyDescent="0.25">
      <c r="A147" s="6" t="s">
        <v>101</v>
      </c>
      <c r="B147" s="6" t="s">
        <v>26</v>
      </c>
      <c r="C147" s="6">
        <v>451</v>
      </c>
      <c r="D147" s="6">
        <v>0.22975038206826301</v>
      </c>
      <c r="E147" s="6">
        <v>230</v>
      </c>
      <c r="F147" s="6">
        <v>221</v>
      </c>
      <c r="G147" s="6">
        <v>0.49002217294900202</v>
      </c>
      <c r="H147" s="6">
        <v>-2.21474022143102E-3</v>
      </c>
      <c r="I147" s="6">
        <v>1.12691870041662E-6</v>
      </c>
      <c r="J147" s="6">
        <v>2.01507598723898E-2</v>
      </c>
      <c r="K147" s="6" t="s">
        <v>27</v>
      </c>
      <c r="L147" s="6" t="b">
        <v>0</v>
      </c>
      <c r="M147" s="7" t="str">
        <f t="shared" si="4"/>
        <v>Marginal contribution</v>
      </c>
      <c r="N147" s="4">
        <f t="shared" si="5"/>
        <v>0.49002217294900224</v>
      </c>
      <c r="O147" s="17">
        <f>IFERROR(F147/((E147*Factor!$C$2)+F147), 0)</f>
        <v>0.11579714017741589</v>
      </c>
      <c r="P147" s="18" t="str">
        <f>VLOOKUP(A147, Synopsis!$G$2:$G$15,1,FALSE)</f>
        <v>Tot_No_Term_Loans_L24</v>
      </c>
    </row>
    <row r="148" spans="1:16" x14ac:dyDescent="0.25">
      <c r="A148" s="6" t="s">
        <v>101</v>
      </c>
      <c r="B148" s="6" t="s">
        <v>85</v>
      </c>
      <c r="C148" s="6">
        <v>631</v>
      </c>
      <c r="D148" s="6">
        <v>0.32144676515537401</v>
      </c>
      <c r="E148" s="6">
        <v>308</v>
      </c>
      <c r="F148" s="6">
        <v>323</v>
      </c>
      <c r="G148" s="6">
        <v>0.51188589540411999</v>
      </c>
      <c r="H148" s="6">
        <v>8.5254407433093607E-2</v>
      </c>
      <c r="I148" s="6">
        <v>2.33683835784418E-3</v>
      </c>
      <c r="J148" s="6">
        <v>2.01507598723898E-2</v>
      </c>
      <c r="K148" s="6" t="s">
        <v>16</v>
      </c>
      <c r="L148" s="6" t="b">
        <v>0</v>
      </c>
      <c r="M148" s="7" t="str">
        <f t="shared" si="4"/>
        <v>Marginal contribution</v>
      </c>
      <c r="N148" s="4">
        <f t="shared" si="5"/>
        <v>0.51188589540412044</v>
      </c>
      <c r="O148" s="17">
        <f>IFERROR(F148/((E148*Factor!$C$2)+F148), 0)</f>
        <v>0.12505827018471455</v>
      </c>
      <c r="P148" s="18" t="str">
        <f>VLOOKUP(A148, Synopsis!$G$2:$G$15,1,FALSE)</f>
        <v>Tot_No_Term_Loans_L24</v>
      </c>
    </row>
    <row r="149" spans="1:16" x14ac:dyDescent="0.25">
      <c r="A149" s="6" t="s">
        <v>101</v>
      </c>
      <c r="B149" s="6" t="s">
        <v>137</v>
      </c>
      <c r="C149" s="6">
        <v>328</v>
      </c>
      <c r="D149" s="6">
        <v>0.16709118695873701</v>
      </c>
      <c r="E149" s="6">
        <v>157</v>
      </c>
      <c r="F149" s="6">
        <v>171</v>
      </c>
      <c r="G149" s="6">
        <v>0.52134146341463405</v>
      </c>
      <c r="H149" s="6">
        <v>0.123119618338363</v>
      </c>
      <c r="I149" s="6">
        <v>2.53258205572652E-3</v>
      </c>
      <c r="J149" s="6">
        <v>2.01507598723898E-2</v>
      </c>
      <c r="K149" s="6" t="s">
        <v>103</v>
      </c>
      <c r="L149" s="6" t="b">
        <v>0</v>
      </c>
      <c r="M149" s="7" t="str">
        <f t="shared" si="4"/>
        <v>Marginal contribution</v>
      </c>
      <c r="N149" s="4">
        <f t="shared" si="5"/>
        <v>0.52134146341463417</v>
      </c>
      <c r="O149" s="17">
        <f>IFERROR(F149/((E149*Factor!$C$2)+F149), 0)</f>
        <v>0.12926059162043649</v>
      </c>
      <c r="P149" s="18" t="str">
        <f>VLOOKUP(A149, Synopsis!$G$2:$G$15,1,FALSE)</f>
        <v>Tot_No_Term_Loans_L24</v>
      </c>
    </row>
    <row r="150" spans="1:16" x14ac:dyDescent="0.25">
      <c r="A150" s="6" t="s">
        <v>101</v>
      </c>
      <c r="B150" s="6" t="s">
        <v>104</v>
      </c>
      <c r="C150" s="6">
        <v>116</v>
      </c>
      <c r="D150" s="6">
        <v>5.9093224656138602E-2</v>
      </c>
      <c r="E150" s="6">
        <v>55</v>
      </c>
      <c r="F150" s="6">
        <v>61</v>
      </c>
      <c r="G150" s="6">
        <v>0.52586206896551702</v>
      </c>
      <c r="H150" s="6">
        <v>0.14124254612485199</v>
      </c>
      <c r="I150" s="6">
        <v>1.17848791081328E-3</v>
      </c>
      <c r="J150" s="6">
        <v>2.01507598723898E-2</v>
      </c>
      <c r="K150" s="6" t="s">
        <v>22</v>
      </c>
      <c r="L150" s="6" t="b">
        <v>0</v>
      </c>
      <c r="M150" s="7" t="str">
        <f t="shared" si="4"/>
        <v>Marginal contribution</v>
      </c>
      <c r="N150" s="4">
        <f t="shared" si="5"/>
        <v>0.52586206896551724</v>
      </c>
      <c r="O150" s="17">
        <f>IFERROR(F150/((E150*Factor!$C$2)+F150), 0)</f>
        <v>0.13131410980873348</v>
      </c>
      <c r="P150" s="18" t="str">
        <f>VLOOKUP(A150, Synopsis!$G$2:$G$15,1,FALSE)</f>
        <v>Tot_No_Term_Loans_L24</v>
      </c>
    </row>
  </sheetData>
  <autoFilter ref="A1:P15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sqref="A1:E1"/>
    </sheetView>
  </sheetViews>
  <sheetFormatPr defaultRowHeight="12.75" x14ac:dyDescent="0.25"/>
  <cols>
    <col min="1" max="1" width="22.85546875" style="7" bestFit="1" customWidth="1"/>
    <col min="2" max="2" width="15.85546875" style="7" customWidth="1"/>
    <col min="3" max="3" width="28.85546875" style="7" customWidth="1"/>
    <col min="4" max="4" width="18.28515625" style="7" bestFit="1" customWidth="1"/>
    <col min="5" max="5" width="28.85546875" style="7" customWidth="1"/>
    <col min="6" max="6" width="9.140625" style="6"/>
    <col min="7" max="7" width="22.85546875" style="7" bestFit="1" customWidth="1"/>
    <col min="8" max="8" width="28.85546875" style="7" customWidth="1"/>
    <col min="9" max="9" width="15.85546875" style="7" customWidth="1"/>
    <col min="10" max="11" width="28.85546875" style="7" customWidth="1"/>
    <col min="12" max="16384" width="9.140625" style="6"/>
  </cols>
  <sheetData>
    <row r="1" spans="1:11" x14ac:dyDescent="0.25">
      <c r="A1" s="21" t="s">
        <v>115</v>
      </c>
      <c r="B1" s="21"/>
      <c r="C1" s="21"/>
      <c r="D1" s="21"/>
      <c r="E1" s="21"/>
      <c r="G1" s="21" t="s">
        <v>119</v>
      </c>
      <c r="H1" s="21"/>
      <c r="I1" s="21"/>
      <c r="J1" s="21"/>
      <c r="K1" s="21"/>
    </row>
    <row r="2" spans="1:11" x14ac:dyDescent="0.25">
      <c r="A2" s="8" t="s">
        <v>114</v>
      </c>
      <c r="B2" s="8" t="s">
        <v>111</v>
      </c>
      <c r="C2" s="8" t="s">
        <v>108</v>
      </c>
      <c r="D2" s="8" t="s">
        <v>139</v>
      </c>
      <c r="E2" s="8" t="s">
        <v>112</v>
      </c>
      <c r="G2" s="8" t="s">
        <v>114</v>
      </c>
      <c r="H2" s="8" t="s">
        <v>108</v>
      </c>
      <c r="I2" s="8" t="s">
        <v>111</v>
      </c>
      <c r="J2" s="8" t="s">
        <v>140</v>
      </c>
      <c r="K2" s="8" t="s">
        <v>141</v>
      </c>
    </row>
    <row r="3" spans="1:11" x14ac:dyDescent="0.25">
      <c r="A3" s="9" t="s">
        <v>12</v>
      </c>
      <c r="B3" s="16">
        <v>1.5827167438474302E-2</v>
      </c>
      <c r="C3" s="9" t="s">
        <v>116</v>
      </c>
      <c r="D3" s="9" t="s">
        <v>116</v>
      </c>
      <c r="E3" s="9"/>
      <c r="G3" s="14" t="s">
        <v>12</v>
      </c>
      <c r="H3" s="9" t="str">
        <f>VLOOKUP(G3, Phase2!A:M,13,FALSE)</f>
        <v>No Correlation</v>
      </c>
      <c r="I3" s="10">
        <f>VLOOKUP(G3, Phase2!A:M,10,FALSE)</f>
        <v>5.0415568562103396E-3</v>
      </c>
      <c r="J3" s="9" t="str">
        <f>VLOOKUP(G3, Phase1!A:Q,17,FALSE)</f>
        <v>1, 6</v>
      </c>
      <c r="K3" s="9" t="s">
        <v>138</v>
      </c>
    </row>
    <row r="4" spans="1:11" x14ac:dyDescent="0.25">
      <c r="A4" s="9" t="s">
        <v>23</v>
      </c>
      <c r="B4" s="16">
        <v>1.91954969991616E-2</v>
      </c>
      <c r="C4" s="9" t="s">
        <v>116</v>
      </c>
      <c r="D4" s="9" t="s">
        <v>116</v>
      </c>
      <c r="E4" s="9"/>
      <c r="G4" s="13" t="s">
        <v>23</v>
      </c>
      <c r="H4" s="13" t="str">
        <f>VLOOKUP(G4, Phase2!A:M,13,FALSE)</f>
        <v>Marginal contribution</v>
      </c>
      <c r="I4" s="15">
        <f>VLOOKUP(G4, Phase2!A:M,10,FALSE)</f>
        <v>1.38814082553012E-2</v>
      </c>
      <c r="J4" s="13" t="str">
        <f>VLOOKUP(G4, Phase1!A:Q,17,FALSE)</f>
        <v>1, 5</v>
      </c>
      <c r="K4" s="9" t="str">
        <f>J4</f>
        <v>1, 5</v>
      </c>
    </row>
    <row r="5" spans="1:11" x14ac:dyDescent="0.25">
      <c r="A5" s="9" t="s">
        <v>30</v>
      </c>
      <c r="B5" s="16">
        <v>5.33612809389181E-2</v>
      </c>
      <c r="C5" s="9" t="s">
        <v>117</v>
      </c>
      <c r="D5" s="9" t="s">
        <v>117</v>
      </c>
      <c r="E5" s="9"/>
      <c r="G5" s="14" t="s">
        <v>30</v>
      </c>
      <c r="H5" s="9" t="str">
        <f>VLOOKUP(G5, Phase2!A:M,13,FALSE)</f>
        <v>No Correlation</v>
      </c>
      <c r="I5" s="10">
        <f>VLOOKUP(G5, Phase2!A:M,10,FALSE)</f>
        <v>3.2737952117872698E-5</v>
      </c>
      <c r="J5" s="9" t="str">
        <f>VLOOKUP(G5, Phase1!A:Q,17,FALSE)</f>
        <v>900000</v>
      </c>
      <c r="K5" s="9" t="s">
        <v>143</v>
      </c>
    </row>
    <row r="6" spans="1:11" x14ac:dyDescent="0.25">
      <c r="A6" s="19" t="s">
        <v>38</v>
      </c>
      <c r="B6" s="20">
        <v>9.2511676563528395E-3</v>
      </c>
      <c r="C6" s="19" t="s">
        <v>118</v>
      </c>
      <c r="D6" s="19" t="s">
        <v>116</v>
      </c>
      <c r="E6" s="19" t="s">
        <v>113</v>
      </c>
      <c r="G6" s="14" t="s">
        <v>46</v>
      </c>
      <c r="H6" s="9" t="str">
        <f>VLOOKUP(G6, Phase2!A:M,13,FALSE)</f>
        <v>Marginal contribution</v>
      </c>
      <c r="I6" s="10">
        <f>VLOOKUP(G6, Phase2!A:M,10,FALSE)</f>
        <v>1.0518176072269099E-2</v>
      </c>
      <c r="J6" s="9">
        <f>VLOOKUP(G6, Phase1!A:Q,17,FALSE)</f>
        <v>0</v>
      </c>
      <c r="K6" s="9" t="s">
        <v>142</v>
      </c>
    </row>
    <row r="7" spans="1:11" x14ac:dyDescent="0.25">
      <c r="A7" s="9" t="s">
        <v>42</v>
      </c>
      <c r="B7" s="16">
        <v>0</v>
      </c>
      <c r="C7" s="9" t="s">
        <v>118</v>
      </c>
      <c r="D7" s="9" t="s">
        <v>118</v>
      </c>
      <c r="E7" s="9" t="s">
        <v>113</v>
      </c>
      <c r="G7" s="14" t="s">
        <v>52</v>
      </c>
      <c r="H7" s="9" t="str">
        <f>VLOOKUP(G7, Phase2!A:M,13,FALSE)</f>
        <v>Marginal contribution</v>
      </c>
      <c r="I7" s="10">
        <f>VLOOKUP(G7, Phase2!A:M,10,FALSE)</f>
        <v>2.7215193511386099E-2</v>
      </c>
      <c r="J7" s="9" t="str">
        <f>VLOOKUP(G7, Phase1!A:Q,17,FALSE)</f>
        <v>1, 2</v>
      </c>
      <c r="K7" s="9" t="s">
        <v>144</v>
      </c>
    </row>
    <row r="8" spans="1:11" x14ac:dyDescent="0.25">
      <c r="A8" s="9" t="s">
        <v>44</v>
      </c>
      <c r="B8" s="16">
        <v>6.6990233815693197E-3</v>
      </c>
      <c r="C8" s="9" t="s">
        <v>118</v>
      </c>
      <c r="D8" s="9" t="s">
        <v>118</v>
      </c>
      <c r="E8" s="9" t="s">
        <v>113</v>
      </c>
      <c r="G8" s="14" t="s">
        <v>57</v>
      </c>
      <c r="H8" s="9" t="str">
        <f>VLOOKUP(G8, Phase2!A:M,13,FALSE)</f>
        <v>No Correlation</v>
      </c>
      <c r="I8" s="10">
        <f>VLOOKUP(G8, Phase2!A:M,10,FALSE)</f>
        <v>4.08791261602328E-5</v>
      </c>
      <c r="J8" s="9" t="str">
        <f>VLOOKUP(G8, Phase1!A:Q,17,FALSE)</f>
        <v>1300000</v>
      </c>
      <c r="K8" s="9" t="s">
        <v>143</v>
      </c>
    </row>
    <row r="9" spans="1:11" x14ac:dyDescent="0.25">
      <c r="A9" s="19" t="s">
        <v>46</v>
      </c>
      <c r="B9" s="20">
        <v>1.0518176072269099E-2</v>
      </c>
      <c r="C9" s="19" t="s">
        <v>116</v>
      </c>
      <c r="D9" s="19" t="s">
        <v>118</v>
      </c>
      <c r="E9" s="19"/>
      <c r="G9" s="14" t="s">
        <v>74</v>
      </c>
      <c r="H9" s="9" t="str">
        <f>VLOOKUP(G9, Phase2!A:M,13,FALSE)</f>
        <v>Marginal contribution</v>
      </c>
      <c r="I9" s="10">
        <f>VLOOKUP(G9, Phase2!A:M,10,FALSE)</f>
        <v>1.0077780162383001E-2</v>
      </c>
      <c r="J9" s="9" t="str">
        <f>VLOOKUP(G9, Phase1!A:Q,17,FALSE)</f>
        <v>1, 2</v>
      </c>
      <c r="K9" s="9" t="s">
        <v>143</v>
      </c>
    </row>
    <row r="10" spans="1:11" x14ac:dyDescent="0.25">
      <c r="A10" s="9" t="s">
        <v>47</v>
      </c>
      <c r="B10" s="16">
        <v>2.1424596679095499E-3</v>
      </c>
      <c r="C10" s="9" t="s">
        <v>118</v>
      </c>
      <c r="D10" s="9" t="s">
        <v>118</v>
      </c>
      <c r="E10" s="9" t="s">
        <v>113</v>
      </c>
      <c r="G10" s="14" t="s">
        <v>75</v>
      </c>
      <c r="H10" s="9" t="str">
        <f>VLOOKUP(G10, Phase2!A:M,13,FALSE)</f>
        <v>Marginal contribution</v>
      </c>
      <c r="I10" s="10">
        <f>VLOOKUP(G10, Phase2!A:M,10,FALSE)</f>
        <v>1.01203813114097E-2</v>
      </c>
      <c r="J10" s="9">
        <f>VLOOKUP(G10, Phase1!A:Q,17,FALSE)</f>
        <v>0</v>
      </c>
      <c r="K10" s="9" t="s">
        <v>144</v>
      </c>
    </row>
    <row r="11" spans="1:11" x14ac:dyDescent="0.25">
      <c r="A11" s="9" t="s">
        <v>50</v>
      </c>
      <c r="B11" s="16">
        <v>8.7606655302201793E-3</v>
      </c>
      <c r="C11" s="9" t="s">
        <v>118</v>
      </c>
      <c r="D11" s="9" t="s">
        <v>142</v>
      </c>
      <c r="E11" s="9" t="s">
        <v>113</v>
      </c>
      <c r="G11" s="9" t="s">
        <v>77</v>
      </c>
      <c r="H11" s="9" t="str">
        <f>VLOOKUP(G11, Phase2!A:M,13,FALSE)</f>
        <v>No Correlation</v>
      </c>
      <c r="I11" s="10">
        <f>VLOOKUP(G11, Phase2!A:M,10,FALSE)</f>
        <v>6.2780402737658203E-3</v>
      </c>
      <c r="J11" s="9" t="str">
        <f>VLOOKUP(G11, Phase1!A:Q,17,FALSE)</f>
        <v>4, 11</v>
      </c>
      <c r="K11" s="9" t="s">
        <v>143</v>
      </c>
    </row>
    <row r="12" spans="1:11" x14ac:dyDescent="0.25">
      <c r="A12" s="9" t="s">
        <v>52</v>
      </c>
      <c r="B12" s="16">
        <v>3.5337854716261698E-2</v>
      </c>
      <c r="C12" s="9" t="s">
        <v>117</v>
      </c>
      <c r="D12" s="9" t="s">
        <v>142</v>
      </c>
      <c r="E12" s="9"/>
      <c r="G12" s="9" t="s">
        <v>86</v>
      </c>
      <c r="H12" s="9" t="str">
        <f>VLOOKUP(G12, Phase2!A:M,13,FALSE)</f>
        <v>No Correlation</v>
      </c>
      <c r="I12" s="10">
        <f>VLOOKUP(G12, Phase2!A:M,10,FALSE)</f>
        <v>6.6619204017195595E-4</v>
      </c>
      <c r="J12" s="9" t="str">
        <f>VLOOKUP(G12, Phase1!A:Q,17,FALSE)</f>
        <v>3200000</v>
      </c>
      <c r="K12" s="9" t="s">
        <v>143</v>
      </c>
    </row>
    <row r="13" spans="1:11" x14ac:dyDescent="0.25">
      <c r="A13" s="9" t="s">
        <v>54</v>
      </c>
      <c r="B13" s="16">
        <v>9.6784009435394794E-3</v>
      </c>
      <c r="C13" s="9" t="s">
        <v>118</v>
      </c>
      <c r="D13" s="9" t="s">
        <v>118</v>
      </c>
      <c r="E13" s="9" t="s">
        <v>113</v>
      </c>
      <c r="G13" s="13" t="s">
        <v>94</v>
      </c>
      <c r="H13" s="13" t="str">
        <f>VLOOKUP(G13, Phase2!A:M,13,FALSE)</f>
        <v>Marginal contribution</v>
      </c>
      <c r="I13" s="15">
        <f>VLOOKUP(G13, Phase2!A:M,10,FALSE)</f>
        <v>1.6602308702285101E-2</v>
      </c>
      <c r="J13" s="13">
        <v>10000</v>
      </c>
      <c r="K13" s="9">
        <v>10000</v>
      </c>
    </row>
    <row r="14" spans="1:11" x14ac:dyDescent="0.25">
      <c r="A14" s="9" t="s">
        <v>55</v>
      </c>
      <c r="B14" s="16">
        <v>7.7875403922087602E-3</v>
      </c>
      <c r="C14" s="9" t="s">
        <v>118</v>
      </c>
      <c r="D14" s="9" t="s">
        <v>118</v>
      </c>
      <c r="E14" s="9" t="s">
        <v>113</v>
      </c>
      <c r="G14" s="9" t="s">
        <v>100</v>
      </c>
      <c r="H14" s="9" t="str">
        <f>VLOOKUP(G14, Phase2!A:M,13,FALSE)</f>
        <v>Marginal contribution</v>
      </c>
      <c r="I14" s="10">
        <f>VLOOKUP(G14, Phase2!A:M,10,FALSE)</f>
        <v>1.9642827560001502E-2</v>
      </c>
      <c r="J14" s="9">
        <f>VLOOKUP(G14, Phase1!A:Q,17,FALSE)</f>
        <v>2</v>
      </c>
      <c r="K14" s="9" t="s">
        <v>144</v>
      </c>
    </row>
    <row r="15" spans="1:11" x14ac:dyDescent="0.25">
      <c r="A15" s="9" t="s">
        <v>57</v>
      </c>
      <c r="B15" s="16">
        <v>1.7582087087142699E-2</v>
      </c>
      <c r="C15" s="9" t="s">
        <v>116</v>
      </c>
      <c r="D15" s="9" t="s">
        <v>116</v>
      </c>
      <c r="E15" s="9"/>
      <c r="G15" s="9" t="s">
        <v>101</v>
      </c>
      <c r="H15" s="9" t="str">
        <f>VLOOKUP(G15, Phase2!A:M,13,FALSE)</f>
        <v>Marginal contribution</v>
      </c>
      <c r="I15" s="10">
        <f>VLOOKUP(G15, Phase2!A:M,10,FALSE)</f>
        <v>2.01507598723898E-2</v>
      </c>
      <c r="J15" s="9" t="str">
        <f>VLOOKUP(G15, Phase1!A:Q,17,FALSE)</f>
        <v>1, 2, 4, 7</v>
      </c>
      <c r="K15" s="9" t="s">
        <v>144</v>
      </c>
    </row>
    <row r="16" spans="1:11" x14ac:dyDescent="0.25">
      <c r="A16" s="9" t="s">
        <v>67</v>
      </c>
      <c r="B16" s="16">
        <v>6.0309110675898798E-3</v>
      </c>
      <c r="C16" s="9" t="s">
        <v>118</v>
      </c>
      <c r="D16" s="9" t="s">
        <v>118</v>
      </c>
      <c r="E16" s="9" t="s">
        <v>113</v>
      </c>
    </row>
    <row r="17" spans="1:5" x14ac:dyDescent="0.25">
      <c r="A17" s="9" t="s">
        <v>71</v>
      </c>
      <c r="B17" s="16">
        <v>3.0042608466332799E-3</v>
      </c>
      <c r="C17" s="9" t="s">
        <v>118</v>
      </c>
      <c r="D17" s="9" t="s">
        <v>118</v>
      </c>
      <c r="E17" s="9" t="s">
        <v>113</v>
      </c>
    </row>
    <row r="18" spans="1:5" x14ac:dyDescent="0.25">
      <c r="A18" s="9" t="s">
        <v>72</v>
      </c>
      <c r="B18" s="16">
        <v>2.37173347451147E-3</v>
      </c>
      <c r="C18" s="9" t="s">
        <v>118</v>
      </c>
      <c r="D18" s="9" t="s">
        <v>118</v>
      </c>
      <c r="E18" s="9" t="s">
        <v>113</v>
      </c>
    </row>
    <row r="19" spans="1:5" x14ac:dyDescent="0.25">
      <c r="A19" s="9" t="s">
        <v>73</v>
      </c>
      <c r="B19" s="16">
        <v>3.7133589679329902E-3</v>
      </c>
      <c r="C19" s="9" t="s">
        <v>118</v>
      </c>
      <c r="D19" s="9" t="s">
        <v>118</v>
      </c>
      <c r="E19" s="9" t="s">
        <v>113</v>
      </c>
    </row>
    <row r="20" spans="1:5" x14ac:dyDescent="0.25">
      <c r="A20" s="9" t="s">
        <v>74</v>
      </c>
      <c r="B20" s="16">
        <v>1.1011278172776201E-2</v>
      </c>
      <c r="C20" s="9" t="s">
        <v>116</v>
      </c>
      <c r="D20" s="9" t="s">
        <v>116</v>
      </c>
      <c r="E20" s="9"/>
    </row>
    <row r="21" spans="1:5" x14ac:dyDescent="0.25">
      <c r="A21" s="9" t="s">
        <v>75</v>
      </c>
      <c r="B21" s="16">
        <v>1.01203813114097E-2</v>
      </c>
      <c r="C21" s="9" t="s">
        <v>116</v>
      </c>
      <c r="D21" s="9" t="s">
        <v>142</v>
      </c>
      <c r="E21" s="9"/>
    </row>
    <row r="22" spans="1:5" x14ac:dyDescent="0.25">
      <c r="A22" s="9" t="s">
        <v>76</v>
      </c>
      <c r="B22" s="16">
        <v>5.9416695234866899E-3</v>
      </c>
      <c r="C22" s="9" t="s">
        <v>118</v>
      </c>
      <c r="D22" s="9" t="s">
        <v>142</v>
      </c>
      <c r="E22" s="9" t="s">
        <v>113</v>
      </c>
    </row>
    <row r="23" spans="1:5" x14ac:dyDescent="0.25">
      <c r="A23" s="9" t="s">
        <v>77</v>
      </c>
      <c r="B23" s="16">
        <v>1.9992214807801601E-2</v>
      </c>
      <c r="C23" s="9" t="s">
        <v>116</v>
      </c>
      <c r="D23" s="9" t="s">
        <v>116</v>
      </c>
      <c r="E23" s="9"/>
    </row>
    <row r="24" spans="1:5" x14ac:dyDescent="0.25">
      <c r="A24" s="19" t="s">
        <v>84</v>
      </c>
      <c r="B24" s="20">
        <v>7.9937917456218508E-3</v>
      </c>
      <c r="C24" s="19" t="s">
        <v>118</v>
      </c>
      <c r="D24" s="19" t="s">
        <v>116</v>
      </c>
      <c r="E24" s="19" t="s">
        <v>113</v>
      </c>
    </row>
    <row r="25" spans="1:5" x14ac:dyDescent="0.25">
      <c r="A25" s="9" t="s">
        <v>86</v>
      </c>
      <c r="B25" s="16">
        <v>2.69354642381728E-2</v>
      </c>
      <c r="C25" s="9" t="s">
        <v>116</v>
      </c>
      <c r="D25" s="9" t="s">
        <v>116</v>
      </c>
      <c r="E25" s="9"/>
    </row>
    <row r="26" spans="1:5" x14ac:dyDescent="0.25">
      <c r="A26" s="9" t="s">
        <v>94</v>
      </c>
      <c r="B26" s="16">
        <v>1.6602308702285101E-2</v>
      </c>
      <c r="C26" s="9" t="s">
        <v>116</v>
      </c>
      <c r="D26" s="9" t="s">
        <v>116</v>
      </c>
      <c r="E26" s="9"/>
    </row>
    <row r="27" spans="1:5" x14ac:dyDescent="0.25">
      <c r="A27" s="9" t="s">
        <v>95</v>
      </c>
      <c r="B27" s="16">
        <v>4.7870201139387598E-3</v>
      </c>
      <c r="C27" s="9" t="s">
        <v>118</v>
      </c>
      <c r="D27" s="9" t="s">
        <v>118</v>
      </c>
      <c r="E27" s="9" t="s">
        <v>113</v>
      </c>
    </row>
    <row r="28" spans="1:5" x14ac:dyDescent="0.25">
      <c r="A28" s="9" t="s">
        <v>96</v>
      </c>
      <c r="B28" s="16">
        <v>6.3921172416688404E-3</v>
      </c>
      <c r="C28" s="9" t="s">
        <v>118</v>
      </c>
      <c r="D28" s="9" t="s">
        <v>118</v>
      </c>
      <c r="E28" s="9" t="s">
        <v>113</v>
      </c>
    </row>
    <row r="29" spans="1:5" x14ac:dyDescent="0.25">
      <c r="A29" s="9" t="s">
        <v>97</v>
      </c>
      <c r="B29" s="16">
        <v>8.4965888745687692E-3</v>
      </c>
      <c r="C29" s="9" t="s">
        <v>118</v>
      </c>
      <c r="D29" s="9" t="s">
        <v>118</v>
      </c>
      <c r="E29" s="9" t="s">
        <v>113</v>
      </c>
    </row>
    <row r="30" spans="1:5" x14ac:dyDescent="0.25">
      <c r="A30" s="19" t="s">
        <v>98</v>
      </c>
      <c r="B30" s="20">
        <v>7.7692916392359899E-3</v>
      </c>
      <c r="C30" s="19" t="s">
        <v>118</v>
      </c>
      <c r="D30" s="19" t="s">
        <v>116</v>
      </c>
      <c r="E30" s="19" t="s">
        <v>113</v>
      </c>
    </row>
    <row r="31" spans="1:5" x14ac:dyDescent="0.25">
      <c r="A31" s="9" t="s">
        <v>100</v>
      </c>
      <c r="B31" s="16">
        <v>1.98326259509237E-2</v>
      </c>
      <c r="C31" s="9" t="s">
        <v>116</v>
      </c>
      <c r="D31" s="9" t="s">
        <v>142</v>
      </c>
      <c r="E31" s="9"/>
    </row>
    <row r="32" spans="1:5" x14ac:dyDescent="0.25">
      <c r="A32" s="9" t="s">
        <v>101</v>
      </c>
      <c r="B32" s="16">
        <v>3.29130808090927E-2</v>
      </c>
      <c r="C32" s="9" t="s">
        <v>117</v>
      </c>
      <c r="D32" s="9" t="s">
        <v>142</v>
      </c>
      <c r="E32" s="9"/>
    </row>
    <row r="35" ht="18" customHeight="1" x14ac:dyDescent="0.25"/>
  </sheetData>
  <autoFilter ref="A2:J32"/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</vt:lpstr>
      <vt:lpstr>Phase1</vt:lpstr>
      <vt:lpstr>Phase2</vt:lpstr>
      <vt:lpstr>Synopsis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</dc:creator>
  <cp:lastModifiedBy>Faiza Imam Tuhi</cp:lastModifiedBy>
  <dcterms:created xsi:type="dcterms:W3CDTF">2026-07-14T04:42:12Z</dcterms:created>
  <dcterms:modified xsi:type="dcterms:W3CDTF">2026-07-14T06:05:47Z</dcterms:modified>
</cp:coreProperties>
</file>