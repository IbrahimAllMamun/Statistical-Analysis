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Dr. Farhana\Project-10\Data\"/>
    </mc:Choice>
  </mc:AlternateContent>
  <xr:revisionPtr revIDLastSave="0" documentId="13_ncr:1_{F4A16963-D97F-48B8-BBAB-39DD1E74248F}" xr6:coauthVersionLast="47" xr6:coauthVersionMax="47" xr10:uidLastSave="{00000000-0000-0000-0000-000000000000}"/>
  <bookViews>
    <workbookView xWindow="10605" yWindow="720" windowWidth="16335" windowHeight="12510" xr2:uid="{00000000-000D-0000-FFFF-FFFF00000000}"/>
  </bookViews>
  <sheets>
    <sheet name="Sheet1" sheetId="1" r:id="rId1"/>
  </sheets>
  <definedNames>
    <definedName name="_xlnm._FilterDatabase" localSheetId="0" hidden="1">Sheet1!$AB$1:$AB$245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22" i="1" l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</calcChain>
</file>

<file path=xl/sharedStrings.xml><?xml version="1.0" encoding="utf-8"?>
<sst xmlns="http://schemas.openxmlformats.org/spreadsheetml/2006/main" count="1013" uniqueCount="338">
  <si>
    <t>Serial</t>
  </si>
  <si>
    <t>Gender</t>
  </si>
  <si>
    <t>Smoking</t>
  </si>
  <si>
    <t>Education</t>
  </si>
  <si>
    <t>Occupation</t>
  </si>
  <si>
    <t>Residence</t>
  </si>
  <si>
    <t>FBS</t>
  </si>
  <si>
    <t>RBS</t>
  </si>
  <si>
    <t>TG</t>
  </si>
  <si>
    <t>Comorbidities</t>
  </si>
  <si>
    <t>Prosanto Mondal</t>
  </si>
  <si>
    <t>NA</t>
  </si>
  <si>
    <t>Md. Hosaain Ali</t>
  </si>
  <si>
    <t>None</t>
  </si>
  <si>
    <t>Stroke</t>
  </si>
  <si>
    <t xml:space="preserve">No </t>
  </si>
  <si>
    <t>Mr. Joydeb</t>
  </si>
  <si>
    <t>Rickshaw Pullar</t>
  </si>
  <si>
    <t>new case</t>
  </si>
  <si>
    <t>Pneumonia (CAP)</t>
  </si>
  <si>
    <t>Antibiotics</t>
  </si>
  <si>
    <t xml:space="preserve">Md. Aziyar </t>
  </si>
  <si>
    <t>Old MI</t>
  </si>
  <si>
    <t>Amiya Shome</t>
  </si>
  <si>
    <t>Small business</t>
  </si>
  <si>
    <t>Abdul Jalil</t>
  </si>
  <si>
    <t>stoke</t>
  </si>
  <si>
    <t>Anarul</t>
  </si>
  <si>
    <t>samll business</t>
  </si>
  <si>
    <t>IHD, CABG</t>
  </si>
  <si>
    <t>clopid As, statin, bislol, PPI, dompeidone</t>
  </si>
  <si>
    <t>Rajob Ali</t>
  </si>
  <si>
    <t>Ex day labourer</t>
  </si>
  <si>
    <t>Suzayet Ali</t>
  </si>
  <si>
    <t>stoke, heat disease</t>
  </si>
  <si>
    <t xml:space="preserve">Nasima </t>
  </si>
  <si>
    <t>Housewife</t>
  </si>
  <si>
    <t>Jamat Ali</t>
  </si>
  <si>
    <t>Najma</t>
  </si>
  <si>
    <t>House wife</t>
  </si>
  <si>
    <t>Jahangir</t>
  </si>
  <si>
    <t>Abdullah</t>
  </si>
  <si>
    <t>Businessman</t>
  </si>
  <si>
    <t>antipsychotic- olazapine, lithium</t>
  </si>
  <si>
    <t>Abu Sayeed</t>
  </si>
  <si>
    <t>Health woker</t>
  </si>
  <si>
    <t>GM Shahadat</t>
  </si>
  <si>
    <t>Alamgir Hossain</t>
  </si>
  <si>
    <t>Service holder</t>
  </si>
  <si>
    <t>Kolpona Rani</t>
  </si>
  <si>
    <t>PPI</t>
  </si>
  <si>
    <t>Monowara</t>
  </si>
  <si>
    <t>Biswas Mukti</t>
  </si>
  <si>
    <t>Fatty Liver Disease</t>
  </si>
  <si>
    <t>Majida Khatun</t>
  </si>
  <si>
    <t>Bhumi Sarkar</t>
  </si>
  <si>
    <t>Farmer</t>
  </si>
  <si>
    <t>Newly diagnosed</t>
  </si>
  <si>
    <t>Newly dignosed</t>
  </si>
  <si>
    <t>Hypothyroidism</t>
  </si>
  <si>
    <t>Levothyroxine 1--</t>
  </si>
  <si>
    <t>Asia</t>
  </si>
  <si>
    <t>No</t>
  </si>
  <si>
    <t>Shibpodo</t>
  </si>
  <si>
    <t>Shahiduzzaman</t>
  </si>
  <si>
    <t>Rafiqul Islam</t>
  </si>
  <si>
    <t>1 month</t>
  </si>
  <si>
    <t>Sushanta</t>
  </si>
  <si>
    <t>Ex Businessman</t>
  </si>
  <si>
    <t>Abbus Ali</t>
  </si>
  <si>
    <t>Ex Shopkeeper</t>
  </si>
  <si>
    <t>Khaleda Khatun</t>
  </si>
  <si>
    <t>Hypothyoidism</t>
  </si>
  <si>
    <t>Mofaz Uddin</t>
  </si>
  <si>
    <t>Ex Farmer</t>
  </si>
  <si>
    <t>Shajahan</t>
  </si>
  <si>
    <t>CKD</t>
  </si>
  <si>
    <t>Ms. Sazida</t>
  </si>
  <si>
    <t>Md Rabiul Islam</t>
  </si>
  <si>
    <t>5 yeas</t>
  </si>
  <si>
    <t>Aklima</t>
  </si>
  <si>
    <t>Resma</t>
  </si>
  <si>
    <t>IHD, CKD, Hypothyoidism</t>
  </si>
  <si>
    <t>clopid As, statin, fusid, thyrox</t>
  </si>
  <si>
    <t>Rakiba Sultana</t>
  </si>
  <si>
    <t>Jahanara</t>
  </si>
  <si>
    <t>Levothyroxine, amlodipine, olmesartan</t>
  </si>
  <si>
    <t>Ruhul Quddus</t>
  </si>
  <si>
    <t>STOKE, IHD, Hypthyoidism</t>
  </si>
  <si>
    <t>Clopid, Atova, Diuetics, olmesan, levothyoxin</t>
  </si>
  <si>
    <t>Anarul Islam</t>
  </si>
  <si>
    <t>Service holder (office job)</t>
  </si>
  <si>
    <t>2 months</t>
  </si>
  <si>
    <t>2 years</t>
  </si>
  <si>
    <t>Aurvadic medication</t>
  </si>
  <si>
    <t>rezaul Islam</t>
  </si>
  <si>
    <t>Bandhana</t>
  </si>
  <si>
    <t>Sadhana</t>
  </si>
  <si>
    <t>Service Holder(MLSS)</t>
  </si>
  <si>
    <t>Rabeya</t>
  </si>
  <si>
    <t>Sk Golam Mostafa</t>
  </si>
  <si>
    <t>Morium</t>
  </si>
  <si>
    <t>Adom Ali</t>
  </si>
  <si>
    <t>Rubaiya</t>
  </si>
  <si>
    <t>HTN- newly diagnosed</t>
  </si>
  <si>
    <t>Fatema</t>
  </si>
  <si>
    <t>Rahima</t>
  </si>
  <si>
    <t>Moyna</t>
  </si>
  <si>
    <t xml:space="preserve">Ali Nur </t>
  </si>
  <si>
    <t>Khairul Islam</t>
  </si>
  <si>
    <t>Private job</t>
  </si>
  <si>
    <t>Shahanara</t>
  </si>
  <si>
    <t>Hypothyeroidism</t>
  </si>
  <si>
    <t>Clopid, GTN, Diuretics</t>
  </si>
  <si>
    <t>Hassan</t>
  </si>
  <si>
    <t>Contruction worker</t>
  </si>
  <si>
    <t>Anowara</t>
  </si>
  <si>
    <t>Widowed</t>
  </si>
  <si>
    <t>Stroke, Fatty liver disease (FLD)</t>
  </si>
  <si>
    <t>FLD</t>
  </si>
  <si>
    <t>IHD, FLD</t>
  </si>
  <si>
    <t>NSAIDs, PPI</t>
  </si>
  <si>
    <t>Mrs. Beauty</t>
  </si>
  <si>
    <t>Cervical Spondylosis</t>
  </si>
  <si>
    <t>Knee Osteoarthritis, FLD</t>
  </si>
  <si>
    <t>Mrs Faima</t>
  </si>
  <si>
    <t>CKD- early stage</t>
  </si>
  <si>
    <t>Mehebub</t>
  </si>
  <si>
    <t>Service</t>
  </si>
  <si>
    <t>Taslima</t>
  </si>
  <si>
    <t>Abu Shahid Gazi</t>
  </si>
  <si>
    <t>tailor</t>
  </si>
  <si>
    <t>Osteoarthritis</t>
  </si>
  <si>
    <t>3 months</t>
  </si>
  <si>
    <t>Sinusitis</t>
  </si>
  <si>
    <t>Rashida</t>
  </si>
  <si>
    <t>Allergy, Urticaria</t>
  </si>
  <si>
    <t>Antihistamine, Montelucast</t>
  </si>
  <si>
    <t xml:space="preserve">Khaleda </t>
  </si>
  <si>
    <t>Nazmul Islam</t>
  </si>
  <si>
    <t>Nahar</t>
  </si>
  <si>
    <t>Iatrogenic cushing syndrome, steroid withdral syndrome</t>
  </si>
  <si>
    <t>Steroid replacemen therapy, oral calcium</t>
  </si>
  <si>
    <t>Mokbul Hossain</t>
  </si>
  <si>
    <t>Retaired person</t>
  </si>
  <si>
    <t>1 year</t>
  </si>
  <si>
    <t>Newly diagnosed HTN</t>
  </si>
  <si>
    <t>Josna</t>
  </si>
  <si>
    <t>Peripheral neuropathy</t>
  </si>
  <si>
    <t>Pregabalin, amitriptyline</t>
  </si>
  <si>
    <t>Shikha Gosh</t>
  </si>
  <si>
    <t>Hypothyroidism, Fatty liver disease, osteoarthritis</t>
  </si>
  <si>
    <t>Levothyroxine, NSAIDs, PPI</t>
  </si>
  <si>
    <t>Md. Imamul</t>
  </si>
  <si>
    <t>Chronic calcific pancreatitis</t>
  </si>
  <si>
    <t>Pancreatin, paracetamol, tramadol, PPI</t>
  </si>
  <si>
    <t>Mrs. Safura</t>
  </si>
  <si>
    <t>FLD, Knee OA</t>
  </si>
  <si>
    <t>NSAIDs, paracetamol, PPI, pregabalin</t>
  </si>
  <si>
    <t>Mrs Jobeda</t>
  </si>
  <si>
    <t>IHD, FLD, Gall stone, chronic cholecystitis</t>
  </si>
  <si>
    <t>Hypertensive emergency</t>
  </si>
  <si>
    <t>Hosneara</t>
  </si>
  <si>
    <t>Abdul Malek</t>
  </si>
  <si>
    <t xml:space="preserve">Ex service man, retaired </t>
  </si>
  <si>
    <t>Asthma</t>
  </si>
  <si>
    <t>Inhalers, Montelucst</t>
  </si>
  <si>
    <t>Shila</t>
  </si>
  <si>
    <t>Knee OA</t>
  </si>
  <si>
    <t>NSAIDs</t>
  </si>
  <si>
    <t>Newly diagnosed DM</t>
  </si>
  <si>
    <t>Raju</t>
  </si>
  <si>
    <t>Community Acquired Pneumonia (CAP)</t>
  </si>
  <si>
    <t>Antibiotics, montelucast, doxyphyline, paracetamol</t>
  </si>
  <si>
    <t>Niranjon</t>
  </si>
  <si>
    <t>IHD, COPD</t>
  </si>
  <si>
    <t>Antiplatelet, statin, inhalers, doxyphyline, PPI</t>
  </si>
  <si>
    <t>Nazir Ali</t>
  </si>
  <si>
    <t>Ex polititian</t>
  </si>
  <si>
    <t>newly diagnosed</t>
  </si>
  <si>
    <t>Abdus Salam</t>
  </si>
  <si>
    <t>Teacher</t>
  </si>
  <si>
    <t>NOne</t>
  </si>
  <si>
    <t>Minu</t>
  </si>
  <si>
    <t>Komola</t>
  </si>
  <si>
    <t>Julekha</t>
  </si>
  <si>
    <t>Hira</t>
  </si>
  <si>
    <t>Tania</t>
  </si>
  <si>
    <t>Mohidul Alam</t>
  </si>
  <si>
    <t>NSAIDS, Tramadol, Amitriptyline, PPI</t>
  </si>
  <si>
    <t>Rofiqul</t>
  </si>
  <si>
    <t>Anil Sardar</t>
  </si>
  <si>
    <t>3 years</t>
  </si>
  <si>
    <t>ICM, LVF,</t>
  </si>
  <si>
    <t>antiplatelet, statin, PPI</t>
  </si>
  <si>
    <t>Prokash Sheth</t>
  </si>
  <si>
    <t>Old stroke, IHD, pituitary adenoma?</t>
  </si>
  <si>
    <t>antiplatelet, PPI</t>
  </si>
  <si>
    <t>CAP, RA</t>
  </si>
  <si>
    <t>antibiotcs, montelucast, doxyphyline, MTX, folison, salazine</t>
  </si>
  <si>
    <t>Newly diagnosed HTN &amp; DM</t>
  </si>
  <si>
    <t>Tanjila</t>
  </si>
  <si>
    <t>radha rani</t>
  </si>
  <si>
    <t>Hira 40</t>
  </si>
  <si>
    <t>Levothyroxine</t>
  </si>
  <si>
    <t>Anima Mondal</t>
  </si>
  <si>
    <t>Stroke, IHD</t>
  </si>
  <si>
    <t>antiemetic, PPI, antiplatelet, statin</t>
  </si>
  <si>
    <t>Baidya Nath</t>
  </si>
  <si>
    <t>Oral Iron, calcium, PPI, antibiotic</t>
  </si>
  <si>
    <t>Rokeya</t>
  </si>
  <si>
    <t>Generalized OA</t>
  </si>
  <si>
    <t>Shamima</t>
  </si>
  <si>
    <t>Rotna</t>
  </si>
  <si>
    <t>Manual worker</t>
  </si>
  <si>
    <t>Badol Biswas</t>
  </si>
  <si>
    <t>Homeopathy medicine</t>
  </si>
  <si>
    <t>A Rohim</t>
  </si>
  <si>
    <t>IHD</t>
  </si>
  <si>
    <t>antiplatelet, statin,</t>
  </si>
  <si>
    <t>Rizia</t>
  </si>
  <si>
    <t>NSAIDs, PPI, pregabalin, amitriptyline</t>
  </si>
  <si>
    <t>Farida</t>
  </si>
  <si>
    <t>antiplatelet, SGLT2I, PPI, monas, diuretics, anti HTN</t>
  </si>
  <si>
    <t>IHD, obesity, Knee OA, Asthma, HTN</t>
  </si>
  <si>
    <t>Rita Mondal</t>
  </si>
  <si>
    <t>Job</t>
  </si>
  <si>
    <t>Rima</t>
  </si>
  <si>
    <t>Halima</t>
  </si>
  <si>
    <t>Knee OA, LBP</t>
  </si>
  <si>
    <t>Mahmuda</t>
  </si>
  <si>
    <t>Abdur Zabbar</t>
  </si>
  <si>
    <t>Sairin</t>
  </si>
  <si>
    <t>Monjila</t>
  </si>
  <si>
    <t>Mahfuja</t>
  </si>
  <si>
    <t>LBP</t>
  </si>
  <si>
    <t>NSAID, PPI</t>
  </si>
  <si>
    <t>Sadia</t>
  </si>
  <si>
    <t>Zillur</t>
  </si>
  <si>
    <t>service</t>
  </si>
  <si>
    <t>Nazmul Hossain</t>
  </si>
  <si>
    <t>Mazida</t>
  </si>
  <si>
    <t>Obesity, LBP</t>
  </si>
  <si>
    <t>Abdul Alim</t>
  </si>
  <si>
    <t>Driver</t>
  </si>
  <si>
    <t>Majida</t>
  </si>
  <si>
    <t>stroke</t>
  </si>
  <si>
    <t>antiplatelet</t>
  </si>
  <si>
    <t>Bazlur Rahman</t>
  </si>
  <si>
    <t>Newly  diagnosed</t>
  </si>
  <si>
    <t>CAP</t>
  </si>
  <si>
    <t>antibiotics, PPI, PC</t>
  </si>
  <si>
    <t>Jannatun Nahar</t>
  </si>
  <si>
    <t>chronic cystitis</t>
  </si>
  <si>
    <t>antibiotc, PC</t>
  </si>
  <si>
    <t xml:space="preserve">Laxmi </t>
  </si>
  <si>
    <t>Snadashi Bugh</t>
  </si>
  <si>
    <t>Stroke, heart failure, Fatty liver disease</t>
  </si>
  <si>
    <t>antiplatelet, diuretics, EMPA</t>
  </si>
  <si>
    <t>Sukumar Mondal</t>
  </si>
  <si>
    <t>School teacher</t>
  </si>
  <si>
    <t>IHD, cervical spondylosis</t>
  </si>
  <si>
    <t>antiplatelet, NSAIDs, pregaba, paracetamol</t>
  </si>
  <si>
    <t>Tawmina</t>
  </si>
  <si>
    <t>IHD, hypothyroidism, FLD</t>
  </si>
  <si>
    <t>antiplatelet, livacol, thyroxine, diuretics</t>
  </si>
  <si>
    <t>Abdul Mannan</t>
  </si>
  <si>
    <t>IHD, compensated heart failure</t>
  </si>
  <si>
    <t>diuretics, PPI, antiplatelet, laxative, omidon</t>
  </si>
  <si>
    <t>Sheuli</t>
  </si>
  <si>
    <t>Unemployed</t>
  </si>
  <si>
    <t>Eranie</t>
  </si>
  <si>
    <t>Akter Ali</t>
  </si>
  <si>
    <t>Nasrin</t>
  </si>
  <si>
    <t>no</t>
  </si>
  <si>
    <t>Arif</t>
  </si>
  <si>
    <t>Domperidone, PPI</t>
  </si>
  <si>
    <t>Gopi Nath</t>
  </si>
  <si>
    <t>Asraf</t>
  </si>
  <si>
    <t>Daud Gazi</t>
  </si>
  <si>
    <t>diuretics, EMPA</t>
  </si>
  <si>
    <t>Hannan</t>
  </si>
  <si>
    <t>COPD</t>
  </si>
  <si>
    <t>inhalers, Docopa, PPI</t>
  </si>
  <si>
    <t>Rozina</t>
  </si>
  <si>
    <t>thyroxin, PPI, domperidon</t>
  </si>
  <si>
    <t>Hypothyroidism, Fatty liver disease, GERD</t>
  </si>
  <si>
    <t>Amena</t>
  </si>
  <si>
    <t>IHD, Kidney disease</t>
  </si>
  <si>
    <t>antiplatelet, antianginal, lactulose, PPI</t>
  </si>
  <si>
    <t>Reba</t>
  </si>
  <si>
    <t>Masura Khatun</t>
  </si>
  <si>
    <t>Nur Nahar</t>
  </si>
  <si>
    <t>Akram Hossain</t>
  </si>
  <si>
    <t>Labourer</t>
  </si>
  <si>
    <t>new onset</t>
  </si>
  <si>
    <t>Hossain</t>
  </si>
  <si>
    <t>Construction worker</t>
  </si>
  <si>
    <t>ekramul hossain</t>
  </si>
  <si>
    <t>Tailor</t>
  </si>
  <si>
    <t>Hossen Ali</t>
  </si>
  <si>
    <t>Kidney disease</t>
  </si>
  <si>
    <t>Shikha</t>
  </si>
  <si>
    <t>none</t>
  </si>
  <si>
    <t>Arifur Rahman</t>
  </si>
  <si>
    <t xml:space="preserve">antibiotics </t>
  </si>
  <si>
    <t xml:space="preserve">eye infection </t>
  </si>
  <si>
    <t>Remarks</t>
  </si>
  <si>
    <t>farmer</t>
  </si>
  <si>
    <t>Ex farmer</t>
  </si>
  <si>
    <t>ex farmer</t>
  </si>
  <si>
    <t>Age</t>
  </si>
  <si>
    <t>ID</t>
  </si>
  <si>
    <t>Name</t>
  </si>
  <si>
    <t>Height</t>
  </si>
  <si>
    <t>Weight</t>
  </si>
  <si>
    <t>Waist</t>
  </si>
  <si>
    <t>Physical</t>
  </si>
  <si>
    <t>Income</t>
  </si>
  <si>
    <t>Duration_Diabetes</t>
  </si>
  <si>
    <t>Diabetic_medication</t>
  </si>
  <si>
    <t>HBA1C</t>
  </si>
  <si>
    <t>HABF_2</t>
  </si>
  <si>
    <t>Diabetic_Neuropathy</t>
  </si>
  <si>
    <t>SBP</t>
  </si>
  <si>
    <t>DBP</t>
  </si>
  <si>
    <t>HO_Hypertension</t>
  </si>
  <si>
    <t>Duration_HTN</t>
  </si>
  <si>
    <t>Antihyper_medication</t>
  </si>
  <si>
    <t>Antihyper_regularly</t>
  </si>
  <si>
    <t>Antihyper_prescriber</t>
  </si>
  <si>
    <t>BP_frequency</t>
  </si>
  <si>
    <t>Lipid_medication</t>
  </si>
  <si>
    <t>Duration_Lipid_medication</t>
  </si>
  <si>
    <t>Total_cholesterol</t>
  </si>
  <si>
    <t>HDL_C</t>
  </si>
  <si>
    <t>LDL_C</t>
  </si>
  <si>
    <t>Other_medications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</si>
</sst>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right" vertical="top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 vertical="top" wrapText="1"/>
    </xf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45"/>
  <sheetViews>
    <sheetView tabSelected="1" zoomScale="114" zoomScaleNormal="100" workbookViewId="0">
      <pane xSplit="1" ySplit="1" topLeftCell="AK167" activePane="bottomRight" state="frozen"/>
      <selection pane="topRight" activeCell="B1" sqref="B1"/>
      <selection pane="bottomLeft" activeCell="A2" sqref="A2"/>
      <selection pane="bottomRight" activeCell="AN171" sqref="AN171"/>
    </sheetView>
  </sheetViews>
  <sheetFormatPr defaultColWidth="11.25" defaultRowHeight="15.75" x14ac:dyDescent="0.25"/>
  <cols>
    <col min="1" max="1" width="6.75" customWidth="1"/>
    <col min="2" max="2" width="10" customWidth="1"/>
    <col min="3" max="3" width="18.75" customWidth="1"/>
    <col min="5" max="5" width="7.75" customWidth="1"/>
    <col min="6" max="6" width="11.5" bestFit="1" customWidth="1"/>
    <col min="8" max="8" width="12.75" bestFit="1" customWidth="1"/>
    <col min="9" max="9" width="9.75" customWidth="1"/>
    <col min="10" max="10" width="9.5" customWidth="1"/>
    <col min="11" max="11" width="9.25" customWidth="1"/>
    <col min="12" max="12" width="13.25" customWidth="1"/>
    <col min="13" max="13" width="21.25" style="4" customWidth="1"/>
    <col min="14" max="14" width="9.75" customWidth="1"/>
    <col min="15" max="15" width="18" style="4" customWidth="1"/>
    <col min="17" max="17" width="11.25" style="4"/>
    <col min="24" max="24" width="12.5" customWidth="1"/>
    <col min="26" max="26" width="16.75" customWidth="1"/>
    <col min="27" max="27" width="15.25" customWidth="1"/>
    <col min="28" max="28" width="20" customWidth="1"/>
    <col min="30" max="30" width="13.25" customWidth="1"/>
    <col min="31" max="31" width="13.75" customWidth="1"/>
    <col min="33" max="33" width="13.25" customWidth="1"/>
    <col min="34" max="34" width="15.25" customWidth="1"/>
    <col min="35" max="35" width="14.75" customWidth="1"/>
    <col min="36" max="36" width="50.75" customWidth="1"/>
    <col min="37" max="37" width="48.5" customWidth="1"/>
    <col min="38" max="38" width="2.375" customWidth="1"/>
  </cols>
  <sheetData>
    <row r="1" spans="1:39" s="1" customFormat="1" ht="31.5" x14ac:dyDescent="0.25">
      <c r="A1" s="1" t="s">
        <v>0</v>
      </c>
      <c r="B1" s="1" t="s">
        <v>312</v>
      </c>
      <c r="C1" s="1" t="s">
        <v>313</v>
      </c>
      <c r="D1" s="1" t="s">
        <v>311</v>
      </c>
      <c r="E1" s="1" t="s">
        <v>1</v>
      </c>
      <c r="F1" s="1" t="s">
        <v>314</v>
      </c>
      <c r="G1" s="1" t="s">
        <v>315</v>
      </c>
      <c r="H1" s="2" t="s">
        <v>316</v>
      </c>
      <c r="I1" s="1" t="s">
        <v>2</v>
      </c>
      <c r="J1" s="2" t="s">
        <v>317</v>
      </c>
      <c r="K1" s="1" t="s">
        <v>3</v>
      </c>
      <c r="L1" s="2" t="s">
        <v>318</v>
      </c>
      <c r="M1" s="3" t="s">
        <v>4</v>
      </c>
      <c r="N1" s="1" t="s">
        <v>5</v>
      </c>
      <c r="O1" s="5" t="s">
        <v>319</v>
      </c>
      <c r="P1" s="2" t="s">
        <v>320</v>
      </c>
      <c r="Q1" s="3" t="s">
        <v>321</v>
      </c>
      <c r="R1" s="1" t="s">
        <v>7</v>
      </c>
      <c r="S1" s="1" t="s">
        <v>6</v>
      </c>
      <c r="T1" s="1" t="s">
        <v>322</v>
      </c>
      <c r="U1" s="2" t="s">
        <v>323</v>
      </c>
      <c r="V1" s="1" t="s">
        <v>324</v>
      </c>
      <c r="W1" s="1" t="s">
        <v>325</v>
      </c>
      <c r="X1" s="2" t="s">
        <v>326</v>
      </c>
      <c r="Y1" s="2" t="s">
        <v>327</v>
      </c>
      <c r="Z1" s="2" t="s">
        <v>328</v>
      </c>
      <c r="AA1" s="2" t="s">
        <v>329</v>
      </c>
      <c r="AB1" s="2" t="s">
        <v>330</v>
      </c>
      <c r="AC1" s="2" t="s">
        <v>331</v>
      </c>
      <c r="AD1" s="2" t="s">
        <v>332</v>
      </c>
      <c r="AE1" s="2" t="s">
        <v>333</v>
      </c>
      <c r="AF1" s="2" t="s">
        <v>334</v>
      </c>
      <c r="AG1" s="1" t="s">
        <v>335</v>
      </c>
      <c r="AH1" s="1" t="s">
        <v>336</v>
      </c>
      <c r="AI1" s="1" t="s">
        <v>8</v>
      </c>
      <c r="AJ1" s="1" t="s">
        <v>9</v>
      </c>
      <c r="AK1" s="2" t="s">
        <v>337</v>
      </c>
      <c r="AL1" s="1" t="s">
        <v>307</v>
      </c>
    </row>
    <row r="2" spans="1:39" x14ac:dyDescent="0.25">
      <c r="A2">
        <v>1</v>
      </c>
      <c r="B2">
        <v>1</v>
      </c>
      <c r="C2" t="s">
        <v>10</v>
      </c>
      <c r="D2">
        <v>38</v>
      </c>
      <c r="E2">
        <v>1</v>
      </c>
      <c r="F2">
        <v>167.5</v>
      </c>
      <c r="G2">
        <v>72</v>
      </c>
      <c r="H2">
        <v>91</v>
      </c>
      <c r="I2">
        <v>1</v>
      </c>
      <c r="J2">
        <v>2</v>
      </c>
      <c r="K2">
        <v>3</v>
      </c>
      <c r="L2">
        <v>1</v>
      </c>
      <c r="M2" s="4" t="s">
        <v>308</v>
      </c>
      <c r="N2">
        <v>1</v>
      </c>
      <c r="O2" s="4">
        <v>4</v>
      </c>
      <c r="P2">
        <v>1</v>
      </c>
      <c r="Q2" s="4">
        <v>5.6</v>
      </c>
      <c r="R2">
        <v>5.89</v>
      </c>
      <c r="S2">
        <v>5.98</v>
      </c>
      <c r="T2">
        <v>9</v>
      </c>
      <c r="U2">
        <v>2</v>
      </c>
      <c r="V2">
        <v>130</v>
      </c>
      <c r="W2">
        <v>85</v>
      </c>
      <c r="X2">
        <v>2</v>
      </c>
      <c r="AC2">
        <v>3</v>
      </c>
      <c r="AD2">
        <v>2</v>
      </c>
      <c r="AF2">
        <v>234.5</v>
      </c>
      <c r="AG2">
        <v>30.5</v>
      </c>
      <c r="AH2">
        <v>127.5</v>
      </c>
      <c r="AI2">
        <v>491</v>
      </c>
      <c r="AJ2" t="s">
        <v>13</v>
      </c>
      <c r="AM2" t="b">
        <f>W2&gt;=90</f>
        <v>0</v>
      </c>
    </row>
    <row r="3" spans="1:39" x14ac:dyDescent="0.25">
      <c r="A3">
        <v>2</v>
      </c>
      <c r="B3">
        <v>2</v>
      </c>
      <c r="C3" t="s">
        <v>12</v>
      </c>
      <c r="D3">
        <v>70</v>
      </c>
      <c r="E3">
        <v>1</v>
      </c>
      <c r="F3">
        <v>150</v>
      </c>
      <c r="G3">
        <v>44</v>
      </c>
      <c r="H3">
        <v>73</v>
      </c>
      <c r="I3">
        <v>2</v>
      </c>
      <c r="J3">
        <v>3</v>
      </c>
      <c r="K3">
        <v>1</v>
      </c>
      <c r="L3">
        <v>1</v>
      </c>
      <c r="M3" s="4" t="s">
        <v>308</v>
      </c>
      <c r="N3">
        <v>1</v>
      </c>
      <c r="O3" s="4">
        <v>1</v>
      </c>
      <c r="P3">
        <v>2</v>
      </c>
      <c r="Q3" s="4">
        <v>7.15</v>
      </c>
      <c r="R3">
        <v>6.04</v>
      </c>
      <c r="S3">
        <v>9.67</v>
      </c>
      <c r="T3">
        <v>11.27</v>
      </c>
      <c r="U3">
        <v>1</v>
      </c>
      <c r="V3">
        <v>120</v>
      </c>
      <c r="W3">
        <v>80</v>
      </c>
      <c r="X3">
        <v>1</v>
      </c>
      <c r="Y3">
        <v>7</v>
      </c>
      <c r="Z3">
        <v>1</v>
      </c>
      <c r="AA3">
        <v>2</v>
      </c>
      <c r="AB3">
        <v>1</v>
      </c>
      <c r="AC3">
        <v>2</v>
      </c>
      <c r="AD3">
        <v>2</v>
      </c>
      <c r="AF3">
        <v>140</v>
      </c>
      <c r="AG3">
        <v>24</v>
      </c>
      <c r="AH3">
        <v>97</v>
      </c>
      <c r="AI3">
        <v>100</v>
      </c>
      <c r="AJ3" t="s">
        <v>14</v>
      </c>
      <c r="AK3" t="s">
        <v>15</v>
      </c>
      <c r="AM3" t="b">
        <f t="shared" ref="AM3:AM66" si="0">W3&gt;=90</f>
        <v>0</v>
      </c>
    </row>
    <row r="4" spans="1:39" x14ac:dyDescent="0.25">
      <c r="A4">
        <v>3</v>
      </c>
      <c r="B4">
        <v>3</v>
      </c>
      <c r="C4" t="s">
        <v>16</v>
      </c>
      <c r="D4">
        <v>56</v>
      </c>
      <c r="E4">
        <v>1</v>
      </c>
      <c r="F4">
        <v>167.5</v>
      </c>
      <c r="G4">
        <v>66</v>
      </c>
      <c r="H4">
        <v>86</v>
      </c>
      <c r="I4">
        <v>1</v>
      </c>
      <c r="J4">
        <v>3</v>
      </c>
      <c r="K4">
        <v>1</v>
      </c>
      <c r="L4">
        <v>1</v>
      </c>
      <c r="M4" s="4" t="s">
        <v>17</v>
      </c>
      <c r="N4">
        <v>1</v>
      </c>
      <c r="O4" s="4" t="s">
        <v>18</v>
      </c>
      <c r="P4">
        <v>2</v>
      </c>
      <c r="Q4" s="4">
        <v>5.67</v>
      </c>
      <c r="R4">
        <v>6.54</v>
      </c>
      <c r="S4">
        <v>9.74</v>
      </c>
      <c r="T4">
        <v>11.74</v>
      </c>
      <c r="U4">
        <v>2</v>
      </c>
      <c r="V4">
        <v>130</v>
      </c>
      <c r="W4">
        <v>80</v>
      </c>
      <c r="X4">
        <v>2</v>
      </c>
      <c r="AC4">
        <v>3</v>
      </c>
      <c r="AD4">
        <v>2</v>
      </c>
      <c r="AF4">
        <v>97</v>
      </c>
      <c r="AG4">
        <v>44</v>
      </c>
      <c r="AH4">
        <v>64</v>
      </c>
      <c r="AI4">
        <v>82</v>
      </c>
      <c r="AJ4" t="s">
        <v>19</v>
      </c>
      <c r="AK4" t="s">
        <v>20</v>
      </c>
      <c r="AM4" t="b">
        <f t="shared" si="0"/>
        <v>0</v>
      </c>
    </row>
    <row r="5" spans="1:39" x14ac:dyDescent="0.25">
      <c r="A5">
        <v>4</v>
      </c>
      <c r="B5">
        <v>4</v>
      </c>
      <c r="C5" t="s">
        <v>21</v>
      </c>
      <c r="D5">
        <v>65</v>
      </c>
      <c r="E5">
        <v>1</v>
      </c>
      <c r="F5">
        <v>165</v>
      </c>
      <c r="G5">
        <v>66</v>
      </c>
      <c r="H5">
        <v>76</v>
      </c>
      <c r="I5">
        <v>1</v>
      </c>
      <c r="J5">
        <v>3</v>
      </c>
      <c r="K5">
        <v>1</v>
      </c>
      <c r="L5">
        <v>1</v>
      </c>
      <c r="M5" s="4" t="s">
        <v>17</v>
      </c>
      <c r="N5">
        <v>1</v>
      </c>
      <c r="O5" s="4">
        <v>7</v>
      </c>
      <c r="P5">
        <v>1</v>
      </c>
      <c r="Q5" s="4">
        <v>6.35</v>
      </c>
      <c r="R5">
        <v>6.6</v>
      </c>
      <c r="S5">
        <v>8.4700000000000006</v>
      </c>
      <c r="T5">
        <v>10.42</v>
      </c>
      <c r="U5">
        <v>1</v>
      </c>
      <c r="V5">
        <v>180</v>
      </c>
      <c r="W5">
        <v>95</v>
      </c>
      <c r="X5">
        <v>2</v>
      </c>
      <c r="AC5">
        <v>5</v>
      </c>
      <c r="AD5">
        <v>2</v>
      </c>
      <c r="AF5">
        <v>192</v>
      </c>
      <c r="AG5">
        <v>79</v>
      </c>
      <c r="AH5">
        <v>164</v>
      </c>
      <c r="AI5">
        <v>189</v>
      </c>
      <c r="AJ5" t="s">
        <v>22</v>
      </c>
      <c r="AK5" t="s">
        <v>15</v>
      </c>
      <c r="AM5" t="b">
        <f t="shared" si="0"/>
        <v>1</v>
      </c>
    </row>
    <row r="6" spans="1:39" x14ac:dyDescent="0.25">
      <c r="A6">
        <v>5</v>
      </c>
      <c r="B6">
        <v>5</v>
      </c>
      <c r="C6" t="s">
        <v>23</v>
      </c>
      <c r="D6">
        <v>65</v>
      </c>
      <c r="E6">
        <v>1</v>
      </c>
      <c r="F6">
        <v>166</v>
      </c>
      <c r="G6">
        <v>64</v>
      </c>
      <c r="H6">
        <v>82</v>
      </c>
      <c r="I6">
        <v>2</v>
      </c>
      <c r="J6">
        <v>1</v>
      </c>
      <c r="K6">
        <v>4</v>
      </c>
      <c r="L6">
        <v>2</v>
      </c>
      <c r="M6" s="4" t="s">
        <v>24</v>
      </c>
      <c r="N6">
        <v>1</v>
      </c>
      <c r="O6" s="4">
        <v>15</v>
      </c>
      <c r="P6">
        <v>2</v>
      </c>
      <c r="Q6" s="4">
        <v>6.52</v>
      </c>
      <c r="R6">
        <v>6.04</v>
      </c>
      <c r="S6">
        <v>7.36</v>
      </c>
      <c r="T6">
        <v>8.42</v>
      </c>
      <c r="U6">
        <v>1</v>
      </c>
      <c r="V6">
        <v>130</v>
      </c>
      <c r="W6">
        <v>80</v>
      </c>
      <c r="X6">
        <v>1</v>
      </c>
      <c r="Y6">
        <v>12</v>
      </c>
      <c r="Z6">
        <v>1</v>
      </c>
      <c r="AA6">
        <v>2</v>
      </c>
      <c r="AB6">
        <v>1</v>
      </c>
      <c r="AC6">
        <v>2</v>
      </c>
      <c r="AD6">
        <v>2</v>
      </c>
      <c r="AF6">
        <v>162</v>
      </c>
      <c r="AG6">
        <v>40</v>
      </c>
      <c r="AH6">
        <v>120</v>
      </c>
      <c r="AI6">
        <v>113</v>
      </c>
      <c r="AJ6" t="s">
        <v>13</v>
      </c>
      <c r="AK6" t="s">
        <v>15</v>
      </c>
      <c r="AM6" t="b">
        <f t="shared" si="0"/>
        <v>0</v>
      </c>
    </row>
    <row r="7" spans="1:39" x14ac:dyDescent="0.25">
      <c r="A7">
        <v>6</v>
      </c>
      <c r="B7">
        <v>6</v>
      </c>
      <c r="C7" t="s">
        <v>25</v>
      </c>
      <c r="D7">
        <v>70</v>
      </c>
      <c r="E7">
        <v>1</v>
      </c>
      <c r="F7">
        <v>162.5</v>
      </c>
      <c r="G7">
        <v>87</v>
      </c>
      <c r="H7">
        <v>120</v>
      </c>
      <c r="I7">
        <v>2</v>
      </c>
      <c r="J7">
        <v>1</v>
      </c>
      <c r="K7">
        <v>1</v>
      </c>
      <c r="L7">
        <v>4</v>
      </c>
      <c r="M7" s="4" t="s">
        <v>308</v>
      </c>
      <c r="N7">
        <v>1</v>
      </c>
      <c r="O7" s="4">
        <v>1</v>
      </c>
      <c r="P7">
        <v>3</v>
      </c>
      <c r="Q7" s="4">
        <v>7.94</v>
      </c>
      <c r="R7">
        <v>5.89</v>
      </c>
      <c r="S7">
        <v>6.42</v>
      </c>
      <c r="T7">
        <v>11.96</v>
      </c>
      <c r="U7">
        <v>2</v>
      </c>
      <c r="V7">
        <v>110</v>
      </c>
      <c r="W7">
        <v>75</v>
      </c>
      <c r="X7">
        <v>1</v>
      </c>
      <c r="Y7">
        <v>12</v>
      </c>
      <c r="Z7">
        <v>1</v>
      </c>
      <c r="AA7">
        <v>1</v>
      </c>
      <c r="AB7">
        <v>1</v>
      </c>
      <c r="AC7">
        <v>2</v>
      </c>
      <c r="AD7">
        <v>2</v>
      </c>
      <c r="AF7">
        <v>162</v>
      </c>
      <c r="AG7">
        <v>47.2</v>
      </c>
      <c r="AH7">
        <v>69.599999999999994</v>
      </c>
      <c r="AI7">
        <v>164.7</v>
      </c>
      <c r="AJ7" t="s">
        <v>26</v>
      </c>
      <c r="AM7" t="b">
        <f t="shared" si="0"/>
        <v>0</v>
      </c>
    </row>
    <row r="8" spans="1:39" x14ac:dyDescent="0.25">
      <c r="A8">
        <v>7</v>
      </c>
      <c r="B8">
        <v>7</v>
      </c>
      <c r="C8" t="s">
        <v>27</v>
      </c>
      <c r="D8">
        <v>55</v>
      </c>
      <c r="E8">
        <v>1</v>
      </c>
      <c r="F8">
        <v>161.25</v>
      </c>
      <c r="G8">
        <v>67</v>
      </c>
      <c r="H8">
        <v>96</v>
      </c>
      <c r="I8">
        <v>2</v>
      </c>
      <c r="J8">
        <v>2</v>
      </c>
      <c r="K8">
        <v>3</v>
      </c>
      <c r="L8">
        <v>3</v>
      </c>
      <c r="M8" s="4" t="s">
        <v>28</v>
      </c>
      <c r="N8">
        <v>1</v>
      </c>
      <c r="O8" s="4">
        <v>1</v>
      </c>
      <c r="P8">
        <v>2</v>
      </c>
      <c r="Q8" s="4">
        <v>6.34</v>
      </c>
      <c r="R8">
        <v>6.04</v>
      </c>
      <c r="S8">
        <v>8.4700000000000006</v>
      </c>
      <c r="T8">
        <v>9.01</v>
      </c>
      <c r="U8">
        <v>2</v>
      </c>
      <c r="V8">
        <v>130</v>
      </c>
      <c r="W8">
        <v>80</v>
      </c>
      <c r="X8">
        <v>1</v>
      </c>
      <c r="Y8">
        <v>7</v>
      </c>
      <c r="Z8">
        <v>1</v>
      </c>
      <c r="AA8">
        <v>1</v>
      </c>
      <c r="AB8">
        <v>1</v>
      </c>
      <c r="AC8">
        <v>1</v>
      </c>
      <c r="AD8">
        <v>1</v>
      </c>
      <c r="AE8" t="s">
        <v>93</v>
      </c>
      <c r="AF8">
        <v>152</v>
      </c>
      <c r="AG8">
        <v>50.4</v>
      </c>
      <c r="AH8">
        <v>95.6</v>
      </c>
      <c r="AI8">
        <v>92</v>
      </c>
      <c r="AJ8" t="s">
        <v>29</v>
      </c>
      <c r="AK8" t="s">
        <v>30</v>
      </c>
      <c r="AM8" t="b">
        <f t="shared" si="0"/>
        <v>0</v>
      </c>
    </row>
    <row r="9" spans="1:39" x14ac:dyDescent="0.25">
      <c r="A9">
        <v>8</v>
      </c>
      <c r="B9">
        <v>8</v>
      </c>
      <c r="C9" t="s">
        <v>31</v>
      </c>
      <c r="D9">
        <v>75</v>
      </c>
      <c r="E9">
        <v>1</v>
      </c>
      <c r="F9">
        <v>152.5</v>
      </c>
      <c r="G9">
        <v>56</v>
      </c>
      <c r="H9">
        <v>90</v>
      </c>
      <c r="I9">
        <v>3</v>
      </c>
      <c r="J9">
        <v>1</v>
      </c>
      <c r="K9">
        <v>1</v>
      </c>
      <c r="L9">
        <v>1</v>
      </c>
      <c r="M9" s="4" t="s">
        <v>32</v>
      </c>
      <c r="N9">
        <v>1</v>
      </c>
      <c r="O9" s="4">
        <v>1</v>
      </c>
      <c r="P9">
        <v>1</v>
      </c>
      <c r="Q9" s="4">
        <v>7.74</v>
      </c>
      <c r="R9">
        <v>6.54</v>
      </c>
      <c r="S9">
        <v>6.82</v>
      </c>
      <c r="T9">
        <v>11.38</v>
      </c>
      <c r="U9">
        <v>2</v>
      </c>
      <c r="V9">
        <v>110</v>
      </c>
      <c r="W9">
        <v>60</v>
      </c>
      <c r="X9">
        <v>2</v>
      </c>
      <c r="AC9">
        <v>2</v>
      </c>
      <c r="AD9">
        <v>2</v>
      </c>
      <c r="AF9">
        <v>164</v>
      </c>
      <c r="AG9">
        <v>53.4</v>
      </c>
      <c r="AH9">
        <v>55.5</v>
      </c>
      <c r="AI9">
        <v>54.5</v>
      </c>
      <c r="AJ9" t="s">
        <v>13</v>
      </c>
      <c r="AK9" t="s">
        <v>15</v>
      </c>
      <c r="AM9" t="b">
        <f t="shared" si="0"/>
        <v>0</v>
      </c>
    </row>
    <row r="10" spans="1:39" x14ac:dyDescent="0.25">
      <c r="A10">
        <v>9</v>
      </c>
      <c r="B10">
        <v>9</v>
      </c>
      <c r="C10" t="s">
        <v>33</v>
      </c>
      <c r="D10">
        <v>70</v>
      </c>
      <c r="E10">
        <v>1</v>
      </c>
      <c r="F10">
        <v>167.5</v>
      </c>
      <c r="G10">
        <v>110</v>
      </c>
      <c r="H10">
        <v>111</v>
      </c>
      <c r="I10">
        <v>3</v>
      </c>
      <c r="J10">
        <v>1</v>
      </c>
      <c r="K10">
        <v>3</v>
      </c>
      <c r="L10">
        <v>2</v>
      </c>
      <c r="M10" s="4" t="s">
        <v>309</v>
      </c>
      <c r="N10">
        <v>1</v>
      </c>
      <c r="O10" s="4">
        <v>20</v>
      </c>
      <c r="P10">
        <v>3</v>
      </c>
      <c r="Q10" s="4">
        <v>7.03</v>
      </c>
      <c r="R10">
        <v>6.6</v>
      </c>
      <c r="S10">
        <v>6.2</v>
      </c>
      <c r="T10">
        <v>11.14</v>
      </c>
      <c r="U10">
        <v>1</v>
      </c>
      <c r="V10">
        <v>140</v>
      </c>
      <c r="W10">
        <v>80</v>
      </c>
      <c r="X10">
        <v>2</v>
      </c>
      <c r="AC10">
        <v>2</v>
      </c>
      <c r="AD10">
        <v>2</v>
      </c>
      <c r="AF10">
        <v>117</v>
      </c>
      <c r="AG10">
        <v>28</v>
      </c>
      <c r="AH10">
        <v>84</v>
      </c>
      <c r="AI10">
        <v>158</v>
      </c>
      <c r="AJ10" t="s">
        <v>34</v>
      </c>
      <c r="AM10" t="b">
        <f t="shared" si="0"/>
        <v>0</v>
      </c>
    </row>
    <row r="11" spans="1:39" x14ac:dyDescent="0.25">
      <c r="A11">
        <v>10</v>
      </c>
      <c r="B11">
        <v>10</v>
      </c>
      <c r="C11" t="s">
        <v>35</v>
      </c>
      <c r="D11">
        <v>48</v>
      </c>
      <c r="E11">
        <v>2</v>
      </c>
      <c r="F11">
        <v>161.25</v>
      </c>
      <c r="G11">
        <v>48</v>
      </c>
      <c r="H11">
        <v>74</v>
      </c>
      <c r="I11">
        <v>2</v>
      </c>
      <c r="J11">
        <v>1</v>
      </c>
      <c r="K11">
        <v>1</v>
      </c>
      <c r="L11">
        <v>1</v>
      </c>
      <c r="M11" s="4" t="s">
        <v>36</v>
      </c>
      <c r="N11">
        <v>1</v>
      </c>
      <c r="O11" s="4">
        <v>10</v>
      </c>
      <c r="P11">
        <v>1</v>
      </c>
      <c r="Q11" s="4">
        <v>6.6</v>
      </c>
      <c r="R11">
        <v>18.73</v>
      </c>
      <c r="S11">
        <v>8.1999999999999993</v>
      </c>
      <c r="T11">
        <v>11.88</v>
      </c>
      <c r="U11">
        <v>1</v>
      </c>
      <c r="V11">
        <v>120</v>
      </c>
      <c r="W11">
        <v>85</v>
      </c>
      <c r="X11">
        <v>2</v>
      </c>
      <c r="AC11">
        <v>3</v>
      </c>
      <c r="AD11">
        <v>2</v>
      </c>
      <c r="AF11">
        <v>172</v>
      </c>
      <c r="AG11">
        <v>53.1</v>
      </c>
      <c r="AH11">
        <v>81.8</v>
      </c>
      <c r="AI11">
        <v>222</v>
      </c>
      <c r="AJ11" t="s">
        <v>13</v>
      </c>
      <c r="AK11" t="s">
        <v>15</v>
      </c>
      <c r="AM11" t="b">
        <f t="shared" si="0"/>
        <v>0</v>
      </c>
    </row>
    <row r="12" spans="1:39" x14ac:dyDescent="0.25">
      <c r="A12">
        <v>11</v>
      </c>
      <c r="B12">
        <v>11</v>
      </c>
      <c r="C12" t="s">
        <v>37</v>
      </c>
      <c r="D12">
        <v>70</v>
      </c>
      <c r="E12">
        <v>1</v>
      </c>
      <c r="F12">
        <v>162.5</v>
      </c>
      <c r="G12">
        <v>56</v>
      </c>
      <c r="H12">
        <v>86.5</v>
      </c>
      <c r="I12">
        <v>3</v>
      </c>
      <c r="J12">
        <v>2</v>
      </c>
      <c r="K12">
        <v>1</v>
      </c>
      <c r="L12">
        <v>1</v>
      </c>
      <c r="M12" s="4" t="s">
        <v>309</v>
      </c>
      <c r="N12">
        <v>1</v>
      </c>
      <c r="O12" s="4">
        <v>3</v>
      </c>
      <c r="P12">
        <v>3</v>
      </c>
      <c r="Q12" s="4">
        <v>5.89</v>
      </c>
      <c r="R12">
        <v>25.76</v>
      </c>
      <c r="S12">
        <v>9.48</v>
      </c>
      <c r="T12">
        <v>12.09</v>
      </c>
      <c r="U12">
        <v>2</v>
      </c>
      <c r="V12">
        <v>110</v>
      </c>
      <c r="W12">
        <v>70</v>
      </c>
      <c r="X12">
        <v>2</v>
      </c>
      <c r="AC12">
        <v>2</v>
      </c>
      <c r="AD12">
        <v>2</v>
      </c>
      <c r="AF12">
        <v>178</v>
      </c>
      <c r="AG12">
        <v>78.3</v>
      </c>
      <c r="AH12">
        <v>90.9</v>
      </c>
      <c r="AI12">
        <v>646</v>
      </c>
      <c r="AJ12" t="s">
        <v>13</v>
      </c>
      <c r="AK12" t="s">
        <v>15</v>
      </c>
      <c r="AM12" t="b">
        <f t="shared" si="0"/>
        <v>0</v>
      </c>
    </row>
    <row r="13" spans="1:39" x14ac:dyDescent="0.25">
      <c r="A13">
        <v>12</v>
      </c>
      <c r="B13">
        <v>12</v>
      </c>
      <c r="C13" t="s">
        <v>38</v>
      </c>
      <c r="D13">
        <v>40</v>
      </c>
      <c r="E13">
        <v>2</v>
      </c>
      <c r="F13">
        <v>150</v>
      </c>
      <c r="G13">
        <v>46</v>
      </c>
      <c r="H13">
        <v>80</v>
      </c>
      <c r="I13">
        <v>2</v>
      </c>
      <c r="J13">
        <v>2</v>
      </c>
      <c r="K13">
        <v>1</v>
      </c>
      <c r="L13">
        <v>1</v>
      </c>
      <c r="M13" s="4" t="s">
        <v>39</v>
      </c>
      <c r="N13">
        <v>1</v>
      </c>
      <c r="O13" s="4">
        <v>5</v>
      </c>
      <c r="P13">
        <v>1</v>
      </c>
      <c r="Q13" s="4">
        <v>7.3</v>
      </c>
      <c r="R13">
        <v>18.12</v>
      </c>
      <c r="S13">
        <v>7.24</v>
      </c>
      <c r="T13">
        <v>11.71</v>
      </c>
      <c r="U13">
        <v>2</v>
      </c>
      <c r="V13">
        <v>100</v>
      </c>
      <c r="W13">
        <v>60</v>
      </c>
      <c r="X13">
        <v>2</v>
      </c>
      <c r="AC13">
        <v>2</v>
      </c>
      <c r="AD13">
        <v>2</v>
      </c>
      <c r="AF13">
        <v>130.47</v>
      </c>
      <c r="AG13">
        <v>27.01</v>
      </c>
      <c r="AH13">
        <v>87.74</v>
      </c>
      <c r="AI13">
        <v>156.1</v>
      </c>
      <c r="AJ13" t="s">
        <v>13</v>
      </c>
      <c r="AK13" t="s">
        <v>15</v>
      </c>
      <c r="AM13" t="b">
        <f t="shared" si="0"/>
        <v>0</v>
      </c>
    </row>
    <row r="14" spans="1:39" x14ac:dyDescent="0.25">
      <c r="A14">
        <v>13</v>
      </c>
      <c r="B14">
        <v>13</v>
      </c>
      <c r="C14" t="s">
        <v>40</v>
      </c>
      <c r="D14">
        <v>22</v>
      </c>
      <c r="E14">
        <v>1</v>
      </c>
      <c r="F14">
        <v>170</v>
      </c>
      <c r="G14">
        <v>44</v>
      </c>
      <c r="H14">
        <v>66</v>
      </c>
      <c r="I14">
        <v>3</v>
      </c>
      <c r="J14">
        <v>3</v>
      </c>
      <c r="K14">
        <v>1</v>
      </c>
      <c r="L14">
        <v>1</v>
      </c>
      <c r="M14" s="4" t="s">
        <v>308</v>
      </c>
      <c r="N14">
        <v>1</v>
      </c>
      <c r="O14" s="4" t="s">
        <v>58</v>
      </c>
      <c r="P14">
        <v>4</v>
      </c>
      <c r="Q14" s="4">
        <v>6.04</v>
      </c>
      <c r="R14">
        <v>30.71</v>
      </c>
      <c r="S14">
        <v>9.6999999999999993</v>
      </c>
      <c r="T14">
        <v>9.14</v>
      </c>
      <c r="U14">
        <v>2</v>
      </c>
      <c r="V14">
        <v>100</v>
      </c>
      <c r="W14">
        <v>70</v>
      </c>
      <c r="X14">
        <v>2</v>
      </c>
      <c r="AC14">
        <v>5</v>
      </c>
      <c r="AD14">
        <v>2</v>
      </c>
      <c r="AF14">
        <v>108.31</v>
      </c>
      <c r="AG14">
        <v>38.67</v>
      </c>
      <c r="AH14">
        <v>63.46</v>
      </c>
      <c r="AI14">
        <v>82.23</v>
      </c>
      <c r="AJ14" t="s">
        <v>13</v>
      </c>
      <c r="AK14" t="s">
        <v>15</v>
      </c>
      <c r="AM14" t="b">
        <f t="shared" si="0"/>
        <v>0</v>
      </c>
    </row>
    <row r="15" spans="1:39" x14ac:dyDescent="0.25">
      <c r="A15">
        <v>14</v>
      </c>
      <c r="B15">
        <v>14</v>
      </c>
      <c r="C15" t="s">
        <v>41</v>
      </c>
      <c r="D15">
        <v>53</v>
      </c>
      <c r="E15">
        <v>1</v>
      </c>
      <c r="F15">
        <v>165</v>
      </c>
      <c r="G15">
        <v>70</v>
      </c>
      <c r="H15">
        <v>93</v>
      </c>
      <c r="I15">
        <v>2</v>
      </c>
      <c r="J15">
        <v>1</v>
      </c>
      <c r="K15">
        <v>2</v>
      </c>
      <c r="L15">
        <v>1</v>
      </c>
      <c r="M15" s="4" t="s">
        <v>42</v>
      </c>
      <c r="N15">
        <v>1</v>
      </c>
      <c r="O15" s="4">
        <v>14</v>
      </c>
      <c r="P15">
        <v>2</v>
      </c>
      <c r="Q15" s="4">
        <v>8.2799999999999994</v>
      </c>
      <c r="R15">
        <v>20.83</v>
      </c>
      <c r="S15">
        <v>8.49</v>
      </c>
      <c r="T15">
        <v>10.55</v>
      </c>
      <c r="U15">
        <v>1</v>
      </c>
      <c r="V15">
        <v>140</v>
      </c>
      <c r="W15">
        <v>80</v>
      </c>
      <c r="X15">
        <v>2</v>
      </c>
      <c r="AC15">
        <v>2</v>
      </c>
      <c r="AD15">
        <v>2</v>
      </c>
      <c r="AF15">
        <v>107</v>
      </c>
      <c r="AG15">
        <v>38.4</v>
      </c>
      <c r="AH15">
        <v>63.6</v>
      </c>
      <c r="AI15">
        <v>271.39999999999998</v>
      </c>
      <c r="AJ15" t="s">
        <v>26</v>
      </c>
      <c r="AK15" t="s">
        <v>43</v>
      </c>
      <c r="AM15" t="b">
        <f t="shared" si="0"/>
        <v>0</v>
      </c>
    </row>
    <row r="16" spans="1:39" x14ac:dyDescent="0.25">
      <c r="A16">
        <v>15</v>
      </c>
      <c r="B16">
        <v>15</v>
      </c>
      <c r="C16" t="s">
        <v>44</v>
      </c>
      <c r="D16">
        <v>33</v>
      </c>
      <c r="E16">
        <v>1</v>
      </c>
      <c r="F16">
        <v>161.25</v>
      </c>
      <c r="G16">
        <v>86</v>
      </c>
      <c r="H16">
        <v>100</v>
      </c>
      <c r="I16">
        <v>2</v>
      </c>
      <c r="J16">
        <v>1</v>
      </c>
      <c r="K16">
        <v>5</v>
      </c>
      <c r="L16">
        <v>3</v>
      </c>
      <c r="M16" s="4" t="s">
        <v>45</v>
      </c>
      <c r="N16">
        <v>1</v>
      </c>
      <c r="O16" s="4">
        <v>3</v>
      </c>
      <c r="P16">
        <v>1</v>
      </c>
      <c r="Q16" s="4">
        <v>5.89</v>
      </c>
      <c r="R16">
        <v>10.130000000000001</v>
      </c>
      <c r="S16">
        <v>8.99</v>
      </c>
      <c r="T16">
        <v>11.04</v>
      </c>
      <c r="U16">
        <v>2</v>
      </c>
      <c r="V16">
        <v>135</v>
      </c>
      <c r="W16">
        <v>85</v>
      </c>
      <c r="X16">
        <v>2</v>
      </c>
      <c r="AC16">
        <v>1</v>
      </c>
      <c r="AD16">
        <v>2</v>
      </c>
      <c r="AF16">
        <v>183.86</v>
      </c>
      <c r="AG16">
        <v>31.14</v>
      </c>
      <c r="AH16">
        <v>112.24</v>
      </c>
      <c r="AI16">
        <v>402.68</v>
      </c>
      <c r="AJ16" t="s">
        <v>13</v>
      </c>
      <c r="AK16" t="s">
        <v>15</v>
      </c>
      <c r="AM16" t="b">
        <f t="shared" si="0"/>
        <v>0</v>
      </c>
    </row>
    <row r="17" spans="1:39" x14ac:dyDescent="0.25">
      <c r="A17">
        <v>16</v>
      </c>
      <c r="B17">
        <v>16</v>
      </c>
      <c r="C17" t="s">
        <v>46</v>
      </c>
      <c r="D17">
        <v>46</v>
      </c>
      <c r="E17">
        <v>1</v>
      </c>
      <c r="F17">
        <v>163.75</v>
      </c>
      <c r="G17">
        <v>69.7</v>
      </c>
      <c r="H17">
        <v>91</v>
      </c>
      <c r="I17">
        <v>1</v>
      </c>
      <c r="J17">
        <v>1</v>
      </c>
      <c r="K17">
        <v>3</v>
      </c>
      <c r="L17">
        <v>2</v>
      </c>
      <c r="M17" s="4" t="s">
        <v>24</v>
      </c>
      <c r="N17">
        <v>1</v>
      </c>
      <c r="O17" s="4">
        <v>8</v>
      </c>
      <c r="P17">
        <v>1</v>
      </c>
      <c r="Q17" s="4">
        <v>6.4</v>
      </c>
      <c r="R17">
        <v>6.56</v>
      </c>
      <c r="S17">
        <v>6.95</v>
      </c>
      <c r="T17">
        <v>11.6</v>
      </c>
      <c r="U17">
        <v>2</v>
      </c>
      <c r="V17">
        <v>130</v>
      </c>
      <c r="W17">
        <v>80</v>
      </c>
      <c r="X17">
        <v>2</v>
      </c>
      <c r="AC17">
        <v>5</v>
      </c>
      <c r="AD17">
        <v>2</v>
      </c>
      <c r="AF17">
        <v>202</v>
      </c>
      <c r="AG17">
        <v>43.53</v>
      </c>
      <c r="AH17">
        <v>142.84</v>
      </c>
      <c r="AI17">
        <v>158.78</v>
      </c>
      <c r="AJ17" t="s">
        <v>13</v>
      </c>
      <c r="AK17" t="s">
        <v>15</v>
      </c>
      <c r="AM17" t="b">
        <f t="shared" si="0"/>
        <v>0</v>
      </c>
    </row>
    <row r="18" spans="1:39" x14ac:dyDescent="0.25">
      <c r="A18">
        <v>17</v>
      </c>
      <c r="B18">
        <v>17</v>
      </c>
      <c r="C18" t="s">
        <v>47</v>
      </c>
      <c r="D18">
        <v>40</v>
      </c>
      <c r="E18">
        <v>1</v>
      </c>
      <c r="F18">
        <v>157.5</v>
      </c>
      <c r="G18">
        <v>63</v>
      </c>
      <c r="H18">
        <v>93.5</v>
      </c>
      <c r="I18">
        <v>2</v>
      </c>
      <c r="J18">
        <v>2</v>
      </c>
      <c r="K18">
        <v>5</v>
      </c>
      <c r="L18">
        <v>3</v>
      </c>
      <c r="M18" s="4" t="s">
        <v>48</v>
      </c>
      <c r="N18">
        <v>1</v>
      </c>
      <c r="O18" s="4">
        <v>1</v>
      </c>
      <c r="P18">
        <v>1</v>
      </c>
      <c r="Q18" s="4">
        <v>6.3</v>
      </c>
      <c r="R18">
        <v>6.2</v>
      </c>
      <c r="S18">
        <v>8.42</v>
      </c>
      <c r="T18">
        <v>8.84</v>
      </c>
      <c r="U18">
        <v>2</v>
      </c>
      <c r="V18">
        <v>120</v>
      </c>
      <c r="W18">
        <v>80</v>
      </c>
      <c r="X18">
        <v>2</v>
      </c>
      <c r="AC18">
        <v>3</v>
      </c>
      <c r="AD18">
        <v>2</v>
      </c>
      <c r="AF18">
        <v>125</v>
      </c>
      <c r="AG18">
        <v>33</v>
      </c>
      <c r="AH18">
        <v>89</v>
      </c>
      <c r="AI18">
        <v>190</v>
      </c>
      <c r="AJ18" t="s">
        <v>13</v>
      </c>
      <c r="AK18" t="s">
        <v>15</v>
      </c>
      <c r="AM18" t="b">
        <f t="shared" si="0"/>
        <v>0</v>
      </c>
    </row>
    <row r="19" spans="1:39" x14ac:dyDescent="0.25">
      <c r="A19">
        <v>18</v>
      </c>
      <c r="B19">
        <v>18</v>
      </c>
      <c r="C19" t="s">
        <v>49</v>
      </c>
      <c r="D19">
        <v>65</v>
      </c>
      <c r="E19">
        <v>2</v>
      </c>
      <c r="F19">
        <v>147.5</v>
      </c>
      <c r="G19">
        <v>46</v>
      </c>
      <c r="H19">
        <v>81</v>
      </c>
      <c r="I19">
        <v>2</v>
      </c>
      <c r="J19">
        <v>2</v>
      </c>
      <c r="K19">
        <v>2</v>
      </c>
      <c r="L19">
        <v>2</v>
      </c>
      <c r="M19" s="4" t="s">
        <v>39</v>
      </c>
      <c r="N19">
        <v>1</v>
      </c>
      <c r="O19" s="4">
        <v>1</v>
      </c>
      <c r="P19">
        <v>1</v>
      </c>
      <c r="Q19" s="4">
        <v>5.65</v>
      </c>
      <c r="R19">
        <v>5.22</v>
      </c>
      <c r="S19">
        <v>10.130000000000001</v>
      </c>
      <c r="T19">
        <v>14.83</v>
      </c>
      <c r="U19">
        <v>1</v>
      </c>
      <c r="V19">
        <v>120</v>
      </c>
      <c r="W19">
        <v>80</v>
      </c>
      <c r="X19">
        <v>1</v>
      </c>
      <c r="Y19">
        <v>2</v>
      </c>
      <c r="Z19">
        <v>1</v>
      </c>
      <c r="AA19">
        <v>2</v>
      </c>
      <c r="AB19">
        <v>4</v>
      </c>
      <c r="AC19">
        <v>4</v>
      </c>
      <c r="AD19">
        <v>2</v>
      </c>
      <c r="AF19">
        <v>233.73</v>
      </c>
      <c r="AG19">
        <v>38.950000000000003</v>
      </c>
      <c r="AH19">
        <v>153.85</v>
      </c>
      <c r="AI19">
        <v>184.61</v>
      </c>
      <c r="AJ19" t="s">
        <v>14</v>
      </c>
      <c r="AK19" t="s">
        <v>50</v>
      </c>
      <c r="AM19" t="b">
        <f t="shared" si="0"/>
        <v>0</v>
      </c>
    </row>
    <row r="20" spans="1:39" x14ac:dyDescent="0.25">
      <c r="A20">
        <v>19</v>
      </c>
      <c r="B20">
        <v>19</v>
      </c>
      <c r="C20" t="s">
        <v>51</v>
      </c>
      <c r="D20">
        <v>52</v>
      </c>
      <c r="E20">
        <v>2</v>
      </c>
      <c r="F20">
        <v>142.5</v>
      </c>
      <c r="G20">
        <v>59.3</v>
      </c>
      <c r="H20">
        <v>92</v>
      </c>
      <c r="I20">
        <v>2</v>
      </c>
      <c r="J20">
        <v>2</v>
      </c>
      <c r="K20">
        <v>1</v>
      </c>
      <c r="L20">
        <v>1</v>
      </c>
      <c r="M20" s="4" t="s">
        <v>39</v>
      </c>
      <c r="N20">
        <v>1</v>
      </c>
      <c r="O20" s="4">
        <v>5</v>
      </c>
      <c r="P20">
        <v>1</v>
      </c>
      <c r="Q20" s="4">
        <v>6.82</v>
      </c>
      <c r="R20">
        <v>5.86</v>
      </c>
      <c r="S20">
        <v>8.19</v>
      </c>
      <c r="T20">
        <v>10.16</v>
      </c>
      <c r="U20">
        <v>1</v>
      </c>
      <c r="V20">
        <v>190</v>
      </c>
      <c r="W20">
        <v>110</v>
      </c>
      <c r="X20">
        <v>1</v>
      </c>
      <c r="Y20">
        <v>5</v>
      </c>
      <c r="Z20">
        <v>1</v>
      </c>
      <c r="AA20">
        <v>2</v>
      </c>
      <c r="AB20">
        <v>4</v>
      </c>
      <c r="AC20">
        <v>2</v>
      </c>
      <c r="AD20">
        <v>2</v>
      </c>
      <c r="AF20">
        <v>150</v>
      </c>
      <c r="AG20">
        <v>57.9</v>
      </c>
      <c r="AH20">
        <v>108</v>
      </c>
      <c r="AI20">
        <v>285.60000000000002</v>
      </c>
      <c r="AJ20" t="s">
        <v>13</v>
      </c>
      <c r="AK20" t="s">
        <v>15</v>
      </c>
      <c r="AM20" t="b">
        <f t="shared" si="0"/>
        <v>1</v>
      </c>
    </row>
    <row r="21" spans="1:39" x14ac:dyDescent="0.25">
      <c r="A21">
        <v>20</v>
      </c>
      <c r="B21">
        <v>20</v>
      </c>
      <c r="C21" t="s">
        <v>52</v>
      </c>
      <c r="D21">
        <v>52</v>
      </c>
      <c r="E21">
        <v>1</v>
      </c>
      <c r="F21">
        <v>165</v>
      </c>
      <c r="G21">
        <v>62</v>
      </c>
      <c r="H21">
        <v>92</v>
      </c>
      <c r="I21">
        <v>2</v>
      </c>
      <c r="J21">
        <v>1</v>
      </c>
      <c r="K21">
        <v>3</v>
      </c>
      <c r="L21">
        <v>4</v>
      </c>
      <c r="M21" s="4" t="s">
        <v>42</v>
      </c>
      <c r="N21">
        <v>1</v>
      </c>
      <c r="O21" s="4">
        <v>1</v>
      </c>
      <c r="P21">
        <v>1</v>
      </c>
      <c r="Q21" s="4">
        <v>6.59</v>
      </c>
      <c r="R21">
        <v>12.26</v>
      </c>
      <c r="S21">
        <v>8.1999999999999993</v>
      </c>
      <c r="T21">
        <v>8.14</v>
      </c>
      <c r="U21">
        <v>2</v>
      </c>
      <c r="V21">
        <v>140</v>
      </c>
      <c r="W21">
        <v>90</v>
      </c>
      <c r="X21">
        <v>1</v>
      </c>
      <c r="Y21">
        <v>5</v>
      </c>
      <c r="Z21">
        <v>1</v>
      </c>
      <c r="AA21">
        <v>1</v>
      </c>
      <c r="AB21">
        <v>1</v>
      </c>
      <c r="AC21">
        <v>3</v>
      </c>
      <c r="AD21">
        <v>2</v>
      </c>
      <c r="AF21">
        <v>242.56</v>
      </c>
      <c r="AG21">
        <v>40.42</v>
      </c>
      <c r="AH21">
        <v>167.72</v>
      </c>
      <c r="AI21">
        <v>172.07</v>
      </c>
      <c r="AJ21" t="s">
        <v>53</v>
      </c>
      <c r="AK21" t="s">
        <v>50</v>
      </c>
      <c r="AM21" t="b">
        <f t="shared" si="0"/>
        <v>1</v>
      </c>
    </row>
    <row r="22" spans="1:39" x14ac:dyDescent="0.25">
      <c r="A22">
        <v>21</v>
      </c>
      <c r="B22">
        <v>21</v>
      </c>
      <c r="C22" t="s">
        <v>54</v>
      </c>
      <c r="D22">
        <v>55</v>
      </c>
      <c r="E22">
        <v>2</v>
      </c>
      <c r="F22">
        <v>150</v>
      </c>
      <c r="G22">
        <v>37.6</v>
      </c>
      <c r="H22">
        <v>73</v>
      </c>
      <c r="I22">
        <v>2</v>
      </c>
      <c r="J22">
        <v>1</v>
      </c>
      <c r="K22">
        <v>2</v>
      </c>
      <c r="L22">
        <v>1</v>
      </c>
      <c r="M22" s="4" t="s">
        <v>36</v>
      </c>
      <c r="N22">
        <v>1</v>
      </c>
      <c r="O22" s="4">
        <v>17</v>
      </c>
      <c r="P22">
        <v>1</v>
      </c>
      <c r="Q22" s="4">
        <v>7.37</v>
      </c>
      <c r="R22">
        <v>9.6</v>
      </c>
      <c r="S22">
        <v>10.4</v>
      </c>
      <c r="T22">
        <v>10.14</v>
      </c>
      <c r="U22">
        <v>1</v>
      </c>
      <c r="V22">
        <v>90</v>
      </c>
      <c r="W22">
        <v>60</v>
      </c>
      <c r="X22">
        <v>2</v>
      </c>
      <c r="AC22">
        <v>2</v>
      </c>
      <c r="AD22">
        <v>2</v>
      </c>
      <c r="AF22">
        <v>179</v>
      </c>
      <c r="AG22">
        <v>50</v>
      </c>
      <c r="AH22">
        <v>83</v>
      </c>
      <c r="AI22">
        <v>73</v>
      </c>
      <c r="AJ22" t="s">
        <v>13</v>
      </c>
      <c r="AK22" t="s">
        <v>15</v>
      </c>
      <c r="AM22" t="b">
        <f t="shared" si="0"/>
        <v>0</v>
      </c>
    </row>
    <row r="23" spans="1:39" x14ac:dyDescent="0.25">
      <c r="A23">
        <v>22</v>
      </c>
      <c r="B23">
        <v>22</v>
      </c>
      <c r="C23" t="s">
        <v>55</v>
      </c>
      <c r="D23">
        <v>51</v>
      </c>
      <c r="E23">
        <v>1</v>
      </c>
      <c r="F23">
        <v>162</v>
      </c>
      <c r="G23">
        <v>63.3</v>
      </c>
      <c r="H23">
        <v>93</v>
      </c>
      <c r="I23">
        <v>2</v>
      </c>
      <c r="J23">
        <v>3</v>
      </c>
      <c r="K23">
        <v>1</v>
      </c>
      <c r="L23">
        <v>2</v>
      </c>
      <c r="M23" s="4" t="s">
        <v>56</v>
      </c>
      <c r="N23">
        <v>1</v>
      </c>
      <c r="O23" s="4" t="s">
        <v>57</v>
      </c>
      <c r="P23">
        <v>4</v>
      </c>
      <c r="Q23" s="4">
        <v>6.3</v>
      </c>
      <c r="R23">
        <v>16.82</v>
      </c>
      <c r="S23">
        <v>7.55</v>
      </c>
      <c r="T23">
        <v>11.27</v>
      </c>
      <c r="U23">
        <v>2</v>
      </c>
      <c r="V23">
        <v>150</v>
      </c>
      <c r="W23">
        <v>80</v>
      </c>
      <c r="X23">
        <v>2</v>
      </c>
      <c r="AC23">
        <v>4</v>
      </c>
      <c r="AD23">
        <v>2</v>
      </c>
      <c r="AF23">
        <v>202</v>
      </c>
      <c r="AG23">
        <v>45</v>
      </c>
      <c r="AH23">
        <v>134</v>
      </c>
      <c r="AI23">
        <v>183</v>
      </c>
      <c r="AJ23" t="s">
        <v>59</v>
      </c>
      <c r="AK23" t="s">
        <v>60</v>
      </c>
      <c r="AM23" t="b">
        <f t="shared" si="0"/>
        <v>0</v>
      </c>
    </row>
    <row r="24" spans="1:39" x14ac:dyDescent="0.25">
      <c r="A24">
        <v>23</v>
      </c>
      <c r="B24">
        <v>23</v>
      </c>
      <c r="C24" t="s">
        <v>61</v>
      </c>
      <c r="D24">
        <v>38</v>
      </c>
      <c r="E24">
        <v>2</v>
      </c>
      <c r="F24">
        <v>155</v>
      </c>
      <c r="G24">
        <v>56.2</v>
      </c>
      <c r="H24">
        <v>88</v>
      </c>
      <c r="I24">
        <v>2</v>
      </c>
      <c r="J24">
        <v>2</v>
      </c>
      <c r="K24">
        <v>2</v>
      </c>
      <c r="L24">
        <v>2</v>
      </c>
      <c r="M24" s="4" t="s">
        <v>36</v>
      </c>
      <c r="N24">
        <v>1</v>
      </c>
      <c r="O24" s="4">
        <v>8</v>
      </c>
      <c r="P24">
        <v>3</v>
      </c>
      <c r="Q24" s="4">
        <v>5.74</v>
      </c>
      <c r="R24">
        <v>12.26</v>
      </c>
      <c r="S24">
        <v>8.6</v>
      </c>
      <c r="T24">
        <v>8.65</v>
      </c>
      <c r="U24">
        <v>2</v>
      </c>
      <c r="V24">
        <v>160</v>
      </c>
      <c r="W24">
        <v>100</v>
      </c>
      <c r="X24">
        <v>2</v>
      </c>
      <c r="AC24">
        <v>4</v>
      </c>
      <c r="AD24">
        <v>2</v>
      </c>
      <c r="AF24">
        <v>198</v>
      </c>
      <c r="AG24">
        <v>38.950000000000003</v>
      </c>
      <c r="AH24">
        <v>81.8</v>
      </c>
      <c r="AI24">
        <v>285.60000000000002</v>
      </c>
      <c r="AJ24" t="s">
        <v>13</v>
      </c>
      <c r="AK24" t="s">
        <v>15</v>
      </c>
      <c r="AM24" t="b">
        <f t="shared" si="0"/>
        <v>1</v>
      </c>
    </row>
    <row r="25" spans="1:39" x14ac:dyDescent="0.25">
      <c r="A25">
        <v>24</v>
      </c>
      <c r="B25">
        <v>24</v>
      </c>
      <c r="C25" t="s">
        <v>63</v>
      </c>
      <c r="D25">
        <v>50</v>
      </c>
      <c r="E25">
        <v>1</v>
      </c>
      <c r="F25">
        <v>162.5</v>
      </c>
      <c r="G25">
        <v>59</v>
      </c>
      <c r="H25">
        <v>84</v>
      </c>
      <c r="I25">
        <v>2</v>
      </c>
      <c r="J25">
        <v>2</v>
      </c>
      <c r="K25">
        <v>2</v>
      </c>
      <c r="L25">
        <v>1</v>
      </c>
      <c r="M25" s="4" t="s">
        <v>308</v>
      </c>
      <c r="N25">
        <v>1</v>
      </c>
      <c r="O25" s="4">
        <v>5</v>
      </c>
      <c r="P25">
        <v>1</v>
      </c>
      <c r="Q25" s="4">
        <v>6.59</v>
      </c>
      <c r="R25">
        <v>14.19</v>
      </c>
      <c r="S25">
        <v>7.67</v>
      </c>
      <c r="T25">
        <v>10.53</v>
      </c>
      <c r="U25">
        <v>1</v>
      </c>
      <c r="V25">
        <v>145</v>
      </c>
      <c r="W25">
        <v>90</v>
      </c>
      <c r="X25">
        <v>2</v>
      </c>
      <c r="AC25">
        <v>4</v>
      </c>
      <c r="AD25">
        <v>2</v>
      </c>
      <c r="AF25">
        <v>180</v>
      </c>
      <c r="AG25">
        <v>28.07</v>
      </c>
      <c r="AH25">
        <v>114.5</v>
      </c>
      <c r="AI25">
        <v>259.55</v>
      </c>
      <c r="AJ25" t="s">
        <v>13</v>
      </c>
      <c r="AK25" t="s">
        <v>15</v>
      </c>
      <c r="AM25" t="b">
        <f t="shared" si="0"/>
        <v>1</v>
      </c>
    </row>
    <row r="26" spans="1:39" x14ac:dyDescent="0.25">
      <c r="A26">
        <v>25</v>
      </c>
      <c r="B26">
        <v>25</v>
      </c>
      <c r="C26" t="s">
        <v>64</v>
      </c>
      <c r="D26">
        <v>50</v>
      </c>
      <c r="E26">
        <v>1</v>
      </c>
      <c r="F26">
        <v>162.5</v>
      </c>
      <c r="G26">
        <v>66.7</v>
      </c>
      <c r="H26">
        <v>95</v>
      </c>
      <c r="I26">
        <v>2</v>
      </c>
      <c r="J26">
        <v>1</v>
      </c>
      <c r="K26">
        <v>2</v>
      </c>
      <c r="L26">
        <v>2</v>
      </c>
      <c r="M26" s="4" t="s">
        <v>24</v>
      </c>
      <c r="N26">
        <v>1</v>
      </c>
      <c r="O26" s="4">
        <v>5</v>
      </c>
      <c r="P26">
        <v>1</v>
      </c>
      <c r="Q26" s="4">
        <v>6.66</v>
      </c>
      <c r="R26">
        <v>15.11</v>
      </c>
      <c r="S26">
        <v>10.91</v>
      </c>
      <c r="T26">
        <v>11.1</v>
      </c>
      <c r="U26">
        <v>2</v>
      </c>
      <c r="V26">
        <v>140</v>
      </c>
      <c r="W26">
        <v>90</v>
      </c>
      <c r="X26">
        <v>2</v>
      </c>
      <c r="AC26">
        <v>5</v>
      </c>
      <c r="AD26">
        <v>2</v>
      </c>
      <c r="AF26">
        <v>244.86</v>
      </c>
      <c r="AG26">
        <v>37.99</v>
      </c>
      <c r="AH26">
        <v>139.97</v>
      </c>
      <c r="AI26">
        <v>469.93</v>
      </c>
      <c r="AJ26" t="s">
        <v>13</v>
      </c>
      <c r="AK26" t="s">
        <v>15</v>
      </c>
      <c r="AM26" t="b">
        <f t="shared" si="0"/>
        <v>1</v>
      </c>
    </row>
    <row r="27" spans="1:39" x14ac:dyDescent="0.25">
      <c r="A27">
        <v>26</v>
      </c>
      <c r="B27">
        <v>26</v>
      </c>
      <c r="C27" t="s">
        <v>65</v>
      </c>
      <c r="D27">
        <v>53</v>
      </c>
      <c r="E27">
        <v>1</v>
      </c>
      <c r="F27">
        <v>160</v>
      </c>
      <c r="G27">
        <v>65</v>
      </c>
      <c r="H27">
        <v>99</v>
      </c>
      <c r="I27">
        <v>1</v>
      </c>
      <c r="J27">
        <v>3</v>
      </c>
      <c r="K27">
        <v>1</v>
      </c>
      <c r="L27">
        <v>1</v>
      </c>
      <c r="M27" s="4" t="s">
        <v>17</v>
      </c>
      <c r="N27">
        <v>1</v>
      </c>
      <c r="O27" s="4">
        <v>1</v>
      </c>
      <c r="P27">
        <v>1</v>
      </c>
      <c r="Q27" s="4">
        <v>5.94</v>
      </c>
      <c r="R27">
        <v>12.26</v>
      </c>
      <c r="S27">
        <v>10.18</v>
      </c>
      <c r="T27">
        <v>13.34</v>
      </c>
      <c r="U27">
        <v>2</v>
      </c>
      <c r="V27">
        <v>110</v>
      </c>
      <c r="W27">
        <v>70</v>
      </c>
      <c r="X27">
        <v>2</v>
      </c>
      <c r="AC27">
        <v>5</v>
      </c>
      <c r="AD27">
        <v>1</v>
      </c>
      <c r="AE27" t="s">
        <v>66</v>
      </c>
      <c r="AF27">
        <v>226.5</v>
      </c>
      <c r="AG27">
        <v>40.32</v>
      </c>
      <c r="AH27">
        <v>164.06</v>
      </c>
      <c r="AI27">
        <v>101.16</v>
      </c>
      <c r="AJ27" t="s">
        <v>13</v>
      </c>
      <c r="AK27" t="s">
        <v>15</v>
      </c>
      <c r="AM27" t="b">
        <f t="shared" si="0"/>
        <v>0</v>
      </c>
    </row>
    <row r="28" spans="1:39" x14ac:dyDescent="0.25">
      <c r="A28">
        <v>27</v>
      </c>
      <c r="B28">
        <v>27</v>
      </c>
      <c r="C28" t="s">
        <v>71</v>
      </c>
      <c r="D28">
        <v>65</v>
      </c>
      <c r="E28">
        <v>2</v>
      </c>
      <c r="F28">
        <v>142.5</v>
      </c>
      <c r="G28">
        <v>56</v>
      </c>
      <c r="H28">
        <v>90</v>
      </c>
      <c r="I28">
        <v>2</v>
      </c>
      <c r="J28">
        <v>2</v>
      </c>
      <c r="K28">
        <v>2</v>
      </c>
      <c r="L28">
        <v>1</v>
      </c>
      <c r="M28" s="4" t="s">
        <v>36</v>
      </c>
      <c r="N28">
        <v>1</v>
      </c>
      <c r="O28" s="4">
        <v>10</v>
      </c>
      <c r="P28">
        <v>1</v>
      </c>
      <c r="Q28" s="4">
        <v>9.69</v>
      </c>
      <c r="R28">
        <v>23.17</v>
      </c>
      <c r="S28">
        <v>10.68</v>
      </c>
      <c r="T28">
        <v>14.56</v>
      </c>
      <c r="U28">
        <v>1</v>
      </c>
      <c r="V28">
        <v>120</v>
      </c>
      <c r="W28">
        <v>70</v>
      </c>
      <c r="X28">
        <v>2</v>
      </c>
      <c r="AC28">
        <v>2</v>
      </c>
      <c r="AD28">
        <v>2</v>
      </c>
      <c r="AF28">
        <v>298.42</v>
      </c>
      <c r="AG28">
        <v>49.73</v>
      </c>
      <c r="AH28">
        <v>185.52</v>
      </c>
      <c r="AI28">
        <v>315.85000000000002</v>
      </c>
      <c r="AJ28" t="s">
        <v>72</v>
      </c>
      <c r="AK28" t="s">
        <v>15</v>
      </c>
      <c r="AM28" t="b">
        <f t="shared" si="0"/>
        <v>0</v>
      </c>
    </row>
    <row r="29" spans="1:39" x14ac:dyDescent="0.25">
      <c r="A29">
        <v>28</v>
      </c>
      <c r="B29">
        <v>28</v>
      </c>
      <c r="C29" t="s">
        <v>67</v>
      </c>
      <c r="D29">
        <v>62</v>
      </c>
      <c r="E29">
        <v>1</v>
      </c>
      <c r="F29">
        <v>165</v>
      </c>
      <c r="G29">
        <v>72</v>
      </c>
      <c r="H29">
        <v>102</v>
      </c>
      <c r="I29">
        <v>1</v>
      </c>
      <c r="J29">
        <v>1</v>
      </c>
      <c r="K29">
        <v>2</v>
      </c>
      <c r="L29">
        <v>1</v>
      </c>
      <c r="M29" s="4" t="s">
        <v>68</v>
      </c>
      <c r="N29">
        <v>1</v>
      </c>
      <c r="O29" s="4">
        <v>5</v>
      </c>
      <c r="P29">
        <v>1</v>
      </c>
      <c r="Q29" s="4">
        <v>6.1</v>
      </c>
      <c r="R29">
        <v>14.32</v>
      </c>
      <c r="S29">
        <v>10.24</v>
      </c>
      <c r="T29">
        <v>16.52</v>
      </c>
      <c r="U29">
        <v>2</v>
      </c>
      <c r="V29">
        <v>130</v>
      </c>
      <c r="W29">
        <v>90</v>
      </c>
      <c r="X29">
        <v>2</v>
      </c>
      <c r="AC29">
        <v>2</v>
      </c>
      <c r="AD29">
        <v>2</v>
      </c>
      <c r="AF29">
        <v>129</v>
      </c>
      <c r="AG29">
        <v>29.7</v>
      </c>
      <c r="AH29">
        <v>76.5</v>
      </c>
      <c r="AI29">
        <v>174.8</v>
      </c>
      <c r="AJ29" t="s">
        <v>13</v>
      </c>
      <c r="AK29" t="s">
        <v>15</v>
      </c>
      <c r="AM29" t="b">
        <f t="shared" si="0"/>
        <v>1</v>
      </c>
    </row>
    <row r="30" spans="1:39" x14ac:dyDescent="0.25">
      <c r="A30">
        <v>29</v>
      </c>
      <c r="B30">
        <v>29</v>
      </c>
      <c r="C30" t="s">
        <v>41</v>
      </c>
      <c r="D30">
        <v>47</v>
      </c>
      <c r="E30">
        <v>1</v>
      </c>
      <c r="F30">
        <v>150</v>
      </c>
      <c r="G30">
        <v>61.5</v>
      </c>
      <c r="H30">
        <v>99</v>
      </c>
      <c r="I30">
        <v>2</v>
      </c>
      <c r="J30">
        <v>2</v>
      </c>
      <c r="K30">
        <v>1</v>
      </c>
      <c r="L30">
        <v>1</v>
      </c>
      <c r="M30" s="4" t="s">
        <v>308</v>
      </c>
      <c r="N30">
        <v>1</v>
      </c>
      <c r="O30" s="4">
        <v>3</v>
      </c>
      <c r="P30">
        <v>1</v>
      </c>
      <c r="Q30" s="4">
        <v>5.61</v>
      </c>
      <c r="R30">
        <v>12.24</v>
      </c>
      <c r="S30">
        <v>6.61</v>
      </c>
      <c r="T30">
        <v>8.82</v>
      </c>
      <c r="U30">
        <v>2</v>
      </c>
      <c r="V30">
        <v>150</v>
      </c>
      <c r="W30">
        <v>90</v>
      </c>
      <c r="X30">
        <v>1</v>
      </c>
      <c r="Y30">
        <v>3</v>
      </c>
      <c r="Z30">
        <v>2</v>
      </c>
      <c r="AA30">
        <v>2</v>
      </c>
      <c r="AB30">
        <v>4</v>
      </c>
      <c r="AC30">
        <v>3</v>
      </c>
      <c r="AD30">
        <v>2</v>
      </c>
      <c r="AF30">
        <v>142</v>
      </c>
      <c r="AG30">
        <v>26.2</v>
      </c>
      <c r="AH30">
        <v>68</v>
      </c>
      <c r="AI30">
        <v>153.9</v>
      </c>
      <c r="AJ30" t="s">
        <v>53</v>
      </c>
      <c r="AK30" t="s">
        <v>15</v>
      </c>
      <c r="AM30" t="b">
        <f t="shared" si="0"/>
        <v>1</v>
      </c>
    </row>
    <row r="31" spans="1:39" x14ac:dyDescent="0.25">
      <c r="A31">
        <v>30</v>
      </c>
      <c r="B31">
        <v>30</v>
      </c>
      <c r="C31" t="s">
        <v>69</v>
      </c>
      <c r="D31">
        <v>52</v>
      </c>
      <c r="E31">
        <v>1</v>
      </c>
      <c r="F31">
        <v>182.5</v>
      </c>
      <c r="G31">
        <v>86</v>
      </c>
      <c r="H31">
        <v>103</v>
      </c>
      <c r="I31">
        <v>1</v>
      </c>
      <c r="J31">
        <v>2</v>
      </c>
      <c r="K31">
        <v>1</v>
      </c>
      <c r="L31">
        <v>1</v>
      </c>
      <c r="M31" s="4" t="s">
        <v>70</v>
      </c>
      <c r="N31">
        <v>1</v>
      </c>
      <c r="O31" s="4">
        <v>1</v>
      </c>
      <c r="P31">
        <v>1</v>
      </c>
      <c r="Q31" s="4">
        <v>6.51</v>
      </c>
      <c r="R31">
        <v>9</v>
      </c>
      <c r="S31">
        <v>10.42</v>
      </c>
      <c r="T31">
        <v>8.65</v>
      </c>
      <c r="U31">
        <v>2</v>
      </c>
      <c r="V31">
        <v>150</v>
      </c>
      <c r="W31">
        <v>100</v>
      </c>
      <c r="X31">
        <v>1</v>
      </c>
      <c r="Y31">
        <v>6</v>
      </c>
      <c r="Z31">
        <v>1</v>
      </c>
      <c r="AA31">
        <v>2</v>
      </c>
      <c r="AB31">
        <v>1</v>
      </c>
      <c r="AC31">
        <v>2</v>
      </c>
      <c r="AD31">
        <v>2</v>
      </c>
      <c r="AF31">
        <v>164.48</v>
      </c>
      <c r="AG31">
        <v>31.9</v>
      </c>
      <c r="AH31">
        <v>106.24</v>
      </c>
      <c r="AI31">
        <v>151.49</v>
      </c>
      <c r="AJ31" t="s">
        <v>13</v>
      </c>
      <c r="AK31" t="s">
        <v>15</v>
      </c>
      <c r="AM31" t="b">
        <f t="shared" si="0"/>
        <v>1</v>
      </c>
    </row>
    <row r="32" spans="1:39" x14ac:dyDescent="0.25">
      <c r="A32">
        <v>31</v>
      </c>
      <c r="B32">
        <v>31</v>
      </c>
      <c r="C32" t="s">
        <v>73</v>
      </c>
      <c r="D32">
        <v>65</v>
      </c>
      <c r="E32">
        <v>1</v>
      </c>
      <c r="F32">
        <v>152.5</v>
      </c>
      <c r="G32">
        <v>50.8</v>
      </c>
      <c r="H32">
        <v>90</v>
      </c>
      <c r="I32">
        <v>1</v>
      </c>
      <c r="J32">
        <v>2</v>
      </c>
      <c r="K32">
        <v>1</v>
      </c>
      <c r="L32">
        <v>1</v>
      </c>
      <c r="M32" s="4" t="s">
        <v>74</v>
      </c>
      <c r="N32">
        <v>1</v>
      </c>
      <c r="O32" s="4">
        <v>3</v>
      </c>
      <c r="P32">
        <v>1</v>
      </c>
      <c r="Q32" s="4">
        <v>7.65</v>
      </c>
      <c r="R32">
        <v>8.9600000000000009</v>
      </c>
      <c r="S32">
        <v>6.95</v>
      </c>
      <c r="T32">
        <v>11.46</v>
      </c>
      <c r="U32">
        <v>2</v>
      </c>
      <c r="V32">
        <v>120</v>
      </c>
      <c r="W32">
        <v>80</v>
      </c>
      <c r="X32">
        <v>2</v>
      </c>
      <c r="AC32">
        <v>2</v>
      </c>
      <c r="AD32">
        <v>2</v>
      </c>
      <c r="AF32">
        <v>200</v>
      </c>
      <c r="AG32">
        <v>50.9</v>
      </c>
      <c r="AH32">
        <v>108.7</v>
      </c>
      <c r="AI32">
        <v>129.80000000000001</v>
      </c>
      <c r="AJ32" t="s">
        <v>13</v>
      </c>
      <c r="AK32" t="s">
        <v>15</v>
      </c>
      <c r="AM32" t="b">
        <f t="shared" si="0"/>
        <v>0</v>
      </c>
    </row>
    <row r="33" spans="1:39" x14ac:dyDescent="0.25">
      <c r="A33">
        <v>32</v>
      </c>
      <c r="B33">
        <v>32</v>
      </c>
      <c r="C33" t="s">
        <v>75</v>
      </c>
      <c r="D33">
        <v>65</v>
      </c>
      <c r="E33">
        <v>1</v>
      </c>
      <c r="F33">
        <v>150</v>
      </c>
      <c r="G33">
        <v>56</v>
      </c>
      <c r="H33">
        <v>97</v>
      </c>
      <c r="I33">
        <v>1</v>
      </c>
      <c r="J33">
        <v>2</v>
      </c>
      <c r="K33">
        <v>1</v>
      </c>
      <c r="L33">
        <v>1</v>
      </c>
      <c r="M33" s="4" t="s">
        <v>74</v>
      </c>
      <c r="N33">
        <v>1</v>
      </c>
      <c r="O33" s="4">
        <v>3</v>
      </c>
      <c r="P33">
        <v>1</v>
      </c>
      <c r="Q33" s="4">
        <v>7.23</v>
      </c>
      <c r="R33">
        <v>8.7799999999999994</v>
      </c>
      <c r="S33">
        <v>5.92</v>
      </c>
      <c r="T33">
        <v>8.8800000000000008</v>
      </c>
      <c r="U33">
        <v>2</v>
      </c>
      <c r="V33">
        <v>130</v>
      </c>
      <c r="W33">
        <v>90</v>
      </c>
      <c r="X33">
        <v>2</v>
      </c>
      <c r="AC33">
        <v>2</v>
      </c>
      <c r="AD33">
        <v>2</v>
      </c>
      <c r="AF33">
        <v>219</v>
      </c>
      <c r="AG33">
        <v>56</v>
      </c>
      <c r="AH33">
        <v>113.1</v>
      </c>
      <c r="AI33">
        <v>163.6</v>
      </c>
      <c r="AJ33" t="s">
        <v>76</v>
      </c>
      <c r="AK33" t="s">
        <v>15</v>
      </c>
      <c r="AM33" t="b">
        <f t="shared" si="0"/>
        <v>1</v>
      </c>
    </row>
    <row r="34" spans="1:39" x14ac:dyDescent="0.25">
      <c r="A34">
        <v>33</v>
      </c>
      <c r="B34">
        <v>33</v>
      </c>
      <c r="C34" t="s">
        <v>77</v>
      </c>
      <c r="D34">
        <v>55</v>
      </c>
      <c r="E34">
        <v>2</v>
      </c>
      <c r="F34">
        <v>160</v>
      </c>
      <c r="G34">
        <v>61.8</v>
      </c>
      <c r="H34">
        <v>90</v>
      </c>
      <c r="I34">
        <v>2</v>
      </c>
      <c r="J34">
        <v>2</v>
      </c>
      <c r="K34">
        <v>1</v>
      </c>
      <c r="L34">
        <v>1</v>
      </c>
      <c r="M34" s="4" t="s">
        <v>36</v>
      </c>
      <c r="N34">
        <v>1</v>
      </c>
      <c r="O34" s="4">
        <v>2</v>
      </c>
      <c r="P34">
        <v>1</v>
      </c>
      <c r="Q34" s="4">
        <v>6.12</v>
      </c>
      <c r="R34">
        <v>3.8</v>
      </c>
      <c r="S34">
        <v>7.91</v>
      </c>
      <c r="T34">
        <v>11.61</v>
      </c>
      <c r="U34">
        <v>2</v>
      </c>
      <c r="V34">
        <v>110</v>
      </c>
      <c r="W34">
        <v>70</v>
      </c>
      <c r="X34">
        <v>1</v>
      </c>
      <c r="Y34">
        <v>2</v>
      </c>
      <c r="Z34">
        <v>1</v>
      </c>
      <c r="AA34">
        <v>2</v>
      </c>
      <c r="AB34">
        <v>1</v>
      </c>
      <c r="AC34">
        <v>1</v>
      </c>
      <c r="AD34">
        <v>2</v>
      </c>
      <c r="AF34">
        <v>251</v>
      </c>
      <c r="AG34">
        <v>105.6</v>
      </c>
      <c r="AH34">
        <v>181.5</v>
      </c>
      <c r="AI34">
        <v>294.60000000000002</v>
      </c>
      <c r="AJ34" t="s">
        <v>13</v>
      </c>
      <c r="AK34" t="s">
        <v>15</v>
      </c>
      <c r="AM34" t="b">
        <f t="shared" si="0"/>
        <v>0</v>
      </c>
    </row>
    <row r="35" spans="1:39" x14ac:dyDescent="0.25">
      <c r="A35">
        <v>34</v>
      </c>
      <c r="B35">
        <v>34</v>
      </c>
      <c r="C35" t="s">
        <v>78</v>
      </c>
      <c r="D35">
        <v>60</v>
      </c>
      <c r="E35">
        <v>1</v>
      </c>
      <c r="F35">
        <v>165</v>
      </c>
      <c r="G35">
        <v>60.6</v>
      </c>
      <c r="H35">
        <v>92</v>
      </c>
      <c r="I35">
        <v>3</v>
      </c>
      <c r="J35">
        <v>1</v>
      </c>
      <c r="K35">
        <v>3</v>
      </c>
      <c r="L35">
        <v>1</v>
      </c>
      <c r="M35" s="4" t="s">
        <v>68</v>
      </c>
      <c r="N35">
        <v>1</v>
      </c>
      <c r="O35" s="4">
        <v>14</v>
      </c>
      <c r="P35">
        <v>1</v>
      </c>
      <c r="Q35" s="4">
        <v>8.26</v>
      </c>
      <c r="R35">
        <v>12.97</v>
      </c>
      <c r="S35">
        <v>7.21</v>
      </c>
      <c r="T35">
        <v>10.71</v>
      </c>
      <c r="U35">
        <v>1</v>
      </c>
      <c r="V35">
        <v>140</v>
      </c>
      <c r="W35">
        <v>90</v>
      </c>
      <c r="X35">
        <v>1</v>
      </c>
      <c r="Y35">
        <v>14</v>
      </c>
      <c r="Z35">
        <v>1</v>
      </c>
      <c r="AA35">
        <v>1</v>
      </c>
      <c r="AB35">
        <v>1</v>
      </c>
      <c r="AC35">
        <v>1</v>
      </c>
      <c r="AD35">
        <v>1</v>
      </c>
      <c r="AE35" t="s">
        <v>79</v>
      </c>
      <c r="AF35">
        <v>192</v>
      </c>
      <c r="AG35">
        <v>58</v>
      </c>
      <c r="AH35">
        <v>106.2</v>
      </c>
      <c r="AI35">
        <v>371.9</v>
      </c>
      <c r="AJ35" t="s">
        <v>13</v>
      </c>
      <c r="AK35" t="s">
        <v>15</v>
      </c>
      <c r="AM35" t="b">
        <f t="shared" si="0"/>
        <v>1</v>
      </c>
    </row>
    <row r="36" spans="1:39" x14ac:dyDescent="0.25">
      <c r="A36">
        <v>35</v>
      </c>
      <c r="B36">
        <v>35</v>
      </c>
      <c r="C36" t="s">
        <v>80</v>
      </c>
      <c r="D36">
        <v>40</v>
      </c>
      <c r="E36">
        <v>2</v>
      </c>
      <c r="F36">
        <v>150</v>
      </c>
      <c r="G36">
        <v>65</v>
      </c>
      <c r="H36">
        <v>100</v>
      </c>
      <c r="I36">
        <v>2</v>
      </c>
      <c r="J36">
        <v>1</v>
      </c>
      <c r="K36">
        <v>1</v>
      </c>
      <c r="L36">
        <v>1</v>
      </c>
      <c r="M36" s="4" t="s">
        <v>36</v>
      </c>
      <c r="N36">
        <v>1</v>
      </c>
      <c r="O36" s="4">
        <v>8</v>
      </c>
      <c r="P36">
        <v>1</v>
      </c>
      <c r="Q36" s="4">
        <v>7.87</v>
      </c>
      <c r="R36">
        <v>22.92</v>
      </c>
      <c r="S36">
        <v>8.27</v>
      </c>
      <c r="T36">
        <v>11.72</v>
      </c>
      <c r="U36">
        <v>1</v>
      </c>
      <c r="V36">
        <v>125</v>
      </c>
      <c r="W36">
        <v>70</v>
      </c>
      <c r="X36">
        <v>2</v>
      </c>
      <c r="AC36">
        <v>1</v>
      </c>
      <c r="AD36">
        <v>2</v>
      </c>
      <c r="AF36">
        <v>222</v>
      </c>
      <c r="AG36">
        <v>79.599999999999994</v>
      </c>
      <c r="AH36">
        <v>163.69999999999999</v>
      </c>
      <c r="AI36">
        <v>346.4</v>
      </c>
      <c r="AJ36" t="s">
        <v>13</v>
      </c>
      <c r="AK36" t="s">
        <v>15</v>
      </c>
      <c r="AM36" t="b">
        <f t="shared" si="0"/>
        <v>0</v>
      </c>
    </row>
    <row r="37" spans="1:39" x14ac:dyDescent="0.25">
      <c r="A37">
        <v>36</v>
      </c>
      <c r="B37">
        <v>36</v>
      </c>
      <c r="C37" t="s">
        <v>81</v>
      </c>
      <c r="D37">
        <v>55</v>
      </c>
      <c r="E37">
        <v>2</v>
      </c>
      <c r="F37">
        <v>156.25</v>
      </c>
      <c r="G37">
        <v>59</v>
      </c>
      <c r="H37">
        <v>89</v>
      </c>
      <c r="I37">
        <v>2</v>
      </c>
      <c r="J37">
        <v>2</v>
      </c>
      <c r="K37">
        <v>1</v>
      </c>
      <c r="L37">
        <v>1</v>
      </c>
      <c r="M37" s="4" t="s">
        <v>36</v>
      </c>
      <c r="N37">
        <v>1</v>
      </c>
      <c r="O37" s="4">
        <v>1</v>
      </c>
      <c r="P37">
        <v>1</v>
      </c>
      <c r="Q37" s="4">
        <v>7.01</v>
      </c>
      <c r="R37">
        <v>17.739999999999998</v>
      </c>
      <c r="S37">
        <v>7.59</v>
      </c>
      <c r="T37">
        <v>10.17</v>
      </c>
      <c r="U37">
        <v>2</v>
      </c>
      <c r="V37">
        <v>175</v>
      </c>
      <c r="W37">
        <v>95</v>
      </c>
      <c r="X37">
        <v>1</v>
      </c>
      <c r="Y37">
        <v>6</v>
      </c>
      <c r="Z37">
        <v>1</v>
      </c>
      <c r="AA37">
        <v>2</v>
      </c>
      <c r="AB37">
        <v>1</v>
      </c>
      <c r="AC37">
        <v>2</v>
      </c>
      <c r="AD37">
        <v>2</v>
      </c>
      <c r="AF37">
        <v>221</v>
      </c>
      <c r="AG37">
        <v>72.099999999999994</v>
      </c>
      <c r="AH37">
        <v>202.9</v>
      </c>
      <c r="AI37">
        <v>266.5</v>
      </c>
      <c r="AJ37" t="s">
        <v>82</v>
      </c>
      <c r="AK37" t="s">
        <v>83</v>
      </c>
      <c r="AM37" t="b">
        <f t="shared" si="0"/>
        <v>1</v>
      </c>
    </row>
    <row r="38" spans="1:39" x14ac:dyDescent="0.25">
      <c r="A38">
        <v>37</v>
      </c>
      <c r="B38">
        <v>37</v>
      </c>
      <c r="C38" t="s">
        <v>84</v>
      </c>
      <c r="D38">
        <v>37</v>
      </c>
      <c r="E38">
        <v>2</v>
      </c>
      <c r="F38">
        <v>152.5</v>
      </c>
      <c r="G38">
        <v>71.5</v>
      </c>
      <c r="H38">
        <v>113</v>
      </c>
      <c r="I38">
        <v>2</v>
      </c>
      <c r="J38">
        <v>2</v>
      </c>
      <c r="K38">
        <v>3</v>
      </c>
      <c r="L38">
        <v>2</v>
      </c>
      <c r="M38" s="4" t="s">
        <v>36</v>
      </c>
      <c r="N38">
        <v>2</v>
      </c>
      <c r="O38" s="4">
        <v>1</v>
      </c>
      <c r="P38">
        <v>4</v>
      </c>
      <c r="Q38" s="4">
        <v>7.65</v>
      </c>
      <c r="R38">
        <v>7.4</v>
      </c>
      <c r="S38">
        <v>5.67</v>
      </c>
      <c r="T38">
        <v>11.49</v>
      </c>
      <c r="U38">
        <v>2</v>
      </c>
      <c r="V38">
        <v>120</v>
      </c>
      <c r="W38">
        <v>70</v>
      </c>
      <c r="X38">
        <v>2</v>
      </c>
      <c r="AC38">
        <v>3</v>
      </c>
      <c r="AD38">
        <v>2</v>
      </c>
      <c r="AF38">
        <v>178</v>
      </c>
      <c r="AG38">
        <v>47.5</v>
      </c>
      <c r="AH38">
        <v>71.3</v>
      </c>
      <c r="AI38">
        <v>159.6</v>
      </c>
      <c r="AJ38" t="s">
        <v>13</v>
      </c>
      <c r="AK38" t="s">
        <v>15</v>
      </c>
      <c r="AM38" t="b">
        <f t="shared" si="0"/>
        <v>0</v>
      </c>
    </row>
    <row r="39" spans="1:39" x14ac:dyDescent="0.25">
      <c r="A39">
        <v>38</v>
      </c>
      <c r="B39">
        <v>38</v>
      </c>
      <c r="C39" t="s">
        <v>85</v>
      </c>
      <c r="D39">
        <v>35</v>
      </c>
      <c r="E39">
        <v>2</v>
      </c>
      <c r="F39">
        <v>147.5</v>
      </c>
      <c r="G39">
        <v>39.1</v>
      </c>
      <c r="H39">
        <v>75</v>
      </c>
      <c r="I39">
        <v>2</v>
      </c>
      <c r="J39">
        <v>2</v>
      </c>
      <c r="K39">
        <v>1</v>
      </c>
      <c r="L39">
        <v>1</v>
      </c>
      <c r="M39" s="4" t="s">
        <v>36</v>
      </c>
      <c r="N39">
        <v>1</v>
      </c>
      <c r="O39" s="4">
        <v>15</v>
      </c>
      <c r="P39">
        <v>1</v>
      </c>
      <c r="Q39" s="4">
        <v>5.71</v>
      </c>
      <c r="R39">
        <v>16.46</v>
      </c>
      <c r="S39">
        <v>9.0399999999999991</v>
      </c>
      <c r="T39">
        <v>9.58</v>
      </c>
      <c r="U39">
        <v>1</v>
      </c>
      <c r="V39">
        <v>130</v>
      </c>
      <c r="W39">
        <v>90</v>
      </c>
      <c r="X39">
        <v>1</v>
      </c>
      <c r="Y39">
        <v>3</v>
      </c>
      <c r="Z39">
        <v>1</v>
      </c>
      <c r="AA39">
        <v>2</v>
      </c>
      <c r="AB39">
        <v>4</v>
      </c>
      <c r="AC39">
        <v>1</v>
      </c>
      <c r="AD39">
        <v>2</v>
      </c>
      <c r="AF39">
        <v>197</v>
      </c>
      <c r="AG39">
        <v>59.7</v>
      </c>
      <c r="AH39">
        <v>129.19999999999999</v>
      </c>
      <c r="AI39">
        <v>190</v>
      </c>
      <c r="AJ39" t="s">
        <v>59</v>
      </c>
      <c r="AK39" t="s">
        <v>86</v>
      </c>
      <c r="AM39" t="b">
        <f t="shared" si="0"/>
        <v>1</v>
      </c>
    </row>
    <row r="40" spans="1:39" x14ac:dyDescent="0.25">
      <c r="A40">
        <v>39</v>
      </c>
      <c r="B40">
        <v>39</v>
      </c>
      <c r="C40" t="s">
        <v>87</v>
      </c>
      <c r="D40">
        <v>64</v>
      </c>
      <c r="E40">
        <v>1</v>
      </c>
      <c r="F40">
        <v>160</v>
      </c>
      <c r="G40">
        <v>67</v>
      </c>
      <c r="H40">
        <v>90</v>
      </c>
      <c r="I40">
        <v>2</v>
      </c>
      <c r="J40">
        <v>3</v>
      </c>
      <c r="K40">
        <v>2</v>
      </c>
      <c r="L40">
        <v>3</v>
      </c>
      <c r="M40" s="4" t="s">
        <v>308</v>
      </c>
      <c r="N40">
        <v>1</v>
      </c>
      <c r="O40" s="4">
        <v>5</v>
      </c>
      <c r="P40">
        <v>3</v>
      </c>
      <c r="Q40" s="4">
        <v>6.75</v>
      </c>
      <c r="R40">
        <v>12.4</v>
      </c>
      <c r="S40">
        <v>8.1300000000000008</v>
      </c>
      <c r="T40">
        <v>8.65</v>
      </c>
      <c r="U40">
        <v>2</v>
      </c>
      <c r="V40">
        <v>130</v>
      </c>
      <c r="W40">
        <v>80</v>
      </c>
      <c r="X40">
        <v>1</v>
      </c>
      <c r="Y40">
        <v>4</v>
      </c>
      <c r="Z40">
        <v>1</v>
      </c>
      <c r="AA40">
        <v>1</v>
      </c>
      <c r="AB40">
        <v>1</v>
      </c>
      <c r="AC40">
        <v>2</v>
      </c>
      <c r="AD40">
        <v>1</v>
      </c>
      <c r="AE40" t="s">
        <v>93</v>
      </c>
      <c r="AF40">
        <v>227</v>
      </c>
      <c r="AG40">
        <v>40</v>
      </c>
      <c r="AH40">
        <v>148</v>
      </c>
      <c r="AI40">
        <v>193</v>
      </c>
      <c r="AJ40" t="s">
        <v>88</v>
      </c>
      <c r="AK40" t="s">
        <v>89</v>
      </c>
      <c r="AM40" t="b">
        <f t="shared" si="0"/>
        <v>0</v>
      </c>
    </row>
    <row r="41" spans="1:39" x14ac:dyDescent="0.25">
      <c r="A41">
        <v>40</v>
      </c>
      <c r="B41">
        <v>40</v>
      </c>
      <c r="C41" t="s">
        <v>90</v>
      </c>
      <c r="D41">
        <v>47</v>
      </c>
      <c r="E41">
        <v>1</v>
      </c>
      <c r="F41">
        <v>170</v>
      </c>
      <c r="G41">
        <v>75</v>
      </c>
      <c r="H41">
        <v>96</v>
      </c>
      <c r="I41">
        <v>2</v>
      </c>
      <c r="J41">
        <v>2</v>
      </c>
      <c r="K41">
        <v>5</v>
      </c>
      <c r="L41">
        <v>3</v>
      </c>
      <c r="M41" s="4" t="s">
        <v>91</v>
      </c>
      <c r="N41">
        <v>2</v>
      </c>
      <c r="O41" s="4">
        <v>12</v>
      </c>
      <c r="P41">
        <v>4</v>
      </c>
      <c r="Q41" s="4">
        <v>7.67</v>
      </c>
      <c r="R41">
        <v>17.739999999999998</v>
      </c>
      <c r="S41">
        <v>5.8</v>
      </c>
      <c r="T41">
        <v>11.33</v>
      </c>
      <c r="U41">
        <v>2</v>
      </c>
      <c r="V41">
        <v>130</v>
      </c>
      <c r="W41">
        <v>80</v>
      </c>
      <c r="X41">
        <v>1</v>
      </c>
      <c r="Y41">
        <v>1</v>
      </c>
      <c r="Z41">
        <v>1</v>
      </c>
      <c r="AA41">
        <v>2</v>
      </c>
      <c r="AB41">
        <v>1</v>
      </c>
      <c r="AC41">
        <v>2</v>
      </c>
      <c r="AD41">
        <v>1</v>
      </c>
      <c r="AE41" t="s">
        <v>92</v>
      </c>
      <c r="AF41">
        <v>107.09</v>
      </c>
      <c r="AG41">
        <v>26.83</v>
      </c>
      <c r="AH41">
        <v>47.19</v>
      </c>
      <c r="AI41">
        <v>206.25</v>
      </c>
      <c r="AJ41" t="s">
        <v>13</v>
      </c>
      <c r="AK41" t="s">
        <v>94</v>
      </c>
      <c r="AM41" t="b">
        <f t="shared" si="0"/>
        <v>0</v>
      </c>
    </row>
    <row r="42" spans="1:39" x14ac:dyDescent="0.25">
      <c r="A42">
        <v>41</v>
      </c>
      <c r="B42">
        <v>41</v>
      </c>
      <c r="C42" t="s">
        <v>95</v>
      </c>
      <c r="D42">
        <v>44</v>
      </c>
      <c r="E42">
        <v>1</v>
      </c>
      <c r="F42">
        <v>163.75</v>
      </c>
      <c r="G42">
        <v>59</v>
      </c>
      <c r="H42">
        <v>88</v>
      </c>
      <c r="I42">
        <v>2</v>
      </c>
      <c r="J42">
        <v>2</v>
      </c>
      <c r="K42">
        <v>5</v>
      </c>
      <c r="L42">
        <v>3</v>
      </c>
      <c r="M42" s="4" t="s">
        <v>91</v>
      </c>
      <c r="N42">
        <v>2</v>
      </c>
      <c r="O42" s="4">
        <v>12</v>
      </c>
      <c r="P42">
        <v>2</v>
      </c>
      <c r="Q42" s="4">
        <v>7.25</v>
      </c>
      <c r="R42">
        <v>7.4</v>
      </c>
      <c r="S42">
        <v>6.31</v>
      </c>
      <c r="T42">
        <v>9.2799999999999994</v>
      </c>
      <c r="U42">
        <v>2</v>
      </c>
      <c r="V42">
        <v>120</v>
      </c>
      <c r="W42">
        <v>80</v>
      </c>
      <c r="X42">
        <v>2</v>
      </c>
      <c r="AC42">
        <v>2</v>
      </c>
      <c r="AD42">
        <v>2</v>
      </c>
      <c r="AF42">
        <v>194.07</v>
      </c>
      <c r="AG42">
        <v>48.3</v>
      </c>
      <c r="AH42">
        <v>131.25</v>
      </c>
      <c r="AI42">
        <v>92.78</v>
      </c>
      <c r="AJ42" t="s">
        <v>13</v>
      </c>
      <c r="AK42" t="s">
        <v>15</v>
      </c>
      <c r="AM42" t="b">
        <f t="shared" si="0"/>
        <v>0</v>
      </c>
    </row>
    <row r="43" spans="1:39" x14ac:dyDescent="0.25">
      <c r="A43">
        <v>42</v>
      </c>
      <c r="B43">
        <v>42</v>
      </c>
      <c r="C43" t="s">
        <v>96</v>
      </c>
      <c r="D43">
        <v>50</v>
      </c>
      <c r="E43">
        <v>2</v>
      </c>
      <c r="F43">
        <v>168</v>
      </c>
      <c r="G43">
        <v>72</v>
      </c>
      <c r="H43">
        <v>92</v>
      </c>
      <c r="I43">
        <v>2</v>
      </c>
      <c r="J43">
        <v>3</v>
      </c>
      <c r="K43">
        <v>3</v>
      </c>
      <c r="L43">
        <v>2</v>
      </c>
      <c r="M43" s="4" t="s">
        <v>36</v>
      </c>
      <c r="N43">
        <v>1</v>
      </c>
      <c r="O43" s="4" t="s">
        <v>57</v>
      </c>
      <c r="P43">
        <v>1</v>
      </c>
      <c r="Q43" s="4">
        <v>7.33</v>
      </c>
      <c r="R43">
        <v>8.33</v>
      </c>
      <c r="S43">
        <v>8.67</v>
      </c>
      <c r="T43">
        <v>10.6</v>
      </c>
      <c r="U43">
        <v>2</v>
      </c>
      <c r="V43">
        <v>110</v>
      </c>
      <c r="W43">
        <v>70</v>
      </c>
      <c r="X43">
        <v>2</v>
      </c>
      <c r="AC43">
        <v>2</v>
      </c>
      <c r="AD43">
        <v>2</v>
      </c>
      <c r="AF43">
        <v>295.52</v>
      </c>
      <c r="AG43">
        <v>49.25</v>
      </c>
      <c r="AH43">
        <v>208.81</v>
      </c>
      <c r="AI43">
        <v>187.3</v>
      </c>
      <c r="AJ43" t="s">
        <v>13</v>
      </c>
      <c r="AK43" t="s">
        <v>15</v>
      </c>
      <c r="AM43" t="b">
        <f t="shared" si="0"/>
        <v>0</v>
      </c>
    </row>
    <row r="44" spans="1:39" x14ac:dyDescent="0.25">
      <c r="A44">
        <v>43</v>
      </c>
      <c r="B44">
        <v>43</v>
      </c>
      <c r="C44" t="s">
        <v>97</v>
      </c>
      <c r="D44">
        <v>40</v>
      </c>
      <c r="E44">
        <v>2</v>
      </c>
      <c r="F44">
        <v>150</v>
      </c>
      <c r="G44">
        <v>58</v>
      </c>
      <c r="H44">
        <v>90</v>
      </c>
      <c r="I44">
        <v>2</v>
      </c>
      <c r="J44">
        <v>3</v>
      </c>
      <c r="K44">
        <v>3</v>
      </c>
      <c r="L44">
        <v>1</v>
      </c>
      <c r="M44" s="4" t="s">
        <v>98</v>
      </c>
      <c r="N44">
        <v>1</v>
      </c>
      <c r="O44" s="4">
        <v>1</v>
      </c>
      <c r="P44">
        <v>1</v>
      </c>
      <c r="Q44" s="4">
        <v>7.39</v>
      </c>
      <c r="R44">
        <v>13.56</v>
      </c>
      <c r="S44">
        <v>5.89</v>
      </c>
      <c r="T44">
        <v>8.91</v>
      </c>
      <c r="U44">
        <v>2</v>
      </c>
      <c r="V44">
        <v>180</v>
      </c>
      <c r="W44">
        <v>100</v>
      </c>
      <c r="X44">
        <v>2</v>
      </c>
      <c r="AC44">
        <v>3</v>
      </c>
      <c r="AD44">
        <v>2</v>
      </c>
      <c r="AF44">
        <v>269.14999999999998</v>
      </c>
      <c r="AG44">
        <v>44.85</v>
      </c>
      <c r="AH44">
        <v>186.97</v>
      </c>
      <c r="AI44">
        <v>186.62</v>
      </c>
      <c r="AJ44" t="s">
        <v>13</v>
      </c>
      <c r="AK44" t="s">
        <v>137</v>
      </c>
      <c r="AM44" t="b">
        <f t="shared" si="0"/>
        <v>1</v>
      </c>
    </row>
    <row r="45" spans="1:39" x14ac:dyDescent="0.25">
      <c r="A45">
        <v>44</v>
      </c>
      <c r="B45">
        <v>44</v>
      </c>
      <c r="C45" t="s">
        <v>99</v>
      </c>
      <c r="D45">
        <v>34</v>
      </c>
      <c r="E45">
        <v>2</v>
      </c>
      <c r="F45">
        <v>152.5</v>
      </c>
      <c r="G45">
        <v>79</v>
      </c>
      <c r="H45">
        <v>103</v>
      </c>
      <c r="I45">
        <v>2</v>
      </c>
      <c r="J45">
        <v>2</v>
      </c>
      <c r="K45">
        <v>3</v>
      </c>
      <c r="L45">
        <v>2</v>
      </c>
      <c r="M45" s="4" t="s">
        <v>36</v>
      </c>
      <c r="N45">
        <v>1</v>
      </c>
      <c r="O45" s="4">
        <v>3</v>
      </c>
      <c r="P45">
        <v>1</v>
      </c>
      <c r="Q45" s="4">
        <v>10.91</v>
      </c>
      <c r="R45">
        <v>20.49</v>
      </c>
      <c r="S45">
        <v>10.38</v>
      </c>
      <c r="T45">
        <v>15.78</v>
      </c>
      <c r="U45">
        <v>2</v>
      </c>
      <c r="V45">
        <v>150</v>
      </c>
      <c r="W45">
        <v>100</v>
      </c>
      <c r="X45">
        <v>1</v>
      </c>
      <c r="Y45">
        <v>1</v>
      </c>
      <c r="Z45">
        <v>2</v>
      </c>
      <c r="AA45">
        <v>2</v>
      </c>
      <c r="AB45">
        <v>1</v>
      </c>
      <c r="AC45">
        <v>2</v>
      </c>
      <c r="AD45">
        <v>2</v>
      </c>
      <c r="AF45">
        <v>142</v>
      </c>
      <c r="AG45">
        <v>41.1</v>
      </c>
      <c r="AH45">
        <v>58.8</v>
      </c>
      <c r="AI45">
        <v>222.7</v>
      </c>
      <c r="AJ45" t="s">
        <v>13</v>
      </c>
      <c r="AK45" t="s">
        <v>137</v>
      </c>
      <c r="AM45" t="b">
        <f t="shared" si="0"/>
        <v>1</v>
      </c>
    </row>
    <row r="46" spans="1:39" x14ac:dyDescent="0.25">
      <c r="A46">
        <v>45</v>
      </c>
      <c r="B46">
        <v>45</v>
      </c>
      <c r="C46" t="s">
        <v>100</v>
      </c>
      <c r="D46">
        <v>44</v>
      </c>
      <c r="E46">
        <v>1</v>
      </c>
      <c r="F46">
        <v>167.5</v>
      </c>
      <c r="G46">
        <v>83</v>
      </c>
      <c r="H46">
        <v>100</v>
      </c>
      <c r="I46">
        <v>2</v>
      </c>
      <c r="J46">
        <v>2</v>
      </c>
      <c r="K46">
        <v>4</v>
      </c>
      <c r="L46">
        <v>2</v>
      </c>
      <c r="M46" s="4" t="s">
        <v>42</v>
      </c>
      <c r="N46">
        <v>2</v>
      </c>
      <c r="O46" s="4">
        <v>1</v>
      </c>
      <c r="P46">
        <v>1</v>
      </c>
      <c r="Q46" s="4">
        <v>7.03</v>
      </c>
      <c r="R46">
        <v>7.4</v>
      </c>
      <c r="S46">
        <v>5.71</v>
      </c>
      <c r="T46">
        <v>10.62</v>
      </c>
      <c r="U46">
        <v>2</v>
      </c>
      <c r="V46">
        <v>140</v>
      </c>
      <c r="W46">
        <v>100</v>
      </c>
      <c r="X46">
        <v>2</v>
      </c>
      <c r="AC46">
        <v>4</v>
      </c>
      <c r="AD46">
        <v>2</v>
      </c>
      <c r="AF46">
        <v>235.03</v>
      </c>
      <c r="AG46">
        <v>26.99</v>
      </c>
      <c r="AH46">
        <v>176.92</v>
      </c>
      <c r="AI46">
        <v>206.14</v>
      </c>
      <c r="AJ46" t="s">
        <v>13</v>
      </c>
      <c r="AK46" t="s">
        <v>15</v>
      </c>
      <c r="AL46" t="s">
        <v>146</v>
      </c>
      <c r="AM46" t="b">
        <f t="shared" si="0"/>
        <v>1</v>
      </c>
    </row>
    <row r="47" spans="1:39" x14ac:dyDescent="0.25">
      <c r="A47">
        <v>46</v>
      </c>
      <c r="B47">
        <v>46</v>
      </c>
      <c r="C47" t="s">
        <v>101</v>
      </c>
      <c r="D47">
        <v>45</v>
      </c>
      <c r="E47">
        <v>2</v>
      </c>
      <c r="F47">
        <v>147.5</v>
      </c>
      <c r="G47">
        <v>67.400000000000006</v>
      </c>
      <c r="H47">
        <v>97</v>
      </c>
      <c r="I47">
        <v>2</v>
      </c>
      <c r="J47">
        <v>2</v>
      </c>
      <c r="K47">
        <v>2</v>
      </c>
      <c r="L47">
        <v>1</v>
      </c>
      <c r="M47" s="4" t="s">
        <v>36</v>
      </c>
      <c r="N47">
        <v>1</v>
      </c>
      <c r="O47" s="4">
        <v>1</v>
      </c>
      <c r="P47">
        <v>4</v>
      </c>
      <c r="Q47" s="4">
        <v>5.9</v>
      </c>
      <c r="R47">
        <v>5.84</v>
      </c>
      <c r="S47">
        <v>7.85</v>
      </c>
      <c r="T47">
        <v>10.68</v>
      </c>
      <c r="U47">
        <v>2</v>
      </c>
      <c r="V47">
        <v>130</v>
      </c>
      <c r="W47">
        <v>90</v>
      </c>
      <c r="X47">
        <v>1</v>
      </c>
      <c r="Y47">
        <v>2</v>
      </c>
      <c r="Z47">
        <v>1</v>
      </c>
      <c r="AA47">
        <v>1</v>
      </c>
      <c r="AB47">
        <v>4</v>
      </c>
      <c r="AC47">
        <v>2</v>
      </c>
      <c r="AD47">
        <v>2</v>
      </c>
      <c r="AF47">
        <v>157</v>
      </c>
      <c r="AG47">
        <v>51.1</v>
      </c>
      <c r="AH47">
        <v>128.6</v>
      </c>
      <c r="AI47">
        <v>192.3</v>
      </c>
      <c r="AJ47" t="s">
        <v>13</v>
      </c>
      <c r="AK47" t="s">
        <v>15</v>
      </c>
      <c r="AM47" t="b">
        <f t="shared" si="0"/>
        <v>1</v>
      </c>
    </row>
    <row r="48" spans="1:39" x14ac:dyDescent="0.25">
      <c r="A48">
        <v>47</v>
      </c>
      <c r="B48">
        <v>47</v>
      </c>
      <c r="C48" t="s">
        <v>102</v>
      </c>
      <c r="D48">
        <v>67</v>
      </c>
      <c r="E48">
        <v>1</v>
      </c>
      <c r="F48">
        <v>162.5</v>
      </c>
      <c r="G48">
        <v>68.599999999999994</v>
      </c>
      <c r="H48">
        <v>100</v>
      </c>
      <c r="I48">
        <v>3</v>
      </c>
      <c r="J48">
        <v>3</v>
      </c>
      <c r="K48">
        <v>2</v>
      </c>
      <c r="L48">
        <v>1</v>
      </c>
      <c r="M48" s="4" t="s">
        <v>308</v>
      </c>
      <c r="N48">
        <v>1</v>
      </c>
      <c r="O48" s="4">
        <v>2</v>
      </c>
      <c r="P48">
        <v>1</v>
      </c>
      <c r="Q48" s="4">
        <v>7.79</v>
      </c>
      <c r="R48">
        <v>14.49</v>
      </c>
      <c r="S48">
        <v>8.52</v>
      </c>
      <c r="T48">
        <v>11.54</v>
      </c>
      <c r="U48">
        <v>2</v>
      </c>
      <c r="V48">
        <v>160</v>
      </c>
      <c r="W48">
        <v>100</v>
      </c>
      <c r="X48">
        <v>1</v>
      </c>
      <c r="Y48">
        <v>2</v>
      </c>
      <c r="Z48">
        <v>2</v>
      </c>
      <c r="AA48">
        <v>2</v>
      </c>
      <c r="AB48">
        <v>4</v>
      </c>
      <c r="AC48">
        <v>3</v>
      </c>
      <c r="AD48">
        <v>2</v>
      </c>
      <c r="AF48">
        <v>226</v>
      </c>
      <c r="AG48">
        <v>59.5</v>
      </c>
      <c r="AH48">
        <v>114.3</v>
      </c>
      <c r="AI48">
        <v>231.1</v>
      </c>
      <c r="AJ48" t="s">
        <v>13</v>
      </c>
      <c r="AK48" t="s">
        <v>50</v>
      </c>
      <c r="AM48" t="b">
        <f t="shared" si="0"/>
        <v>1</v>
      </c>
    </row>
    <row r="49" spans="1:39" x14ac:dyDescent="0.25">
      <c r="A49">
        <v>48</v>
      </c>
      <c r="B49">
        <v>48</v>
      </c>
      <c r="C49" t="s">
        <v>103</v>
      </c>
      <c r="D49">
        <v>50</v>
      </c>
      <c r="E49">
        <v>2</v>
      </c>
      <c r="F49">
        <v>142.5</v>
      </c>
      <c r="G49">
        <v>48</v>
      </c>
      <c r="H49">
        <v>79</v>
      </c>
      <c r="I49">
        <v>2</v>
      </c>
      <c r="J49">
        <v>2</v>
      </c>
      <c r="K49">
        <v>1</v>
      </c>
      <c r="L49">
        <v>1</v>
      </c>
      <c r="M49" s="4" t="s">
        <v>36</v>
      </c>
      <c r="N49">
        <v>1</v>
      </c>
      <c r="O49" s="4">
        <v>10</v>
      </c>
      <c r="P49">
        <v>1</v>
      </c>
      <c r="Q49" s="4">
        <v>5.86</v>
      </c>
      <c r="R49">
        <v>9.4700000000000006</v>
      </c>
      <c r="S49">
        <v>6.46</v>
      </c>
      <c r="T49">
        <v>8.75</v>
      </c>
      <c r="U49">
        <v>1</v>
      </c>
      <c r="V49">
        <v>150</v>
      </c>
      <c r="W49">
        <v>90</v>
      </c>
      <c r="X49">
        <v>2</v>
      </c>
      <c r="AC49">
        <v>3</v>
      </c>
      <c r="AD49">
        <v>2</v>
      </c>
      <c r="AF49">
        <v>136.13999999999999</v>
      </c>
      <c r="AG49">
        <v>20.39</v>
      </c>
      <c r="AH49">
        <v>93.05</v>
      </c>
      <c r="AI49">
        <v>293.73</v>
      </c>
      <c r="AJ49" t="s">
        <v>13</v>
      </c>
      <c r="AK49" t="s">
        <v>15</v>
      </c>
      <c r="AL49" t="s">
        <v>104</v>
      </c>
      <c r="AM49" t="b">
        <f t="shared" si="0"/>
        <v>1</v>
      </c>
    </row>
    <row r="50" spans="1:39" x14ac:dyDescent="0.25">
      <c r="A50">
        <v>49</v>
      </c>
      <c r="B50">
        <v>49</v>
      </c>
      <c r="C50" t="s">
        <v>105</v>
      </c>
      <c r="D50">
        <v>50</v>
      </c>
      <c r="E50">
        <v>2</v>
      </c>
      <c r="F50">
        <v>157.5</v>
      </c>
      <c r="G50">
        <v>73.3</v>
      </c>
      <c r="H50">
        <v>103</v>
      </c>
      <c r="I50">
        <v>2</v>
      </c>
      <c r="J50">
        <v>3</v>
      </c>
      <c r="K50">
        <v>1</v>
      </c>
      <c r="L50">
        <v>1</v>
      </c>
      <c r="M50" s="4" t="s">
        <v>36</v>
      </c>
      <c r="N50">
        <v>1</v>
      </c>
      <c r="O50" s="4">
        <v>6</v>
      </c>
      <c r="P50">
        <v>1</v>
      </c>
      <c r="Q50" s="4">
        <v>7.36</v>
      </c>
      <c r="R50">
        <v>10.9</v>
      </c>
      <c r="S50">
        <v>8.0299999999999994</v>
      </c>
      <c r="T50">
        <v>8.0399999999999991</v>
      </c>
      <c r="U50">
        <v>1</v>
      </c>
      <c r="V50">
        <v>140</v>
      </c>
      <c r="W50">
        <v>95</v>
      </c>
      <c r="X50">
        <v>1</v>
      </c>
      <c r="Y50">
        <v>5</v>
      </c>
      <c r="Z50">
        <v>1</v>
      </c>
      <c r="AA50">
        <v>1</v>
      </c>
      <c r="AB50">
        <v>1</v>
      </c>
      <c r="AC50">
        <v>1</v>
      </c>
      <c r="AD50">
        <v>1</v>
      </c>
      <c r="AE50" t="s">
        <v>93</v>
      </c>
      <c r="AF50">
        <v>130</v>
      </c>
      <c r="AG50">
        <v>40.4</v>
      </c>
      <c r="AH50">
        <v>82.7</v>
      </c>
      <c r="AI50">
        <v>176.1</v>
      </c>
      <c r="AJ50" t="s">
        <v>118</v>
      </c>
      <c r="AK50" t="s">
        <v>15</v>
      </c>
      <c r="AM50" t="b">
        <f t="shared" si="0"/>
        <v>1</v>
      </c>
    </row>
    <row r="51" spans="1:39" x14ac:dyDescent="0.25">
      <c r="A51">
        <v>50</v>
      </c>
      <c r="B51">
        <v>50</v>
      </c>
      <c r="C51" t="s">
        <v>106</v>
      </c>
      <c r="D51">
        <v>44</v>
      </c>
      <c r="E51">
        <v>2</v>
      </c>
      <c r="F51">
        <v>155</v>
      </c>
      <c r="G51">
        <v>51</v>
      </c>
      <c r="H51">
        <v>78</v>
      </c>
      <c r="I51">
        <v>2</v>
      </c>
      <c r="J51">
        <v>3</v>
      </c>
      <c r="K51">
        <v>3</v>
      </c>
      <c r="L51">
        <v>3</v>
      </c>
      <c r="M51" s="4" t="s">
        <v>36</v>
      </c>
      <c r="N51">
        <v>1</v>
      </c>
      <c r="O51" s="4">
        <v>10</v>
      </c>
      <c r="P51">
        <v>1</v>
      </c>
      <c r="Q51" s="4">
        <v>6</v>
      </c>
      <c r="R51">
        <v>21.46</v>
      </c>
      <c r="S51">
        <v>10.3</v>
      </c>
      <c r="T51">
        <v>13.34</v>
      </c>
      <c r="U51">
        <v>1</v>
      </c>
      <c r="V51">
        <v>140</v>
      </c>
      <c r="W51">
        <v>95</v>
      </c>
      <c r="X51">
        <v>1</v>
      </c>
      <c r="Y51">
        <v>10</v>
      </c>
      <c r="Z51">
        <v>1</v>
      </c>
      <c r="AA51">
        <v>1</v>
      </c>
      <c r="AB51">
        <v>1</v>
      </c>
      <c r="AC51">
        <v>1</v>
      </c>
      <c r="AD51">
        <v>2</v>
      </c>
      <c r="AF51">
        <v>219</v>
      </c>
      <c r="AG51">
        <v>52.3</v>
      </c>
      <c r="AH51">
        <v>92.3</v>
      </c>
      <c r="AI51">
        <v>388</v>
      </c>
      <c r="AJ51" t="s">
        <v>13</v>
      </c>
      <c r="AK51" t="s">
        <v>137</v>
      </c>
      <c r="AM51" t="b">
        <f t="shared" si="0"/>
        <v>1</v>
      </c>
    </row>
    <row r="52" spans="1:39" x14ac:dyDescent="0.25">
      <c r="A52">
        <v>51</v>
      </c>
      <c r="B52">
        <v>51</v>
      </c>
      <c r="C52" t="s">
        <v>107</v>
      </c>
      <c r="D52">
        <v>50</v>
      </c>
      <c r="E52">
        <v>2</v>
      </c>
      <c r="F52">
        <v>152.5</v>
      </c>
      <c r="G52">
        <v>50.8</v>
      </c>
      <c r="H52">
        <v>91</v>
      </c>
      <c r="I52">
        <v>2</v>
      </c>
      <c r="J52">
        <v>2</v>
      </c>
      <c r="K52">
        <v>1</v>
      </c>
      <c r="L52">
        <v>1</v>
      </c>
      <c r="M52" s="4" t="s">
        <v>36</v>
      </c>
      <c r="N52">
        <v>1</v>
      </c>
      <c r="O52" s="4">
        <v>12</v>
      </c>
      <c r="P52">
        <v>1</v>
      </c>
      <c r="Q52" s="4">
        <v>6.39</v>
      </c>
      <c r="R52">
        <v>16.39</v>
      </c>
      <c r="S52">
        <v>8.64</v>
      </c>
      <c r="T52">
        <v>11.71</v>
      </c>
      <c r="U52">
        <v>1</v>
      </c>
      <c r="V52">
        <v>130</v>
      </c>
      <c r="W52">
        <v>90</v>
      </c>
      <c r="X52">
        <v>1</v>
      </c>
      <c r="Y52">
        <v>12</v>
      </c>
      <c r="Z52">
        <v>1</v>
      </c>
      <c r="AA52">
        <v>1</v>
      </c>
      <c r="AB52">
        <v>1</v>
      </c>
      <c r="AC52">
        <v>1</v>
      </c>
      <c r="AD52">
        <v>2</v>
      </c>
      <c r="AF52">
        <v>267</v>
      </c>
      <c r="AG52">
        <v>77.8</v>
      </c>
      <c r="AH52">
        <v>84</v>
      </c>
      <c r="AI52">
        <v>279.8</v>
      </c>
      <c r="AJ52" t="s">
        <v>13</v>
      </c>
      <c r="AK52" t="s">
        <v>137</v>
      </c>
      <c r="AM52" t="b">
        <f t="shared" si="0"/>
        <v>1</v>
      </c>
    </row>
    <row r="53" spans="1:39" x14ac:dyDescent="0.25">
      <c r="A53">
        <v>52</v>
      </c>
      <c r="B53">
        <v>52</v>
      </c>
      <c r="C53" t="s">
        <v>108</v>
      </c>
      <c r="D53">
        <v>65</v>
      </c>
      <c r="E53">
        <v>1</v>
      </c>
      <c r="F53">
        <v>147.5</v>
      </c>
      <c r="G53">
        <v>66</v>
      </c>
      <c r="H53">
        <v>98</v>
      </c>
      <c r="I53">
        <v>3</v>
      </c>
      <c r="J53">
        <v>2</v>
      </c>
      <c r="K53">
        <v>2</v>
      </c>
      <c r="L53">
        <v>1</v>
      </c>
      <c r="M53" s="4" t="s">
        <v>68</v>
      </c>
      <c r="N53">
        <v>1</v>
      </c>
      <c r="O53" s="4">
        <v>16</v>
      </c>
      <c r="P53">
        <v>1</v>
      </c>
      <c r="Q53" s="4">
        <v>7.57</v>
      </c>
      <c r="R53">
        <v>11.42</v>
      </c>
      <c r="S53">
        <v>10.47</v>
      </c>
      <c r="T53">
        <v>12.53</v>
      </c>
      <c r="U53">
        <v>1</v>
      </c>
      <c r="V53">
        <v>140</v>
      </c>
      <c r="W53">
        <v>100</v>
      </c>
      <c r="X53">
        <v>1</v>
      </c>
      <c r="Y53">
        <v>16</v>
      </c>
      <c r="Z53">
        <v>1</v>
      </c>
      <c r="AA53">
        <v>1</v>
      </c>
      <c r="AB53">
        <v>1</v>
      </c>
      <c r="AC53">
        <v>1</v>
      </c>
      <c r="AD53">
        <v>2</v>
      </c>
      <c r="AF53">
        <v>202</v>
      </c>
      <c r="AG53">
        <v>65</v>
      </c>
      <c r="AH53">
        <v>97.7</v>
      </c>
      <c r="AI53">
        <v>882.8</v>
      </c>
      <c r="AJ53" t="s">
        <v>119</v>
      </c>
      <c r="AK53" t="s">
        <v>15</v>
      </c>
      <c r="AM53" t="b">
        <f t="shared" si="0"/>
        <v>1</v>
      </c>
    </row>
    <row r="54" spans="1:39" x14ac:dyDescent="0.25">
      <c r="A54">
        <v>53</v>
      </c>
      <c r="B54">
        <v>53</v>
      </c>
      <c r="C54" t="s">
        <v>109</v>
      </c>
      <c r="D54">
        <v>58</v>
      </c>
      <c r="E54">
        <v>1</v>
      </c>
      <c r="F54">
        <v>150</v>
      </c>
      <c r="G54">
        <v>53.9</v>
      </c>
      <c r="H54">
        <v>92</v>
      </c>
      <c r="I54">
        <v>2</v>
      </c>
      <c r="J54">
        <v>3</v>
      </c>
      <c r="K54">
        <v>3</v>
      </c>
      <c r="L54">
        <v>1</v>
      </c>
      <c r="M54" s="4" t="s">
        <v>110</v>
      </c>
      <c r="N54">
        <v>1</v>
      </c>
      <c r="O54" s="4">
        <v>1</v>
      </c>
      <c r="P54">
        <v>1</v>
      </c>
      <c r="Q54" s="4">
        <v>7.03</v>
      </c>
      <c r="R54">
        <v>13.55</v>
      </c>
      <c r="S54">
        <v>6.33</v>
      </c>
      <c r="T54">
        <v>11.94</v>
      </c>
      <c r="U54">
        <v>2</v>
      </c>
      <c r="V54">
        <v>130</v>
      </c>
      <c r="W54">
        <v>80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2</v>
      </c>
      <c r="AF54">
        <v>210</v>
      </c>
      <c r="AG54">
        <v>58.8</v>
      </c>
      <c r="AH54">
        <v>111.2</v>
      </c>
      <c r="AI54">
        <v>155.6</v>
      </c>
      <c r="AJ54" t="s">
        <v>13</v>
      </c>
      <c r="AK54" t="s">
        <v>15</v>
      </c>
      <c r="AM54" t="b">
        <f t="shared" si="0"/>
        <v>0</v>
      </c>
    </row>
    <row r="55" spans="1:39" x14ac:dyDescent="0.25">
      <c r="A55">
        <v>54</v>
      </c>
      <c r="B55">
        <v>54</v>
      </c>
      <c r="C55" t="s">
        <v>111</v>
      </c>
      <c r="D55">
        <v>46</v>
      </c>
      <c r="E55">
        <v>2</v>
      </c>
      <c r="F55">
        <v>152.5</v>
      </c>
      <c r="G55">
        <v>86.6</v>
      </c>
      <c r="H55">
        <v>108</v>
      </c>
      <c r="I55">
        <v>2</v>
      </c>
      <c r="J55">
        <v>2</v>
      </c>
      <c r="K55">
        <v>5</v>
      </c>
      <c r="L55">
        <v>4</v>
      </c>
      <c r="M55" s="4" t="s">
        <v>36</v>
      </c>
      <c r="N55">
        <v>2</v>
      </c>
      <c r="O55" s="4">
        <v>8</v>
      </c>
      <c r="P55">
        <v>3</v>
      </c>
      <c r="Q55" s="4">
        <v>7.49</v>
      </c>
      <c r="R55">
        <v>16.41</v>
      </c>
      <c r="S55">
        <v>7.35</v>
      </c>
      <c r="T55">
        <v>9.34</v>
      </c>
      <c r="U55">
        <v>2</v>
      </c>
      <c r="V55">
        <v>120</v>
      </c>
      <c r="W55">
        <v>80</v>
      </c>
      <c r="X55">
        <v>1</v>
      </c>
      <c r="Y55">
        <v>5</v>
      </c>
      <c r="Z55">
        <v>1</v>
      </c>
      <c r="AA55">
        <v>1</v>
      </c>
      <c r="AB55">
        <v>1</v>
      </c>
      <c r="AC55">
        <v>1</v>
      </c>
      <c r="AD55">
        <v>2</v>
      </c>
      <c r="AF55">
        <v>151.26</v>
      </c>
      <c r="AG55">
        <v>68.41</v>
      </c>
      <c r="AH55">
        <v>73.349999999999994</v>
      </c>
      <c r="AI55">
        <v>135.94999999999999</v>
      </c>
      <c r="AJ55" t="s">
        <v>112</v>
      </c>
      <c r="AK55" t="s">
        <v>15</v>
      </c>
      <c r="AM55" t="b">
        <f t="shared" si="0"/>
        <v>0</v>
      </c>
    </row>
    <row r="56" spans="1:39" x14ac:dyDescent="0.25">
      <c r="A56">
        <v>55</v>
      </c>
      <c r="B56">
        <v>55</v>
      </c>
      <c r="C56" t="s">
        <v>25</v>
      </c>
      <c r="D56">
        <v>70</v>
      </c>
      <c r="E56">
        <v>1</v>
      </c>
      <c r="F56">
        <v>161.25</v>
      </c>
      <c r="G56">
        <v>85.8</v>
      </c>
      <c r="H56">
        <v>118</v>
      </c>
      <c r="I56">
        <v>3</v>
      </c>
      <c r="J56">
        <v>1</v>
      </c>
      <c r="K56">
        <v>2</v>
      </c>
      <c r="L56">
        <v>2</v>
      </c>
      <c r="M56" s="4" t="s">
        <v>309</v>
      </c>
      <c r="N56">
        <v>1</v>
      </c>
      <c r="O56" s="4">
        <v>1</v>
      </c>
      <c r="P56">
        <v>2</v>
      </c>
      <c r="Q56" s="4">
        <v>6.69</v>
      </c>
      <c r="R56">
        <v>10.3</v>
      </c>
      <c r="S56">
        <v>8.9</v>
      </c>
      <c r="T56">
        <v>11.46</v>
      </c>
      <c r="U56">
        <v>2</v>
      </c>
      <c r="V56">
        <v>100</v>
      </c>
      <c r="W56">
        <v>65</v>
      </c>
      <c r="X56">
        <v>1</v>
      </c>
      <c r="Y56">
        <v>10</v>
      </c>
      <c r="Z56">
        <v>1</v>
      </c>
      <c r="AA56">
        <v>1</v>
      </c>
      <c r="AB56">
        <v>1</v>
      </c>
      <c r="AC56">
        <v>1</v>
      </c>
      <c r="AD56">
        <v>1</v>
      </c>
      <c r="AE56" t="s">
        <v>92</v>
      </c>
      <c r="AF56">
        <v>162</v>
      </c>
      <c r="AG56">
        <v>47.2</v>
      </c>
      <c r="AH56">
        <v>69.599999999999994</v>
      </c>
      <c r="AI56">
        <v>164.7</v>
      </c>
      <c r="AJ56" t="s">
        <v>120</v>
      </c>
      <c r="AK56" t="s">
        <v>113</v>
      </c>
      <c r="AM56" t="b">
        <f t="shared" si="0"/>
        <v>0</v>
      </c>
    </row>
    <row r="57" spans="1:39" x14ac:dyDescent="0.25">
      <c r="A57">
        <v>56</v>
      </c>
      <c r="B57">
        <v>56</v>
      </c>
      <c r="C57" t="s">
        <v>114</v>
      </c>
      <c r="D57">
        <v>27</v>
      </c>
      <c r="E57">
        <v>1</v>
      </c>
      <c r="F57">
        <v>172.5</v>
      </c>
      <c r="G57">
        <v>57</v>
      </c>
      <c r="H57">
        <v>76</v>
      </c>
      <c r="I57">
        <v>2</v>
      </c>
      <c r="J57">
        <v>3</v>
      </c>
      <c r="K57">
        <v>3</v>
      </c>
      <c r="L57">
        <v>2</v>
      </c>
      <c r="M57" s="4" t="s">
        <v>115</v>
      </c>
      <c r="N57">
        <v>1</v>
      </c>
      <c r="O57" s="4">
        <v>1</v>
      </c>
      <c r="P57">
        <v>2</v>
      </c>
      <c r="Q57" s="4">
        <v>5.52</v>
      </c>
      <c r="R57">
        <v>31.09</v>
      </c>
      <c r="S57">
        <v>6.05</v>
      </c>
      <c r="T57">
        <v>9.52</v>
      </c>
      <c r="U57">
        <v>2</v>
      </c>
      <c r="V57">
        <v>100</v>
      </c>
      <c r="W57">
        <v>70</v>
      </c>
      <c r="X57">
        <v>2</v>
      </c>
      <c r="AC57">
        <v>3</v>
      </c>
      <c r="AD57">
        <v>2</v>
      </c>
      <c r="AF57">
        <v>202.32</v>
      </c>
      <c r="AG57">
        <v>55.16</v>
      </c>
      <c r="AH57">
        <v>186.09</v>
      </c>
      <c r="AI57">
        <v>159.36000000000001</v>
      </c>
      <c r="AJ57" t="s">
        <v>13</v>
      </c>
      <c r="AK57" t="s">
        <v>15</v>
      </c>
      <c r="AM57" t="b">
        <f t="shared" si="0"/>
        <v>0</v>
      </c>
    </row>
    <row r="58" spans="1:39" x14ac:dyDescent="0.25">
      <c r="A58">
        <v>57</v>
      </c>
      <c r="B58">
        <v>57</v>
      </c>
      <c r="C58" t="s">
        <v>116</v>
      </c>
      <c r="D58">
        <v>40</v>
      </c>
      <c r="E58">
        <v>2</v>
      </c>
      <c r="F58">
        <v>147.5</v>
      </c>
      <c r="G58">
        <v>73</v>
      </c>
      <c r="H58">
        <v>108</v>
      </c>
      <c r="I58">
        <v>2</v>
      </c>
      <c r="J58">
        <v>2</v>
      </c>
      <c r="K58">
        <v>2</v>
      </c>
      <c r="L58">
        <v>1</v>
      </c>
      <c r="M58" s="4" t="s">
        <v>117</v>
      </c>
      <c r="N58">
        <v>1</v>
      </c>
      <c r="O58" s="4">
        <v>2</v>
      </c>
      <c r="P58">
        <v>4</v>
      </c>
      <c r="Q58" s="4">
        <v>6.2</v>
      </c>
      <c r="R58">
        <v>10.3</v>
      </c>
      <c r="S58">
        <v>6.76</v>
      </c>
      <c r="T58">
        <v>11.36</v>
      </c>
      <c r="U58">
        <v>2</v>
      </c>
      <c r="V58">
        <v>130</v>
      </c>
      <c r="W58">
        <v>80</v>
      </c>
      <c r="X58">
        <v>2</v>
      </c>
      <c r="AC58">
        <v>3</v>
      </c>
      <c r="AD58">
        <v>2</v>
      </c>
      <c r="AF58">
        <v>151.08000000000001</v>
      </c>
      <c r="AG58">
        <v>43.19</v>
      </c>
      <c r="AH58">
        <v>100.27</v>
      </c>
      <c r="AI58">
        <v>95.47</v>
      </c>
      <c r="AJ58" t="s">
        <v>124</v>
      </c>
      <c r="AK58" t="s">
        <v>121</v>
      </c>
      <c r="AM58" t="b">
        <f t="shared" si="0"/>
        <v>0</v>
      </c>
    </row>
    <row r="59" spans="1:39" x14ac:dyDescent="0.25">
      <c r="A59">
        <v>58</v>
      </c>
      <c r="B59">
        <v>58</v>
      </c>
      <c r="C59" t="s">
        <v>122</v>
      </c>
      <c r="D59">
        <v>45</v>
      </c>
      <c r="E59">
        <v>2</v>
      </c>
      <c r="F59">
        <v>146.25</v>
      </c>
      <c r="G59">
        <v>49.1</v>
      </c>
      <c r="H59">
        <v>88</v>
      </c>
      <c r="I59">
        <v>2</v>
      </c>
      <c r="J59">
        <v>3</v>
      </c>
      <c r="K59">
        <v>3</v>
      </c>
      <c r="L59">
        <v>2</v>
      </c>
      <c r="M59" s="4" t="s">
        <v>36</v>
      </c>
      <c r="N59">
        <v>1</v>
      </c>
      <c r="O59" s="4">
        <v>7</v>
      </c>
      <c r="P59">
        <v>1</v>
      </c>
      <c r="Q59" s="4">
        <v>7.5</v>
      </c>
      <c r="R59">
        <v>9.1199999999999992</v>
      </c>
      <c r="S59">
        <v>10.32</v>
      </c>
      <c r="T59">
        <v>9.08</v>
      </c>
      <c r="U59">
        <v>1</v>
      </c>
      <c r="V59">
        <v>130</v>
      </c>
      <c r="W59">
        <v>90</v>
      </c>
      <c r="X59">
        <v>1</v>
      </c>
      <c r="Y59">
        <v>12</v>
      </c>
      <c r="Z59">
        <v>1</v>
      </c>
      <c r="AA59">
        <v>1</v>
      </c>
      <c r="AB59">
        <v>1</v>
      </c>
      <c r="AC59">
        <v>2</v>
      </c>
      <c r="AD59">
        <v>2</v>
      </c>
      <c r="AF59">
        <v>257.77</v>
      </c>
      <c r="AG59">
        <v>54.97</v>
      </c>
      <c r="AH59">
        <v>171.89</v>
      </c>
      <c r="AI59">
        <v>373.78</v>
      </c>
      <c r="AJ59" t="s">
        <v>123</v>
      </c>
      <c r="AK59" t="s">
        <v>121</v>
      </c>
      <c r="AM59" t="b">
        <f t="shared" si="0"/>
        <v>1</v>
      </c>
    </row>
    <row r="60" spans="1:39" x14ac:dyDescent="0.25">
      <c r="A60">
        <v>59</v>
      </c>
      <c r="B60">
        <v>59</v>
      </c>
      <c r="C60" t="s">
        <v>125</v>
      </c>
      <c r="D60">
        <v>50</v>
      </c>
      <c r="E60">
        <v>2</v>
      </c>
      <c r="F60">
        <v>147.5</v>
      </c>
      <c r="G60">
        <v>47.5</v>
      </c>
      <c r="H60">
        <v>87</v>
      </c>
      <c r="I60">
        <v>2</v>
      </c>
      <c r="J60">
        <v>2</v>
      </c>
      <c r="K60">
        <v>2</v>
      </c>
      <c r="L60">
        <v>1</v>
      </c>
      <c r="M60" s="4" t="s">
        <v>117</v>
      </c>
      <c r="N60">
        <v>1</v>
      </c>
      <c r="O60" s="4">
        <v>10</v>
      </c>
      <c r="P60">
        <v>1</v>
      </c>
      <c r="Q60" s="4">
        <v>8.75</v>
      </c>
      <c r="R60">
        <v>12.04</v>
      </c>
      <c r="S60">
        <v>9.48</v>
      </c>
      <c r="T60">
        <v>13.8</v>
      </c>
      <c r="U60">
        <v>1</v>
      </c>
      <c r="V60">
        <v>160</v>
      </c>
      <c r="W60">
        <v>100</v>
      </c>
      <c r="X60">
        <v>1</v>
      </c>
      <c r="Y60">
        <v>1</v>
      </c>
      <c r="Z60">
        <v>1</v>
      </c>
      <c r="AA60">
        <v>2</v>
      </c>
      <c r="AB60">
        <v>1</v>
      </c>
      <c r="AC60">
        <v>5</v>
      </c>
      <c r="AD60">
        <v>2</v>
      </c>
      <c r="AF60">
        <v>235</v>
      </c>
      <c r="AG60">
        <v>68</v>
      </c>
      <c r="AH60">
        <v>155.9</v>
      </c>
      <c r="AI60">
        <v>591</v>
      </c>
      <c r="AJ60" t="s">
        <v>126</v>
      </c>
      <c r="AK60" t="s">
        <v>137</v>
      </c>
      <c r="AM60" t="b">
        <f t="shared" si="0"/>
        <v>1</v>
      </c>
    </row>
    <row r="61" spans="1:39" x14ac:dyDescent="0.25">
      <c r="A61">
        <v>60</v>
      </c>
      <c r="B61">
        <v>60</v>
      </c>
      <c r="C61" t="s">
        <v>127</v>
      </c>
      <c r="D61">
        <v>50</v>
      </c>
      <c r="E61">
        <v>1</v>
      </c>
      <c r="F61">
        <v>157.5</v>
      </c>
      <c r="G61">
        <v>63.3</v>
      </c>
      <c r="H61">
        <v>87</v>
      </c>
      <c r="I61">
        <v>2</v>
      </c>
      <c r="J61">
        <v>2</v>
      </c>
      <c r="K61">
        <v>3</v>
      </c>
      <c r="L61">
        <v>2</v>
      </c>
      <c r="M61" s="4" t="s">
        <v>128</v>
      </c>
      <c r="N61">
        <v>1</v>
      </c>
      <c r="O61" s="4">
        <v>1</v>
      </c>
      <c r="P61">
        <v>4</v>
      </c>
      <c r="Q61" s="4">
        <v>7.25</v>
      </c>
      <c r="R61">
        <v>12.05</v>
      </c>
      <c r="S61">
        <v>6.35</v>
      </c>
      <c r="T61">
        <v>10.65</v>
      </c>
      <c r="U61">
        <v>2</v>
      </c>
      <c r="V61">
        <v>120</v>
      </c>
      <c r="W61">
        <v>70</v>
      </c>
      <c r="X61">
        <v>2</v>
      </c>
      <c r="AC61">
        <v>1</v>
      </c>
      <c r="AD61">
        <v>2</v>
      </c>
      <c r="AF61">
        <v>179</v>
      </c>
      <c r="AG61">
        <v>87.5</v>
      </c>
      <c r="AH61">
        <v>132.80000000000001</v>
      </c>
      <c r="AI61">
        <v>217.5</v>
      </c>
      <c r="AJ61" t="s">
        <v>13</v>
      </c>
      <c r="AK61" t="s">
        <v>15</v>
      </c>
      <c r="AM61" t="b">
        <f t="shared" si="0"/>
        <v>0</v>
      </c>
    </row>
    <row r="62" spans="1:39" x14ac:dyDescent="0.25">
      <c r="A62">
        <v>61</v>
      </c>
      <c r="B62">
        <v>61</v>
      </c>
      <c r="C62" t="s">
        <v>129</v>
      </c>
      <c r="D62">
        <v>53</v>
      </c>
      <c r="E62">
        <v>2</v>
      </c>
      <c r="F62">
        <v>142.5</v>
      </c>
      <c r="G62">
        <v>57.5</v>
      </c>
      <c r="H62">
        <v>105</v>
      </c>
      <c r="I62">
        <v>2</v>
      </c>
      <c r="J62">
        <v>2</v>
      </c>
      <c r="K62">
        <v>1</v>
      </c>
      <c r="L62">
        <v>1</v>
      </c>
      <c r="M62" s="4" t="s">
        <v>36</v>
      </c>
      <c r="N62">
        <v>1</v>
      </c>
      <c r="O62" s="4">
        <v>7</v>
      </c>
      <c r="P62">
        <v>1</v>
      </c>
      <c r="Q62" s="4">
        <v>5.61</v>
      </c>
      <c r="R62">
        <v>21.54</v>
      </c>
      <c r="S62">
        <v>9.43</v>
      </c>
      <c r="T62">
        <v>12.46</v>
      </c>
      <c r="U62">
        <v>1</v>
      </c>
      <c r="V62">
        <v>160</v>
      </c>
      <c r="W62">
        <v>120</v>
      </c>
      <c r="X62">
        <v>1</v>
      </c>
      <c r="Y62">
        <v>4</v>
      </c>
      <c r="Z62">
        <v>1</v>
      </c>
      <c r="AA62">
        <v>2</v>
      </c>
      <c r="AB62">
        <v>1</v>
      </c>
      <c r="AC62">
        <v>1</v>
      </c>
      <c r="AD62">
        <v>2</v>
      </c>
      <c r="AF62">
        <v>241</v>
      </c>
      <c r="AG62">
        <v>108.9</v>
      </c>
      <c r="AH62">
        <v>165.4</v>
      </c>
      <c r="AI62">
        <v>620.29999999999995</v>
      </c>
      <c r="AJ62" t="s">
        <v>13</v>
      </c>
      <c r="AK62" t="s">
        <v>15</v>
      </c>
      <c r="AM62" t="b">
        <f t="shared" si="0"/>
        <v>1</v>
      </c>
    </row>
    <row r="63" spans="1:39" x14ac:dyDescent="0.25">
      <c r="A63">
        <v>62</v>
      </c>
      <c r="B63">
        <v>62</v>
      </c>
      <c r="C63" t="s">
        <v>130</v>
      </c>
      <c r="D63">
        <v>65</v>
      </c>
      <c r="E63">
        <v>1</v>
      </c>
      <c r="F63">
        <v>1.65</v>
      </c>
      <c r="G63">
        <v>58.8</v>
      </c>
      <c r="H63">
        <v>92</v>
      </c>
      <c r="I63">
        <v>2</v>
      </c>
      <c r="J63">
        <v>3</v>
      </c>
      <c r="K63">
        <v>3</v>
      </c>
      <c r="L63">
        <v>2</v>
      </c>
      <c r="M63" s="4" t="s">
        <v>131</v>
      </c>
      <c r="N63">
        <v>1</v>
      </c>
      <c r="O63" s="4">
        <v>3</v>
      </c>
      <c r="P63">
        <v>1</v>
      </c>
      <c r="Q63" s="4">
        <v>6.35</v>
      </c>
      <c r="R63">
        <v>11.46</v>
      </c>
      <c r="S63">
        <v>9.6999999999999993</v>
      </c>
      <c r="T63">
        <v>10.63</v>
      </c>
      <c r="U63">
        <v>2</v>
      </c>
      <c r="V63">
        <v>120</v>
      </c>
      <c r="W63">
        <v>80</v>
      </c>
      <c r="X63">
        <v>1</v>
      </c>
      <c r="Y63">
        <v>1</v>
      </c>
      <c r="Z63">
        <v>1</v>
      </c>
      <c r="AA63">
        <v>2</v>
      </c>
      <c r="AB63">
        <v>1</v>
      </c>
      <c r="AC63">
        <v>3</v>
      </c>
      <c r="AD63">
        <v>2</v>
      </c>
      <c r="AF63">
        <v>158</v>
      </c>
      <c r="AG63">
        <v>73.3</v>
      </c>
      <c r="AH63">
        <v>120.8</v>
      </c>
      <c r="AI63">
        <v>277.7</v>
      </c>
      <c r="AJ63" t="s">
        <v>132</v>
      </c>
      <c r="AK63" t="s">
        <v>121</v>
      </c>
      <c r="AM63" t="b">
        <f t="shared" si="0"/>
        <v>0</v>
      </c>
    </row>
    <row r="64" spans="1:39" x14ac:dyDescent="0.25">
      <c r="A64">
        <v>63</v>
      </c>
      <c r="B64">
        <v>63</v>
      </c>
      <c r="C64" t="s">
        <v>116</v>
      </c>
      <c r="D64">
        <v>55</v>
      </c>
      <c r="E64">
        <v>2</v>
      </c>
      <c r="F64">
        <v>1.55</v>
      </c>
      <c r="G64">
        <v>54</v>
      </c>
      <c r="H64">
        <v>90</v>
      </c>
      <c r="I64">
        <v>2</v>
      </c>
      <c r="J64">
        <v>2</v>
      </c>
      <c r="K64">
        <v>2</v>
      </c>
      <c r="L64">
        <v>3</v>
      </c>
      <c r="M64" s="4" t="s">
        <v>36</v>
      </c>
      <c r="N64">
        <v>1</v>
      </c>
      <c r="O64" s="4">
        <v>10</v>
      </c>
      <c r="P64">
        <v>1</v>
      </c>
      <c r="Q64" s="4">
        <v>5.64</v>
      </c>
      <c r="R64">
        <v>13.22</v>
      </c>
      <c r="S64">
        <v>7.97</v>
      </c>
      <c r="T64">
        <v>9.6999999999999993</v>
      </c>
      <c r="U64">
        <v>1</v>
      </c>
      <c r="V64">
        <v>130</v>
      </c>
      <c r="W64">
        <v>80</v>
      </c>
      <c r="X64">
        <v>2</v>
      </c>
      <c r="AC64">
        <v>3</v>
      </c>
      <c r="AD64">
        <v>1</v>
      </c>
      <c r="AE64" t="s">
        <v>133</v>
      </c>
      <c r="AF64">
        <v>286</v>
      </c>
      <c r="AG64">
        <v>72.8</v>
      </c>
      <c r="AH64">
        <v>167.3</v>
      </c>
      <c r="AI64">
        <v>354.8</v>
      </c>
      <c r="AJ64" t="s">
        <v>134</v>
      </c>
      <c r="AK64" t="s">
        <v>15</v>
      </c>
      <c r="AM64" t="b">
        <f t="shared" si="0"/>
        <v>0</v>
      </c>
    </row>
    <row r="65" spans="1:39" x14ac:dyDescent="0.25">
      <c r="A65">
        <v>64</v>
      </c>
      <c r="B65">
        <v>64</v>
      </c>
      <c r="C65" t="s">
        <v>135</v>
      </c>
      <c r="D65">
        <v>41</v>
      </c>
      <c r="E65">
        <v>2</v>
      </c>
      <c r="F65">
        <v>1.45</v>
      </c>
      <c r="G65">
        <v>58.7</v>
      </c>
      <c r="H65">
        <v>89</v>
      </c>
      <c r="I65">
        <v>2</v>
      </c>
      <c r="J65">
        <v>3</v>
      </c>
      <c r="K65">
        <v>2</v>
      </c>
      <c r="L65">
        <v>2</v>
      </c>
      <c r="M65" s="4" t="s">
        <v>36</v>
      </c>
      <c r="N65">
        <v>1</v>
      </c>
      <c r="O65" s="4">
        <v>3</v>
      </c>
      <c r="P65">
        <v>1</v>
      </c>
      <c r="Q65" s="4">
        <v>6.46</v>
      </c>
      <c r="R65" s="7">
        <v>10.3</v>
      </c>
      <c r="S65">
        <v>18.29</v>
      </c>
      <c r="T65">
        <v>24.98</v>
      </c>
      <c r="U65">
        <v>2</v>
      </c>
      <c r="V65">
        <v>150</v>
      </c>
      <c r="W65">
        <v>100</v>
      </c>
      <c r="X65">
        <v>2</v>
      </c>
      <c r="AC65">
        <v>3</v>
      </c>
      <c r="AD65">
        <v>2</v>
      </c>
      <c r="AF65">
        <v>150</v>
      </c>
      <c r="AG65">
        <v>51</v>
      </c>
      <c r="AH65">
        <v>108.9</v>
      </c>
      <c r="AI65">
        <v>153.4</v>
      </c>
      <c r="AJ65" t="s">
        <v>136</v>
      </c>
      <c r="AK65" t="s">
        <v>137</v>
      </c>
      <c r="AM65" t="b">
        <f t="shared" si="0"/>
        <v>1</v>
      </c>
    </row>
    <row r="66" spans="1:39" x14ac:dyDescent="0.25">
      <c r="A66">
        <v>65</v>
      </c>
      <c r="B66">
        <v>65</v>
      </c>
      <c r="C66" t="s">
        <v>138</v>
      </c>
      <c r="D66">
        <v>55</v>
      </c>
      <c r="E66">
        <v>2</v>
      </c>
      <c r="F66">
        <v>1.425</v>
      </c>
      <c r="G66">
        <v>42.8</v>
      </c>
      <c r="H66">
        <v>90</v>
      </c>
      <c r="I66">
        <v>2</v>
      </c>
      <c r="J66">
        <v>2</v>
      </c>
      <c r="K66">
        <v>1</v>
      </c>
      <c r="L66">
        <v>1</v>
      </c>
      <c r="M66" s="4" t="s">
        <v>36</v>
      </c>
      <c r="N66">
        <v>1</v>
      </c>
      <c r="O66" s="4">
        <v>20</v>
      </c>
      <c r="P66">
        <v>1</v>
      </c>
      <c r="Q66" s="4">
        <v>11.81</v>
      </c>
      <c r="R66">
        <v>23.26</v>
      </c>
      <c r="S66">
        <v>7.64</v>
      </c>
      <c r="T66">
        <v>11.05</v>
      </c>
      <c r="U66">
        <v>1</v>
      </c>
      <c r="V66">
        <v>160</v>
      </c>
      <c r="W66">
        <v>100</v>
      </c>
      <c r="X66">
        <v>1</v>
      </c>
      <c r="Y66">
        <v>5</v>
      </c>
      <c r="Z66">
        <v>1</v>
      </c>
      <c r="AA66">
        <v>2</v>
      </c>
      <c r="AB66">
        <v>1</v>
      </c>
      <c r="AC66">
        <v>4</v>
      </c>
      <c r="AD66">
        <v>2</v>
      </c>
      <c r="AF66">
        <v>168</v>
      </c>
      <c r="AG66">
        <v>54.97</v>
      </c>
      <c r="AH66">
        <v>165.4</v>
      </c>
      <c r="AI66">
        <v>220.3</v>
      </c>
      <c r="AJ66" t="s">
        <v>132</v>
      </c>
      <c r="AK66" t="s">
        <v>121</v>
      </c>
      <c r="AM66" t="b">
        <f t="shared" si="0"/>
        <v>1</v>
      </c>
    </row>
    <row r="67" spans="1:39" x14ac:dyDescent="0.25">
      <c r="A67">
        <v>66</v>
      </c>
      <c r="B67">
        <v>66</v>
      </c>
      <c r="C67" t="s">
        <v>139</v>
      </c>
      <c r="D67">
        <v>34</v>
      </c>
      <c r="E67">
        <v>1</v>
      </c>
      <c r="F67">
        <v>1.65</v>
      </c>
      <c r="G67">
        <v>78</v>
      </c>
      <c r="H67">
        <v>94</v>
      </c>
      <c r="I67">
        <v>1</v>
      </c>
      <c r="J67">
        <v>3</v>
      </c>
      <c r="K67">
        <v>5</v>
      </c>
      <c r="L67">
        <v>4</v>
      </c>
      <c r="M67" s="4" t="s">
        <v>128</v>
      </c>
      <c r="N67">
        <v>2</v>
      </c>
      <c r="O67" s="4">
        <v>5</v>
      </c>
      <c r="P67">
        <v>1</v>
      </c>
      <c r="Q67" s="4">
        <v>5.52</v>
      </c>
      <c r="R67">
        <v>15.84</v>
      </c>
      <c r="S67">
        <v>6.59</v>
      </c>
      <c r="T67">
        <v>11.67</v>
      </c>
      <c r="U67">
        <v>2</v>
      </c>
      <c r="V67">
        <v>140</v>
      </c>
      <c r="W67">
        <v>100</v>
      </c>
      <c r="X67">
        <v>1</v>
      </c>
      <c r="Y67">
        <v>3</v>
      </c>
      <c r="Z67">
        <v>1</v>
      </c>
      <c r="AA67">
        <v>2</v>
      </c>
      <c r="AB67">
        <v>1</v>
      </c>
      <c r="AC67">
        <v>2</v>
      </c>
      <c r="AD67">
        <v>2</v>
      </c>
      <c r="AF67">
        <v>170</v>
      </c>
      <c r="AG67">
        <v>68</v>
      </c>
      <c r="AH67">
        <v>120.8</v>
      </c>
      <c r="AI67">
        <v>277.7</v>
      </c>
      <c r="AJ67" t="s">
        <v>13</v>
      </c>
      <c r="AK67" t="s">
        <v>15</v>
      </c>
      <c r="AM67" t="b">
        <f t="shared" ref="AM67:AM130" si="1">W67&gt;=90</f>
        <v>1</v>
      </c>
    </row>
    <row r="68" spans="1:39" x14ac:dyDescent="0.25">
      <c r="A68">
        <v>67</v>
      </c>
      <c r="B68">
        <v>67</v>
      </c>
      <c r="C68" t="s">
        <v>140</v>
      </c>
      <c r="D68">
        <v>45</v>
      </c>
      <c r="E68">
        <v>2</v>
      </c>
      <c r="F68">
        <v>1.46</v>
      </c>
      <c r="G68">
        <v>50.5</v>
      </c>
      <c r="H68">
        <v>91</v>
      </c>
      <c r="I68">
        <v>2</v>
      </c>
      <c r="J68">
        <v>2</v>
      </c>
      <c r="K68">
        <v>2</v>
      </c>
      <c r="L68">
        <v>1</v>
      </c>
      <c r="M68" s="4" t="s">
        <v>36</v>
      </c>
      <c r="N68">
        <v>1</v>
      </c>
      <c r="O68" s="4">
        <v>1</v>
      </c>
      <c r="P68">
        <v>3</v>
      </c>
      <c r="Q68" s="4">
        <v>6.06</v>
      </c>
      <c r="R68">
        <v>9.6999999999999993</v>
      </c>
      <c r="S68">
        <v>8.19</v>
      </c>
      <c r="T68">
        <v>11.69</v>
      </c>
      <c r="U68">
        <v>2</v>
      </c>
      <c r="V68">
        <v>120</v>
      </c>
      <c r="W68">
        <v>80</v>
      </c>
      <c r="X68">
        <v>2</v>
      </c>
      <c r="AC68">
        <v>5</v>
      </c>
      <c r="AD68">
        <v>1</v>
      </c>
      <c r="AE68" t="s">
        <v>133</v>
      </c>
      <c r="AF68">
        <v>150</v>
      </c>
      <c r="AG68">
        <v>54.6</v>
      </c>
      <c r="AH68">
        <v>89.5</v>
      </c>
      <c r="AI68">
        <v>250.3</v>
      </c>
      <c r="AJ68" t="s">
        <v>141</v>
      </c>
      <c r="AK68" t="s">
        <v>142</v>
      </c>
      <c r="AM68" t="b">
        <f t="shared" si="1"/>
        <v>0</v>
      </c>
    </row>
    <row r="69" spans="1:39" x14ac:dyDescent="0.25">
      <c r="A69">
        <v>68</v>
      </c>
      <c r="B69">
        <v>68</v>
      </c>
      <c r="C69" t="s">
        <v>143</v>
      </c>
      <c r="D69">
        <v>58</v>
      </c>
      <c r="E69">
        <v>1</v>
      </c>
      <c r="F69">
        <v>1.55</v>
      </c>
      <c r="G69">
        <v>53.5</v>
      </c>
      <c r="H69">
        <v>79</v>
      </c>
      <c r="I69">
        <v>2</v>
      </c>
      <c r="J69">
        <v>2</v>
      </c>
      <c r="K69">
        <v>3</v>
      </c>
      <c r="L69">
        <v>2</v>
      </c>
      <c r="M69" s="4" t="s">
        <v>144</v>
      </c>
      <c r="N69">
        <v>1</v>
      </c>
      <c r="O69" s="4">
        <v>15</v>
      </c>
      <c r="P69">
        <v>3</v>
      </c>
      <c r="Q69" s="4">
        <v>5.81</v>
      </c>
      <c r="R69">
        <v>12.48</v>
      </c>
      <c r="S69">
        <v>7.75</v>
      </c>
      <c r="T69">
        <v>10.67</v>
      </c>
      <c r="U69">
        <v>1</v>
      </c>
      <c r="V69">
        <v>150</v>
      </c>
      <c r="W69">
        <v>90</v>
      </c>
      <c r="X69">
        <v>2</v>
      </c>
      <c r="AC69">
        <v>4</v>
      </c>
      <c r="AD69">
        <v>1</v>
      </c>
      <c r="AE69" t="s">
        <v>145</v>
      </c>
      <c r="AF69">
        <v>163</v>
      </c>
      <c r="AG69">
        <v>58.8</v>
      </c>
      <c r="AH69">
        <v>115.5</v>
      </c>
      <c r="AI69">
        <v>165.5</v>
      </c>
      <c r="AJ69" t="s">
        <v>13</v>
      </c>
      <c r="AK69" t="s">
        <v>15</v>
      </c>
      <c r="AL69" t="s">
        <v>146</v>
      </c>
      <c r="AM69" t="b">
        <f t="shared" si="1"/>
        <v>1</v>
      </c>
    </row>
    <row r="70" spans="1:39" x14ac:dyDescent="0.25">
      <c r="A70">
        <v>69</v>
      </c>
      <c r="B70">
        <v>69</v>
      </c>
      <c r="C70" t="s">
        <v>147</v>
      </c>
      <c r="D70">
        <v>45</v>
      </c>
      <c r="E70">
        <v>2</v>
      </c>
      <c r="F70">
        <v>1.5249999999999999</v>
      </c>
      <c r="G70">
        <v>54.5</v>
      </c>
      <c r="H70">
        <v>87</v>
      </c>
      <c r="I70">
        <v>2</v>
      </c>
      <c r="J70">
        <v>3</v>
      </c>
      <c r="K70">
        <v>2</v>
      </c>
      <c r="L70">
        <v>1</v>
      </c>
      <c r="M70" s="4" t="s">
        <v>117</v>
      </c>
      <c r="N70">
        <v>1</v>
      </c>
      <c r="O70" s="4">
        <v>1</v>
      </c>
      <c r="P70">
        <v>1</v>
      </c>
      <c r="Q70" s="4">
        <v>7.55</v>
      </c>
      <c r="R70">
        <v>8.19</v>
      </c>
      <c r="S70">
        <v>7.38</v>
      </c>
      <c r="T70">
        <v>8.93</v>
      </c>
      <c r="U70">
        <v>1</v>
      </c>
      <c r="V70">
        <v>120</v>
      </c>
      <c r="W70">
        <v>80</v>
      </c>
      <c r="X70">
        <v>2</v>
      </c>
      <c r="AC70">
        <v>4</v>
      </c>
      <c r="AD70">
        <v>2</v>
      </c>
      <c r="AF70">
        <v>200</v>
      </c>
      <c r="AG70">
        <v>64</v>
      </c>
      <c r="AH70">
        <v>126.6</v>
      </c>
      <c r="AI70">
        <v>157.1</v>
      </c>
      <c r="AJ70" t="s">
        <v>148</v>
      </c>
      <c r="AK70" t="s">
        <v>149</v>
      </c>
      <c r="AM70" t="b">
        <f t="shared" si="1"/>
        <v>0</v>
      </c>
    </row>
    <row r="71" spans="1:39" x14ac:dyDescent="0.25">
      <c r="A71">
        <v>70</v>
      </c>
      <c r="B71">
        <v>70</v>
      </c>
      <c r="C71" t="s">
        <v>150</v>
      </c>
      <c r="D71">
        <v>64</v>
      </c>
      <c r="E71">
        <v>2</v>
      </c>
      <c r="F71">
        <v>1.4750000000000001</v>
      </c>
      <c r="G71">
        <v>68</v>
      </c>
      <c r="H71">
        <v>110</v>
      </c>
      <c r="I71">
        <v>2</v>
      </c>
      <c r="J71">
        <v>1</v>
      </c>
      <c r="K71">
        <v>3</v>
      </c>
      <c r="L71">
        <v>3</v>
      </c>
      <c r="M71" s="4" t="s">
        <v>36</v>
      </c>
      <c r="N71">
        <v>1</v>
      </c>
      <c r="O71" s="4">
        <v>12</v>
      </c>
      <c r="P71">
        <v>3</v>
      </c>
      <c r="Q71" s="4">
        <v>6.21</v>
      </c>
      <c r="R71">
        <v>17.5</v>
      </c>
      <c r="S71">
        <v>7.53</v>
      </c>
      <c r="T71">
        <v>11.36</v>
      </c>
      <c r="U71">
        <v>1</v>
      </c>
      <c r="V71">
        <v>150</v>
      </c>
      <c r="W71">
        <v>90</v>
      </c>
      <c r="X71">
        <v>1</v>
      </c>
      <c r="Y71">
        <v>6</v>
      </c>
      <c r="Z71">
        <v>1</v>
      </c>
      <c r="AA71">
        <v>1</v>
      </c>
      <c r="AB71">
        <v>1</v>
      </c>
      <c r="AC71">
        <v>1</v>
      </c>
      <c r="AD71">
        <v>1</v>
      </c>
      <c r="AE71" t="s">
        <v>93</v>
      </c>
      <c r="AF71">
        <v>175</v>
      </c>
      <c r="AG71">
        <v>48.68</v>
      </c>
      <c r="AH71">
        <v>105.95</v>
      </c>
      <c r="AI71">
        <v>118.21</v>
      </c>
      <c r="AJ71" t="s">
        <v>151</v>
      </c>
      <c r="AK71" t="s">
        <v>152</v>
      </c>
      <c r="AM71" t="b">
        <f t="shared" si="1"/>
        <v>1</v>
      </c>
    </row>
    <row r="72" spans="1:39" x14ac:dyDescent="0.25">
      <c r="A72">
        <v>71</v>
      </c>
      <c r="B72">
        <v>71</v>
      </c>
      <c r="C72" t="s">
        <v>153</v>
      </c>
      <c r="D72">
        <v>29</v>
      </c>
      <c r="E72">
        <v>1</v>
      </c>
      <c r="F72">
        <v>1.6120000000000001</v>
      </c>
      <c r="G72">
        <v>64</v>
      </c>
      <c r="H72">
        <v>82</v>
      </c>
      <c r="I72">
        <v>2</v>
      </c>
      <c r="J72">
        <v>3</v>
      </c>
      <c r="K72">
        <v>2</v>
      </c>
      <c r="L72">
        <v>3</v>
      </c>
      <c r="M72" s="4" t="s">
        <v>24</v>
      </c>
      <c r="N72">
        <v>1</v>
      </c>
      <c r="O72" s="4">
        <v>3</v>
      </c>
      <c r="P72">
        <v>1</v>
      </c>
      <c r="Q72" s="4">
        <v>6.11</v>
      </c>
      <c r="R72">
        <v>12.7</v>
      </c>
      <c r="S72">
        <v>8.06</v>
      </c>
      <c r="T72">
        <v>10.6</v>
      </c>
      <c r="U72">
        <v>2</v>
      </c>
      <c r="V72">
        <v>110</v>
      </c>
      <c r="W72">
        <v>70</v>
      </c>
      <c r="X72">
        <v>2</v>
      </c>
      <c r="AC72">
        <v>3</v>
      </c>
      <c r="AD72">
        <v>2</v>
      </c>
      <c r="AF72">
        <v>145</v>
      </c>
      <c r="AG72">
        <v>35</v>
      </c>
      <c r="AH72">
        <v>78</v>
      </c>
      <c r="AI72">
        <v>162</v>
      </c>
      <c r="AJ72" t="s">
        <v>154</v>
      </c>
      <c r="AK72" t="s">
        <v>155</v>
      </c>
      <c r="AM72" t="b">
        <f t="shared" si="1"/>
        <v>0</v>
      </c>
    </row>
    <row r="73" spans="1:39" x14ac:dyDescent="0.25">
      <c r="A73">
        <v>72</v>
      </c>
      <c r="B73">
        <v>72</v>
      </c>
      <c r="C73" t="s">
        <v>156</v>
      </c>
      <c r="D73">
        <v>55</v>
      </c>
      <c r="E73">
        <v>2</v>
      </c>
      <c r="F73">
        <v>1.46</v>
      </c>
      <c r="G73">
        <v>66</v>
      </c>
      <c r="H73">
        <v>106</v>
      </c>
      <c r="I73">
        <v>2</v>
      </c>
      <c r="J73">
        <v>1</v>
      </c>
      <c r="K73">
        <v>3</v>
      </c>
      <c r="L73">
        <v>2</v>
      </c>
      <c r="M73" s="4" t="s">
        <v>36</v>
      </c>
      <c r="N73">
        <v>1</v>
      </c>
      <c r="O73" s="4">
        <v>10</v>
      </c>
      <c r="P73">
        <v>1</v>
      </c>
      <c r="Q73" s="4">
        <v>6.45</v>
      </c>
      <c r="R73">
        <v>12.5</v>
      </c>
      <c r="S73">
        <v>8.77</v>
      </c>
      <c r="T73">
        <v>9.9700000000000006</v>
      </c>
      <c r="U73">
        <v>1</v>
      </c>
      <c r="V73">
        <v>140</v>
      </c>
      <c r="W73">
        <v>90</v>
      </c>
      <c r="X73">
        <v>1</v>
      </c>
      <c r="Y73">
        <v>6</v>
      </c>
      <c r="Z73">
        <v>1</v>
      </c>
      <c r="AA73">
        <v>2</v>
      </c>
      <c r="AB73">
        <v>1</v>
      </c>
      <c r="AC73">
        <v>2</v>
      </c>
      <c r="AD73">
        <v>2</v>
      </c>
      <c r="AF73">
        <v>268</v>
      </c>
      <c r="AG73">
        <v>57.9</v>
      </c>
      <c r="AH73">
        <v>126.4</v>
      </c>
      <c r="AI73">
        <v>491.8</v>
      </c>
      <c r="AJ73" t="s">
        <v>157</v>
      </c>
      <c r="AK73" t="s">
        <v>158</v>
      </c>
      <c r="AM73" t="b">
        <f t="shared" si="1"/>
        <v>1</v>
      </c>
    </row>
    <row r="74" spans="1:39" x14ac:dyDescent="0.25">
      <c r="A74">
        <v>73</v>
      </c>
      <c r="B74">
        <v>73</v>
      </c>
      <c r="C74" t="s">
        <v>159</v>
      </c>
      <c r="D74">
        <v>70</v>
      </c>
      <c r="E74">
        <v>2</v>
      </c>
      <c r="F74">
        <v>57</v>
      </c>
      <c r="G74">
        <v>54.5</v>
      </c>
      <c r="H74">
        <v>93</v>
      </c>
      <c r="I74">
        <v>2</v>
      </c>
      <c r="J74">
        <v>1</v>
      </c>
      <c r="K74">
        <v>1</v>
      </c>
      <c r="L74">
        <v>3</v>
      </c>
      <c r="M74" s="4" t="s">
        <v>117</v>
      </c>
      <c r="N74">
        <v>1</v>
      </c>
      <c r="O74" s="4">
        <v>2</v>
      </c>
      <c r="P74">
        <v>4</v>
      </c>
      <c r="Q74" s="4">
        <v>6.68</v>
      </c>
      <c r="R74">
        <v>11</v>
      </c>
      <c r="S74">
        <v>8.4700000000000006</v>
      </c>
      <c r="T74">
        <v>8.6300000000000008</v>
      </c>
      <c r="U74">
        <v>2</v>
      </c>
      <c r="V74">
        <v>240</v>
      </c>
      <c r="W74">
        <v>100</v>
      </c>
      <c r="X74">
        <v>1</v>
      </c>
      <c r="Y74">
        <v>5</v>
      </c>
      <c r="Z74">
        <v>2</v>
      </c>
      <c r="AA74">
        <v>2</v>
      </c>
      <c r="AB74">
        <v>1</v>
      </c>
      <c r="AC74">
        <v>3</v>
      </c>
      <c r="AD74">
        <v>2</v>
      </c>
      <c r="AF74">
        <v>208</v>
      </c>
      <c r="AG74">
        <v>40</v>
      </c>
      <c r="AH74">
        <v>116</v>
      </c>
      <c r="AI74">
        <v>253</v>
      </c>
      <c r="AJ74" t="s">
        <v>160</v>
      </c>
      <c r="AK74" t="s">
        <v>11</v>
      </c>
      <c r="AL74" t="s">
        <v>161</v>
      </c>
      <c r="AM74" t="b">
        <f t="shared" si="1"/>
        <v>1</v>
      </c>
    </row>
    <row r="75" spans="1:39" x14ac:dyDescent="0.25">
      <c r="A75">
        <v>74</v>
      </c>
      <c r="B75">
        <v>74</v>
      </c>
      <c r="C75" t="s">
        <v>162</v>
      </c>
      <c r="D75">
        <v>32</v>
      </c>
      <c r="E75">
        <v>2</v>
      </c>
      <c r="F75">
        <v>63</v>
      </c>
      <c r="G75">
        <v>69.7</v>
      </c>
      <c r="H75">
        <v>94</v>
      </c>
      <c r="I75">
        <v>2</v>
      </c>
      <c r="J75">
        <v>3</v>
      </c>
      <c r="K75">
        <v>2</v>
      </c>
      <c r="L75">
        <v>2</v>
      </c>
      <c r="M75" s="4" t="s">
        <v>36</v>
      </c>
      <c r="N75">
        <v>1</v>
      </c>
      <c r="O75" s="4">
        <v>8</v>
      </c>
      <c r="P75">
        <v>1</v>
      </c>
      <c r="Q75" s="4">
        <v>5.99</v>
      </c>
      <c r="R75">
        <v>17.87</v>
      </c>
      <c r="S75">
        <v>10.47</v>
      </c>
      <c r="T75">
        <v>12.87</v>
      </c>
      <c r="U75">
        <v>1</v>
      </c>
      <c r="V75">
        <v>150</v>
      </c>
      <c r="W75">
        <v>100</v>
      </c>
      <c r="X75">
        <v>1</v>
      </c>
      <c r="Y75">
        <v>3</v>
      </c>
      <c r="Z75">
        <v>2</v>
      </c>
      <c r="AA75">
        <v>2</v>
      </c>
      <c r="AB75">
        <v>4</v>
      </c>
      <c r="AC75">
        <v>3</v>
      </c>
      <c r="AD75">
        <v>2</v>
      </c>
      <c r="AF75">
        <v>224.59</v>
      </c>
      <c r="AG75">
        <v>47.64</v>
      </c>
      <c r="AH75">
        <v>158.72</v>
      </c>
      <c r="AI75">
        <v>354.16</v>
      </c>
      <c r="AJ75" t="s">
        <v>13</v>
      </c>
      <c r="AK75" t="s">
        <v>15</v>
      </c>
      <c r="AM75" t="b">
        <f t="shared" si="1"/>
        <v>1</v>
      </c>
    </row>
    <row r="76" spans="1:39" x14ac:dyDescent="0.25">
      <c r="A76">
        <v>75</v>
      </c>
      <c r="B76">
        <v>75</v>
      </c>
      <c r="C76" t="s">
        <v>163</v>
      </c>
      <c r="D76">
        <v>62</v>
      </c>
      <c r="E76">
        <v>1</v>
      </c>
      <c r="F76">
        <v>68</v>
      </c>
      <c r="G76">
        <v>72.7</v>
      </c>
      <c r="H76">
        <v>91</v>
      </c>
      <c r="I76">
        <v>2</v>
      </c>
      <c r="J76">
        <v>2</v>
      </c>
      <c r="K76">
        <v>5</v>
      </c>
      <c r="L76">
        <v>3</v>
      </c>
      <c r="M76" s="4" t="s">
        <v>164</v>
      </c>
      <c r="N76">
        <v>1</v>
      </c>
      <c r="O76" s="4">
        <v>2</v>
      </c>
      <c r="P76">
        <v>4</v>
      </c>
      <c r="Q76" s="4">
        <v>6.79</v>
      </c>
      <c r="R76">
        <v>26.15</v>
      </c>
      <c r="S76">
        <v>8.4700000000000006</v>
      </c>
      <c r="T76">
        <v>10.77</v>
      </c>
      <c r="U76">
        <v>2</v>
      </c>
      <c r="V76">
        <v>145</v>
      </c>
      <c r="W76">
        <v>90</v>
      </c>
      <c r="X76">
        <v>2</v>
      </c>
      <c r="AC76">
        <v>3</v>
      </c>
      <c r="AD76">
        <v>2</v>
      </c>
      <c r="AF76">
        <v>219</v>
      </c>
      <c r="AG76">
        <v>41.12</v>
      </c>
      <c r="AH76">
        <v>154.08000000000001</v>
      </c>
      <c r="AI76">
        <v>252.56</v>
      </c>
      <c r="AJ76" t="s">
        <v>165</v>
      </c>
      <c r="AK76" t="s">
        <v>166</v>
      </c>
      <c r="AL76" t="s">
        <v>146</v>
      </c>
      <c r="AM76" t="b">
        <f t="shared" si="1"/>
        <v>1</v>
      </c>
    </row>
    <row r="77" spans="1:39" x14ac:dyDescent="0.25">
      <c r="A77">
        <v>76</v>
      </c>
      <c r="B77">
        <v>76</v>
      </c>
      <c r="C77" t="s">
        <v>167</v>
      </c>
      <c r="D77">
        <v>52</v>
      </c>
      <c r="E77">
        <v>2</v>
      </c>
      <c r="F77">
        <v>61</v>
      </c>
      <c r="G77">
        <v>81.7</v>
      </c>
      <c r="H77">
        <v>107</v>
      </c>
      <c r="I77">
        <v>2</v>
      </c>
      <c r="J77">
        <v>2</v>
      </c>
      <c r="K77">
        <v>3</v>
      </c>
      <c r="L77">
        <v>2</v>
      </c>
      <c r="M77" s="4" t="s">
        <v>36</v>
      </c>
      <c r="N77">
        <v>1</v>
      </c>
      <c r="O77" s="4" t="s">
        <v>179</v>
      </c>
      <c r="P77">
        <v>5</v>
      </c>
      <c r="Q77" s="4">
        <v>7.67</v>
      </c>
      <c r="R77">
        <v>22.92</v>
      </c>
      <c r="S77">
        <v>5.67</v>
      </c>
      <c r="T77">
        <v>10.43</v>
      </c>
      <c r="U77">
        <v>2</v>
      </c>
      <c r="V77">
        <v>130</v>
      </c>
      <c r="W77">
        <v>90</v>
      </c>
      <c r="X77">
        <v>1</v>
      </c>
      <c r="Y77">
        <v>5</v>
      </c>
      <c r="Z77">
        <v>1</v>
      </c>
      <c r="AA77">
        <v>1</v>
      </c>
      <c r="AB77">
        <v>1</v>
      </c>
      <c r="AC77">
        <v>2</v>
      </c>
      <c r="AD77">
        <v>2</v>
      </c>
      <c r="AF77">
        <v>182</v>
      </c>
      <c r="AG77">
        <v>63.7</v>
      </c>
      <c r="AH77">
        <v>88.9</v>
      </c>
      <c r="AI77">
        <v>229.9</v>
      </c>
      <c r="AJ77" t="s">
        <v>168</v>
      </c>
      <c r="AK77" t="s">
        <v>169</v>
      </c>
      <c r="AL77" t="s">
        <v>170</v>
      </c>
      <c r="AM77" t="b">
        <f t="shared" si="1"/>
        <v>1</v>
      </c>
    </row>
    <row r="78" spans="1:39" x14ac:dyDescent="0.25">
      <c r="A78">
        <v>77</v>
      </c>
      <c r="B78">
        <v>77</v>
      </c>
      <c r="C78" t="s">
        <v>171</v>
      </c>
      <c r="D78">
        <v>36</v>
      </c>
      <c r="E78">
        <v>1</v>
      </c>
      <c r="F78">
        <v>63</v>
      </c>
      <c r="G78">
        <v>55</v>
      </c>
      <c r="H78">
        <v>83</v>
      </c>
      <c r="I78">
        <v>1</v>
      </c>
      <c r="J78">
        <v>3</v>
      </c>
      <c r="K78">
        <v>2</v>
      </c>
      <c r="L78">
        <v>2</v>
      </c>
      <c r="M78" s="4" t="s">
        <v>24</v>
      </c>
      <c r="N78">
        <v>1</v>
      </c>
      <c r="O78" s="4" t="s">
        <v>179</v>
      </c>
      <c r="P78">
        <v>5</v>
      </c>
      <c r="Q78" s="4">
        <v>5.65</v>
      </c>
      <c r="R78">
        <v>18.55</v>
      </c>
      <c r="S78">
        <v>7.52</v>
      </c>
      <c r="T78">
        <v>8.9499999999999993</v>
      </c>
      <c r="U78">
        <v>2</v>
      </c>
      <c r="V78">
        <v>120</v>
      </c>
      <c r="W78">
        <v>80</v>
      </c>
      <c r="X78">
        <v>2</v>
      </c>
      <c r="AC78">
        <v>4</v>
      </c>
      <c r="AD78">
        <v>2</v>
      </c>
      <c r="AF78">
        <v>190</v>
      </c>
      <c r="AG78">
        <v>47.64</v>
      </c>
      <c r="AH78">
        <v>116</v>
      </c>
      <c r="AI78">
        <v>354.16</v>
      </c>
      <c r="AJ78" t="s">
        <v>172</v>
      </c>
      <c r="AK78" t="s">
        <v>173</v>
      </c>
      <c r="AL78" t="s">
        <v>170</v>
      </c>
      <c r="AM78" t="b">
        <f t="shared" si="1"/>
        <v>0</v>
      </c>
    </row>
    <row r="79" spans="1:39" x14ac:dyDescent="0.25">
      <c r="A79">
        <v>78</v>
      </c>
      <c r="B79">
        <v>78</v>
      </c>
      <c r="C79" t="s">
        <v>174</v>
      </c>
      <c r="D79">
        <v>62</v>
      </c>
      <c r="E79">
        <v>1</v>
      </c>
      <c r="F79">
        <v>66.5</v>
      </c>
      <c r="G79">
        <v>69.45</v>
      </c>
      <c r="H79">
        <v>96</v>
      </c>
      <c r="I79">
        <v>1</v>
      </c>
      <c r="J79">
        <v>3</v>
      </c>
      <c r="K79">
        <v>2</v>
      </c>
      <c r="L79">
        <v>2</v>
      </c>
      <c r="M79" s="4" t="s">
        <v>308</v>
      </c>
      <c r="N79">
        <v>1</v>
      </c>
      <c r="O79" s="4">
        <v>1</v>
      </c>
      <c r="P79">
        <v>1</v>
      </c>
      <c r="Q79" s="4">
        <v>6.34</v>
      </c>
      <c r="R79">
        <v>6.09</v>
      </c>
      <c r="S79">
        <v>8.9600000000000009</v>
      </c>
      <c r="T79">
        <v>10.14</v>
      </c>
      <c r="U79">
        <v>2</v>
      </c>
      <c r="V79">
        <v>110</v>
      </c>
      <c r="W79">
        <v>70</v>
      </c>
      <c r="X79">
        <v>1</v>
      </c>
      <c r="Y79">
        <v>1</v>
      </c>
      <c r="Z79">
        <v>1</v>
      </c>
      <c r="AA79">
        <v>1</v>
      </c>
      <c r="AB79">
        <v>1</v>
      </c>
      <c r="AC79">
        <v>3</v>
      </c>
      <c r="AD79">
        <v>1</v>
      </c>
      <c r="AE79" t="s">
        <v>145</v>
      </c>
      <c r="AF79">
        <v>192.93</v>
      </c>
      <c r="AG79">
        <v>32.15</v>
      </c>
      <c r="AH79">
        <v>125.67</v>
      </c>
      <c r="AI79">
        <v>175.54</v>
      </c>
      <c r="AJ79" t="s">
        <v>175</v>
      </c>
      <c r="AK79" t="s">
        <v>176</v>
      </c>
      <c r="AM79" t="b">
        <f t="shared" si="1"/>
        <v>0</v>
      </c>
    </row>
    <row r="80" spans="1:39" x14ac:dyDescent="0.25">
      <c r="A80">
        <v>79</v>
      </c>
      <c r="B80">
        <v>79</v>
      </c>
      <c r="C80" t="s">
        <v>177</v>
      </c>
      <c r="D80">
        <v>64</v>
      </c>
      <c r="E80">
        <v>1</v>
      </c>
      <c r="F80">
        <v>64</v>
      </c>
      <c r="G80">
        <v>119</v>
      </c>
      <c r="H80">
        <v>113</v>
      </c>
      <c r="I80">
        <v>2</v>
      </c>
      <c r="J80">
        <v>1</v>
      </c>
      <c r="K80">
        <v>1</v>
      </c>
      <c r="L80">
        <v>1</v>
      </c>
      <c r="M80" s="4" t="s">
        <v>178</v>
      </c>
      <c r="N80">
        <v>1</v>
      </c>
      <c r="O80" s="4" t="s">
        <v>57</v>
      </c>
      <c r="P80">
        <v>4</v>
      </c>
      <c r="Q80" s="4">
        <v>6.16</v>
      </c>
      <c r="R80">
        <v>8.33</v>
      </c>
      <c r="S80" s="4">
        <v>9.06</v>
      </c>
      <c r="T80">
        <v>13.27</v>
      </c>
      <c r="U80" s="4">
        <v>2</v>
      </c>
      <c r="V80">
        <v>130</v>
      </c>
      <c r="W80" s="4">
        <v>90</v>
      </c>
      <c r="X80">
        <v>2</v>
      </c>
      <c r="AC80">
        <v>2</v>
      </c>
      <c r="AD80">
        <v>2</v>
      </c>
      <c r="AF80">
        <v>228.9</v>
      </c>
      <c r="AG80">
        <v>47.86</v>
      </c>
      <c r="AH80">
        <v>194.05</v>
      </c>
      <c r="AI80">
        <v>166.51</v>
      </c>
      <c r="AJ80" t="s">
        <v>14</v>
      </c>
      <c r="AK80" t="s">
        <v>15</v>
      </c>
      <c r="AL80" t="s">
        <v>170</v>
      </c>
      <c r="AM80" t="b">
        <f t="shared" si="1"/>
        <v>1</v>
      </c>
    </row>
    <row r="81" spans="1:39" x14ac:dyDescent="0.25">
      <c r="A81">
        <v>80</v>
      </c>
      <c r="B81">
        <v>80</v>
      </c>
      <c r="C81" t="s">
        <v>180</v>
      </c>
      <c r="D81">
        <v>59</v>
      </c>
      <c r="E81">
        <v>1</v>
      </c>
      <c r="F81">
        <v>61</v>
      </c>
      <c r="G81">
        <v>58.4</v>
      </c>
      <c r="H81">
        <v>92</v>
      </c>
      <c r="I81">
        <v>2</v>
      </c>
      <c r="J81">
        <v>2</v>
      </c>
      <c r="K81">
        <v>5</v>
      </c>
      <c r="L81">
        <v>3</v>
      </c>
      <c r="M81" s="4" t="s">
        <v>181</v>
      </c>
      <c r="N81">
        <v>1</v>
      </c>
      <c r="O81" s="4">
        <v>12</v>
      </c>
      <c r="P81">
        <v>1</v>
      </c>
      <c r="Q81" s="4">
        <v>7.41</v>
      </c>
      <c r="R81">
        <v>8.41</v>
      </c>
      <c r="S81" s="4">
        <v>6.78</v>
      </c>
      <c r="T81">
        <v>8.51</v>
      </c>
      <c r="U81">
        <v>1</v>
      </c>
      <c r="V81">
        <v>130</v>
      </c>
      <c r="W81">
        <v>80</v>
      </c>
      <c r="X81">
        <v>2</v>
      </c>
      <c r="AC81">
        <v>4</v>
      </c>
      <c r="AD81">
        <v>2</v>
      </c>
      <c r="AF81">
        <v>147</v>
      </c>
      <c r="AG81">
        <v>47.5</v>
      </c>
      <c r="AH81">
        <v>105.6</v>
      </c>
      <c r="AI81">
        <v>264.3</v>
      </c>
      <c r="AJ81" t="s">
        <v>182</v>
      </c>
      <c r="AK81" t="s">
        <v>15</v>
      </c>
      <c r="AM81" t="b">
        <f t="shared" si="1"/>
        <v>0</v>
      </c>
    </row>
    <row r="82" spans="1:39" x14ac:dyDescent="0.25">
      <c r="A82">
        <v>81</v>
      </c>
      <c r="B82">
        <v>81</v>
      </c>
      <c r="C82" t="s">
        <v>183</v>
      </c>
      <c r="D82">
        <v>55</v>
      </c>
      <c r="E82">
        <v>2</v>
      </c>
      <c r="F82">
        <v>60.5</v>
      </c>
      <c r="G82">
        <v>40.4</v>
      </c>
      <c r="H82">
        <v>83</v>
      </c>
      <c r="I82">
        <v>2</v>
      </c>
      <c r="J82">
        <v>2</v>
      </c>
      <c r="K82">
        <v>3</v>
      </c>
      <c r="L82">
        <v>1</v>
      </c>
      <c r="M82" s="4" t="s">
        <v>36</v>
      </c>
      <c r="N82">
        <v>2</v>
      </c>
      <c r="O82" s="4">
        <v>7</v>
      </c>
      <c r="P82">
        <v>1</v>
      </c>
      <c r="Q82" s="4">
        <v>7.53</v>
      </c>
      <c r="R82">
        <v>23.3</v>
      </c>
      <c r="S82">
        <v>17.32</v>
      </c>
      <c r="T82">
        <v>24.63</v>
      </c>
      <c r="U82">
        <v>1</v>
      </c>
      <c r="V82">
        <v>125</v>
      </c>
      <c r="W82">
        <v>85</v>
      </c>
      <c r="X82">
        <v>1</v>
      </c>
      <c r="Y82">
        <v>12</v>
      </c>
      <c r="Z82">
        <v>1</v>
      </c>
      <c r="AA82">
        <v>1</v>
      </c>
      <c r="AB82">
        <v>1</v>
      </c>
      <c r="AC82">
        <v>1</v>
      </c>
      <c r="AD82">
        <v>2</v>
      </c>
      <c r="AF82">
        <v>169</v>
      </c>
      <c r="AG82">
        <v>42</v>
      </c>
      <c r="AH82">
        <v>136</v>
      </c>
      <c r="AI82">
        <v>149</v>
      </c>
      <c r="AJ82" t="s">
        <v>13</v>
      </c>
      <c r="AK82" t="s">
        <v>15</v>
      </c>
      <c r="AM82" t="b">
        <f t="shared" si="1"/>
        <v>0</v>
      </c>
    </row>
    <row r="83" spans="1:39" x14ac:dyDescent="0.25">
      <c r="A83">
        <v>82</v>
      </c>
      <c r="B83">
        <v>82</v>
      </c>
      <c r="C83" t="s">
        <v>184</v>
      </c>
      <c r="D83">
        <v>33</v>
      </c>
      <c r="E83">
        <v>2</v>
      </c>
      <c r="F83">
        <v>59</v>
      </c>
      <c r="G83">
        <v>68.2</v>
      </c>
      <c r="H83">
        <v>105</v>
      </c>
      <c r="I83">
        <v>2</v>
      </c>
      <c r="J83">
        <v>2</v>
      </c>
      <c r="K83">
        <v>3</v>
      </c>
      <c r="L83">
        <v>1</v>
      </c>
      <c r="M83" s="4" t="s">
        <v>36</v>
      </c>
      <c r="N83">
        <v>1</v>
      </c>
      <c r="O83" s="4">
        <v>4</v>
      </c>
      <c r="P83">
        <v>1</v>
      </c>
      <c r="Q83" s="4">
        <v>7.23</v>
      </c>
      <c r="R83">
        <v>12.52</v>
      </c>
      <c r="S83">
        <v>10.19</v>
      </c>
      <c r="T83">
        <v>15.54</v>
      </c>
      <c r="U83">
        <v>1</v>
      </c>
      <c r="V83">
        <v>150</v>
      </c>
      <c r="W83">
        <v>90</v>
      </c>
      <c r="X83">
        <v>1</v>
      </c>
      <c r="Y83">
        <v>5</v>
      </c>
      <c r="Z83">
        <v>1</v>
      </c>
      <c r="AA83">
        <v>1</v>
      </c>
      <c r="AB83">
        <v>1</v>
      </c>
      <c r="AC83">
        <v>1</v>
      </c>
      <c r="AD83">
        <v>2</v>
      </c>
      <c r="AF83">
        <v>233</v>
      </c>
      <c r="AG83">
        <v>81</v>
      </c>
      <c r="AH83">
        <v>139.6</v>
      </c>
      <c r="AI83">
        <v>250.6</v>
      </c>
      <c r="AJ83" t="s">
        <v>13</v>
      </c>
      <c r="AK83" t="s">
        <v>15</v>
      </c>
      <c r="AM83" t="b">
        <f t="shared" si="1"/>
        <v>1</v>
      </c>
    </row>
    <row r="84" spans="1:39" x14ac:dyDescent="0.25">
      <c r="A84">
        <v>83</v>
      </c>
      <c r="B84">
        <v>83</v>
      </c>
      <c r="C84" t="s">
        <v>185</v>
      </c>
      <c r="D84">
        <v>50</v>
      </c>
      <c r="E84">
        <v>2</v>
      </c>
      <c r="F84">
        <v>60</v>
      </c>
      <c r="G84">
        <v>46</v>
      </c>
      <c r="H84">
        <v>88</v>
      </c>
      <c r="I84">
        <v>2</v>
      </c>
      <c r="J84">
        <v>2</v>
      </c>
      <c r="K84">
        <v>1</v>
      </c>
      <c r="L84">
        <v>1</v>
      </c>
      <c r="M84" s="4" t="s">
        <v>36</v>
      </c>
      <c r="N84">
        <v>1</v>
      </c>
      <c r="O84" s="4" t="s">
        <v>57</v>
      </c>
      <c r="P84">
        <v>5</v>
      </c>
      <c r="Q84" s="4">
        <v>5.87</v>
      </c>
      <c r="R84" s="7">
        <v>10.3</v>
      </c>
      <c r="S84">
        <v>8.15</v>
      </c>
      <c r="T84">
        <v>9.19</v>
      </c>
      <c r="U84">
        <v>2</v>
      </c>
      <c r="V84">
        <v>110</v>
      </c>
      <c r="W84">
        <v>70</v>
      </c>
      <c r="X84">
        <v>2</v>
      </c>
      <c r="AC84">
        <v>2</v>
      </c>
      <c r="AD84">
        <v>2</v>
      </c>
      <c r="AF84">
        <v>191</v>
      </c>
      <c r="AG84">
        <v>110.6</v>
      </c>
      <c r="AH84">
        <v>61.4</v>
      </c>
      <c r="AI84">
        <v>112</v>
      </c>
      <c r="AJ84" t="s">
        <v>13</v>
      </c>
      <c r="AK84" t="s">
        <v>15</v>
      </c>
      <c r="AM84" t="b">
        <f t="shared" si="1"/>
        <v>0</v>
      </c>
    </row>
    <row r="85" spans="1:39" x14ac:dyDescent="0.25">
      <c r="A85">
        <v>84</v>
      </c>
      <c r="B85">
        <v>84</v>
      </c>
      <c r="C85" t="s">
        <v>203</v>
      </c>
      <c r="D85">
        <v>40</v>
      </c>
      <c r="E85">
        <v>2</v>
      </c>
      <c r="F85">
        <v>56</v>
      </c>
      <c r="G85">
        <v>44.9</v>
      </c>
      <c r="H85">
        <v>91</v>
      </c>
      <c r="I85">
        <v>2</v>
      </c>
      <c r="J85">
        <v>2</v>
      </c>
      <c r="K85">
        <v>3</v>
      </c>
      <c r="L85">
        <v>1</v>
      </c>
      <c r="M85" s="4" t="s">
        <v>36</v>
      </c>
      <c r="N85">
        <v>2</v>
      </c>
      <c r="O85" s="4">
        <v>12</v>
      </c>
      <c r="P85">
        <v>1</v>
      </c>
      <c r="Q85" s="4">
        <v>8.84</v>
      </c>
      <c r="R85">
        <v>22.79</v>
      </c>
      <c r="S85">
        <v>10.6</v>
      </c>
      <c r="T85">
        <v>13.79</v>
      </c>
      <c r="U85">
        <v>1</v>
      </c>
      <c r="V85">
        <v>160</v>
      </c>
      <c r="W85">
        <v>95</v>
      </c>
      <c r="X85">
        <v>2</v>
      </c>
      <c r="AC85">
        <v>3</v>
      </c>
      <c r="AD85">
        <v>2</v>
      </c>
      <c r="AF85">
        <v>255</v>
      </c>
      <c r="AG85">
        <v>82.2</v>
      </c>
      <c r="AH85">
        <v>165.3</v>
      </c>
      <c r="AI85">
        <v>325</v>
      </c>
      <c r="AJ85" t="s">
        <v>14</v>
      </c>
      <c r="AK85" t="s">
        <v>15</v>
      </c>
      <c r="AL85" t="s">
        <v>146</v>
      </c>
      <c r="AM85" t="b">
        <f t="shared" si="1"/>
        <v>1</v>
      </c>
    </row>
    <row r="86" spans="1:39" x14ac:dyDescent="0.25">
      <c r="A86">
        <v>85</v>
      </c>
      <c r="B86">
        <v>85</v>
      </c>
      <c r="C86" t="s">
        <v>187</v>
      </c>
      <c r="D86">
        <v>50</v>
      </c>
      <c r="E86">
        <v>2</v>
      </c>
      <c r="F86">
        <v>60</v>
      </c>
      <c r="G86">
        <v>62.8</v>
      </c>
      <c r="H86">
        <v>107</v>
      </c>
      <c r="I86">
        <v>2</v>
      </c>
      <c r="J86">
        <v>2</v>
      </c>
      <c r="K86">
        <v>3</v>
      </c>
      <c r="L86">
        <v>2</v>
      </c>
      <c r="M86" s="4" t="s">
        <v>36</v>
      </c>
      <c r="N86">
        <v>1</v>
      </c>
      <c r="O86" s="4">
        <v>1</v>
      </c>
      <c r="P86">
        <v>1</v>
      </c>
      <c r="Q86" s="4">
        <v>7.14</v>
      </c>
      <c r="R86">
        <v>12.84</v>
      </c>
      <c r="S86">
        <v>10.4</v>
      </c>
      <c r="T86">
        <v>14.9</v>
      </c>
      <c r="U86">
        <v>2</v>
      </c>
      <c r="V86">
        <v>160</v>
      </c>
      <c r="W86">
        <v>90</v>
      </c>
      <c r="X86">
        <v>1</v>
      </c>
      <c r="Y86">
        <v>4</v>
      </c>
      <c r="Z86">
        <v>1</v>
      </c>
      <c r="AA86">
        <v>1</v>
      </c>
      <c r="AB86">
        <v>1</v>
      </c>
      <c r="AC86">
        <v>1</v>
      </c>
      <c r="AD86">
        <v>2</v>
      </c>
      <c r="AF86">
        <v>216</v>
      </c>
      <c r="AG86">
        <v>70.7</v>
      </c>
      <c r="AH86">
        <v>122.3</v>
      </c>
      <c r="AI86">
        <v>384.4</v>
      </c>
      <c r="AJ86" t="s">
        <v>13</v>
      </c>
      <c r="AK86" t="s">
        <v>15</v>
      </c>
      <c r="AM86" t="b">
        <f t="shared" si="1"/>
        <v>1</v>
      </c>
    </row>
    <row r="87" spans="1:39" x14ac:dyDescent="0.25">
      <c r="A87">
        <v>86</v>
      </c>
      <c r="B87">
        <v>86</v>
      </c>
      <c r="C87" t="s">
        <v>188</v>
      </c>
      <c r="D87">
        <v>48</v>
      </c>
      <c r="E87">
        <v>1</v>
      </c>
      <c r="F87">
        <v>61.5</v>
      </c>
      <c r="G87">
        <v>89</v>
      </c>
      <c r="H87">
        <v>104</v>
      </c>
      <c r="I87">
        <v>2</v>
      </c>
      <c r="J87">
        <v>2</v>
      </c>
      <c r="K87">
        <v>4</v>
      </c>
      <c r="L87">
        <v>2</v>
      </c>
      <c r="M87" s="4" t="s">
        <v>42</v>
      </c>
      <c r="N87">
        <v>1</v>
      </c>
      <c r="O87" s="4">
        <v>7</v>
      </c>
      <c r="P87">
        <v>1</v>
      </c>
      <c r="Q87" s="4">
        <v>5.51</v>
      </c>
      <c r="R87">
        <v>13.47</v>
      </c>
      <c r="S87">
        <v>9.58</v>
      </c>
      <c r="T87">
        <v>10.99</v>
      </c>
      <c r="U87">
        <v>1</v>
      </c>
      <c r="V87">
        <v>130</v>
      </c>
      <c r="W87">
        <v>90</v>
      </c>
      <c r="X87">
        <v>1</v>
      </c>
      <c r="Y87">
        <v>3</v>
      </c>
      <c r="Z87">
        <v>1</v>
      </c>
      <c r="AA87">
        <v>1</v>
      </c>
      <c r="AB87">
        <v>1</v>
      </c>
      <c r="AC87">
        <v>1</v>
      </c>
      <c r="AD87">
        <v>2</v>
      </c>
      <c r="AF87">
        <v>179</v>
      </c>
      <c r="AG87">
        <v>54</v>
      </c>
      <c r="AH87">
        <v>110.7</v>
      </c>
      <c r="AI87">
        <v>481</v>
      </c>
      <c r="AJ87" t="s">
        <v>189</v>
      </c>
      <c r="AK87" t="s">
        <v>168</v>
      </c>
      <c r="AM87" t="b">
        <f t="shared" si="1"/>
        <v>1</v>
      </c>
    </row>
    <row r="88" spans="1:39" x14ac:dyDescent="0.25">
      <c r="A88">
        <v>87</v>
      </c>
      <c r="B88">
        <v>87</v>
      </c>
      <c r="C88" t="s">
        <v>190</v>
      </c>
      <c r="D88">
        <v>73</v>
      </c>
      <c r="E88">
        <v>1</v>
      </c>
      <c r="F88">
        <v>64</v>
      </c>
      <c r="G88">
        <v>41.7</v>
      </c>
      <c r="H88">
        <v>80</v>
      </c>
      <c r="I88">
        <v>1</v>
      </c>
      <c r="J88">
        <v>4</v>
      </c>
      <c r="K88">
        <v>1</v>
      </c>
      <c r="L88">
        <v>1</v>
      </c>
      <c r="M88" s="4" t="s">
        <v>309</v>
      </c>
      <c r="N88">
        <v>1</v>
      </c>
      <c r="O88" s="4">
        <v>2</v>
      </c>
      <c r="P88">
        <v>1</v>
      </c>
      <c r="Q88" s="4">
        <v>7.23</v>
      </c>
      <c r="R88">
        <v>6.25</v>
      </c>
      <c r="S88">
        <v>7.76</v>
      </c>
      <c r="T88">
        <v>10.63</v>
      </c>
      <c r="U88">
        <v>2</v>
      </c>
      <c r="V88">
        <v>110</v>
      </c>
      <c r="W88">
        <v>90</v>
      </c>
      <c r="X88">
        <v>2</v>
      </c>
      <c r="AC88">
        <v>2</v>
      </c>
      <c r="AD88">
        <v>2</v>
      </c>
      <c r="AF88">
        <v>139.44</v>
      </c>
      <c r="AG88">
        <v>44.66</v>
      </c>
      <c r="AH88">
        <v>79.180000000000007</v>
      </c>
      <c r="AI88">
        <v>78</v>
      </c>
      <c r="AJ88" t="s">
        <v>198</v>
      </c>
      <c r="AK88" t="s">
        <v>199</v>
      </c>
      <c r="AM88" t="b">
        <f t="shared" si="1"/>
        <v>1</v>
      </c>
    </row>
    <row r="89" spans="1:39" x14ac:dyDescent="0.25">
      <c r="A89">
        <v>88</v>
      </c>
      <c r="B89">
        <v>88</v>
      </c>
      <c r="C89" t="s">
        <v>191</v>
      </c>
      <c r="D89">
        <v>58</v>
      </c>
      <c r="E89">
        <v>1</v>
      </c>
      <c r="F89">
        <v>63</v>
      </c>
      <c r="G89">
        <v>46</v>
      </c>
      <c r="H89">
        <v>90</v>
      </c>
      <c r="I89">
        <v>1</v>
      </c>
      <c r="J89">
        <v>2</v>
      </c>
      <c r="K89">
        <v>3</v>
      </c>
      <c r="L89">
        <v>1</v>
      </c>
      <c r="M89" s="4" t="s">
        <v>308</v>
      </c>
      <c r="N89">
        <v>1</v>
      </c>
      <c r="O89" s="4">
        <v>5</v>
      </c>
      <c r="P89">
        <v>1</v>
      </c>
      <c r="Q89" s="4">
        <v>7.21</v>
      </c>
      <c r="R89">
        <v>32.799999999999997</v>
      </c>
      <c r="S89">
        <v>10.6</v>
      </c>
      <c r="T89">
        <v>10.48</v>
      </c>
      <c r="U89">
        <v>1</v>
      </c>
      <c r="V89">
        <v>120</v>
      </c>
      <c r="W89">
        <v>70</v>
      </c>
      <c r="X89">
        <v>2</v>
      </c>
      <c r="AC89">
        <v>2</v>
      </c>
      <c r="AD89">
        <v>1</v>
      </c>
      <c r="AE89" t="s">
        <v>192</v>
      </c>
      <c r="AF89">
        <v>140</v>
      </c>
      <c r="AG89">
        <v>35</v>
      </c>
      <c r="AH89">
        <v>80</v>
      </c>
      <c r="AI89">
        <v>94.9</v>
      </c>
      <c r="AJ89" t="s">
        <v>193</v>
      </c>
      <c r="AK89" t="s">
        <v>194</v>
      </c>
      <c r="AM89" t="b">
        <f t="shared" si="1"/>
        <v>0</v>
      </c>
    </row>
    <row r="90" spans="1:39" x14ac:dyDescent="0.25">
      <c r="A90">
        <v>89</v>
      </c>
      <c r="B90">
        <v>89</v>
      </c>
      <c r="C90" t="s">
        <v>195</v>
      </c>
      <c r="D90">
        <v>65</v>
      </c>
      <c r="E90">
        <v>1</v>
      </c>
      <c r="F90">
        <v>71</v>
      </c>
      <c r="G90">
        <v>106</v>
      </c>
      <c r="H90">
        <v>104</v>
      </c>
      <c r="I90">
        <v>2</v>
      </c>
      <c r="J90">
        <v>2</v>
      </c>
      <c r="K90">
        <v>4</v>
      </c>
      <c r="L90">
        <v>3</v>
      </c>
      <c r="M90" s="4" t="s">
        <v>68</v>
      </c>
      <c r="N90">
        <v>2</v>
      </c>
      <c r="O90" s="4">
        <v>5</v>
      </c>
      <c r="P90">
        <v>1</v>
      </c>
      <c r="Q90" s="4">
        <v>7.58</v>
      </c>
      <c r="R90">
        <v>8.33</v>
      </c>
      <c r="S90" s="4">
        <v>10.57</v>
      </c>
      <c r="T90">
        <v>16.39</v>
      </c>
      <c r="U90" s="4">
        <v>2</v>
      </c>
      <c r="V90">
        <v>140</v>
      </c>
      <c r="W90" s="4">
        <v>95</v>
      </c>
      <c r="X90">
        <v>1</v>
      </c>
      <c r="Y90" s="4">
        <v>3</v>
      </c>
      <c r="Z90">
        <v>1</v>
      </c>
      <c r="AA90" s="4">
        <v>1</v>
      </c>
      <c r="AB90">
        <v>1</v>
      </c>
      <c r="AC90" s="4">
        <v>2</v>
      </c>
      <c r="AD90">
        <v>1</v>
      </c>
      <c r="AE90" t="s">
        <v>93</v>
      </c>
      <c r="AF90">
        <v>98</v>
      </c>
      <c r="AG90">
        <v>50</v>
      </c>
      <c r="AH90">
        <v>52</v>
      </c>
      <c r="AI90">
        <v>87</v>
      </c>
      <c r="AJ90" t="s">
        <v>196</v>
      </c>
      <c r="AK90" t="s">
        <v>197</v>
      </c>
      <c r="AM90" t="b">
        <f t="shared" si="1"/>
        <v>1</v>
      </c>
    </row>
    <row r="91" spans="1:39" x14ac:dyDescent="0.25">
      <c r="A91">
        <v>90</v>
      </c>
      <c r="B91">
        <v>90</v>
      </c>
      <c r="C91" t="s">
        <v>186</v>
      </c>
      <c r="D91">
        <v>21</v>
      </c>
      <c r="E91">
        <v>2</v>
      </c>
      <c r="F91">
        <v>58</v>
      </c>
      <c r="G91">
        <v>64.099999999999994</v>
      </c>
      <c r="H91">
        <v>97</v>
      </c>
      <c r="I91">
        <v>2</v>
      </c>
      <c r="J91">
        <v>2</v>
      </c>
      <c r="K91">
        <v>1</v>
      </c>
      <c r="L91">
        <v>1</v>
      </c>
      <c r="M91" s="4" t="s">
        <v>36</v>
      </c>
      <c r="N91">
        <v>1</v>
      </c>
      <c r="O91" s="4" t="s">
        <v>57</v>
      </c>
      <c r="P91">
        <v>5</v>
      </c>
      <c r="Q91" s="4">
        <v>7.41</v>
      </c>
      <c r="R91">
        <v>8.33</v>
      </c>
      <c r="S91" s="4">
        <v>12.57</v>
      </c>
      <c r="T91">
        <v>18.12</v>
      </c>
      <c r="U91" s="4">
        <v>2</v>
      </c>
      <c r="V91">
        <v>140</v>
      </c>
      <c r="W91" s="4">
        <v>95</v>
      </c>
      <c r="X91">
        <v>2</v>
      </c>
      <c r="AC91">
        <v>4</v>
      </c>
      <c r="AD91">
        <v>2</v>
      </c>
      <c r="AF91">
        <v>266</v>
      </c>
      <c r="AG91">
        <v>87.3</v>
      </c>
      <c r="AH91">
        <v>137.5</v>
      </c>
      <c r="AI91">
        <v>259.60000000000002</v>
      </c>
      <c r="AJ91" t="s">
        <v>13</v>
      </c>
      <c r="AK91" t="s">
        <v>15</v>
      </c>
      <c r="AL91" t="s">
        <v>200</v>
      </c>
      <c r="AM91" t="b">
        <f t="shared" si="1"/>
        <v>1</v>
      </c>
    </row>
    <row r="92" spans="1:39" x14ac:dyDescent="0.25">
      <c r="A92">
        <v>91</v>
      </c>
      <c r="B92">
        <v>91</v>
      </c>
      <c r="C92" t="s">
        <v>201</v>
      </c>
      <c r="D92">
        <v>55</v>
      </c>
      <c r="E92">
        <v>2</v>
      </c>
      <c r="F92">
        <v>60</v>
      </c>
      <c r="G92">
        <v>52.2</v>
      </c>
      <c r="H92">
        <v>95</v>
      </c>
      <c r="I92">
        <v>2</v>
      </c>
      <c r="J92">
        <v>2</v>
      </c>
      <c r="K92">
        <v>3</v>
      </c>
      <c r="L92">
        <v>1</v>
      </c>
      <c r="M92" s="4" t="s">
        <v>36</v>
      </c>
      <c r="N92">
        <v>1</v>
      </c>
      <c r="O92" s="4">
        <v>11</v>
      </c>
      <c r="P92">
        <v>1</v>
      </c>
      <c r="Q92" s="4">
        <v>7.81</v>
      </c>
      <c r="R92">
        <v>21.73</v>
      </c>
      <c r="S92">
        <v>10.74</v>
      </c>
      <c r="T92">
        <v>18.14</v>
      </c>
      <c r="U92">
        <v>1</v>
      </c>
      <c r="V92">
        <v>135</v>
      </c>
      <c r="W92">
        <v>90</v>
      </c>
      <c r="X92">
        <v>2</v>
      </c>
      <c r="AC92">
        <v>2</v>
      </c>
      <c r="AD92">
        <v>2</v>
      </c>
      <c r="AF92">
        <v>167</v>
      </c>
      <c r="AG92">
        <v>44.6</v>
      </c>
      <c r="AH92">
        <v>85.3</v>
      </c>
      <c r="AI92">
        <v>217.1</v>
      </c>
      <c r="AJ92" t="s">
        <v>13</v>
      </c>
      <c r="AK92" t="s">
        <v>15</v>
      </c>
      <c r="AM92" t="b">
        <f t="shared" si="1"/>
        <v>1</v>
      </c>
    </row>
    <row r="93" spans="1:39" x14ac:dyDescent="0.25">
      <c r="A93">
        <v>92</v>
      </c>
      <c r="B93">
        <v>92</v>
      </c>
      <c r="C93" t="s">
        <v>202</v>
      </c>
      <c r="D93">
        <v>35</v>
      </c>
      <c r="E93">
        <v>2</v>
      </c>
      <c r="F93">
        <v>58</v>
      </c>
      <c r="G93">
        <v>59.4</v>
      </c>
      <c r="H93">
        <v>97</v>
      </c>
      <c r="I93">
        <v>2</v>
      </c>
      <c r="J93">
        <v>2</v>
      </c>
      <c r="K93">
        <v>1</v>
      </c>
      <c r="L93">
        <v>1</v>
      </c>
      <c r="M93" s="4" t="s">
        <v>36</v>
      </c>
      <c r="N93">
        <v>1</v>
      </c>
      <c r="O93" s="4" t="s">
        <v>57</v>
      </c>
      <c r="P93">
        <v>5</v>
      </c>
      <c r="Q93" s="4">
        <v>7.88</v>
      </c>
      <c r="R93">
        <v>14.3</v>
      </c>
      <c r="S93" s="4">
        <v>6.86</v>
      </c>
      <c r="T93">
        <v>11.85</v>
      </c>
      <c r="U93">
        <v>2</v>
      </c>
      <c r="V93">
        <v>115</v>
      </c>
      <c r="W93">
        <v>80</v>
      </c>
      <c r="X93">
        <v>2</v>
      </c>
      <c r="AC93">
        <v>2</v>
      </c>
      <c r="AD93">
        <v>2</v>
      </c>
      <c r="AF93">
        <v>224</v>
      </c>
      <c r="AG93">
        <v>64.2</v>
      </c>
      <c r="AH93">
        <v>115</v>
      </c>
      <c r="AI93">
        <v>252.1</v>
      </c>
      <c r="AJ93" t="s">
        <v>13</v>
      </c>
      <c r="AK93" t="s">
        <v>15</v>
      </c>
      <c r="AM93" t="b">
        <f t="shared" si="1"/>
        <v>0</v>
      </c>
    </row>
    <row r="94" spans="1:39" x14ac:dyDescent="0.25">
      <c r="A94">
        <v>93</v>
      </c>
      <c r="B94">
        <v>93</v>
      </c>
      <c r="C94" t="s">
        <v>35</v>
      </c>
      <c r="D94">
        <v>45</v>
      </c>
      <c r="E94">
        <v>2</v>
      </c>
      <c r="F94">
        <v>57</v>
      </c>
      <c r="G94">
        <v>64</v>
      </c>
      <c r="H94">
        <v>92</v>
      </c>
      <c r="I94">
        <v>2</v>
      </c>
      <c r="J94">
        <v>2</v>
      </c>
      <c r="K94">
        <v>1</v>
      </c>
      <c r="L94">
        <v>1</v>
      </c>
      <c r="M94" s="4" t="s">
        <v>36</v>
      </c>
      <c r="N94">
        <v>1</v>
      </c>
      <c r="O94" s="4">
        <v>11</v>
      </c>
      <c r="P94">
        <v>1</v>
      </c>
      <c r="Q94" s="4">
        <v>9.51</v>
      </c>
      <c r="R94">
        <v>34.07</v>
      </c>
      <c r="S94">
        <v>10.86</v>
      </c>
      <c r="T94">
        <v>14.4</v>
      </c>
      <c r="U94">
        <v>1</v>
      </c>
      <c r="V94">
        <v>125</v>
      </c>
      <c r="W94">
        <v>75</v>
      </c>
      <c r="X94">
        <v>1</v>
      </c>
      <c r="Y94">
        <v>13</v>
      </c>
      <c r="Z94">
        <v>1</v>
      </c>
      <c r="AA94">
        <v>1</v>
      </c>
      <c r="AB94">
        <v>1</v>
      </c>
      <c r="AC94">
        <v>1</v>
      </c>
      <c r="AD94">
        <v>2</v>
      </c>
      <c r="AF94">
        <v>361</v>
      </c>
      <c r="AG94">
        <v>76</v>
      </c>
      <c r="AH94">
        <v>197.6</v>
      </c>
      <c r="AI94">
        <v>268.8</v>
      </c>
      <c r="AJ94" t="s">
        <v>72</v>
      </c>
      <c r="AK94" t="s">
        <v>204</v>
      </c>
      <c r="AM94" t="b">
        <f t="shared" si="1"/>
        <v>0</v>
      </c>
    </row>
    <row r="95" spans="1:39" x14ac:dyDescent="0.25">
      <c r="A95">
        <v>94</v>
      </c>
      <c r="B95">
        <v>94</v>
      </c>
      <c r="C95" t="s">
        <v>205</v>
      </c>
      <c r="D95">
        <v>52</v>
      </c>
      <c r="E95">
        <v>2</v>
      </c>
      <c r="F95">
        <v>60</v>
      </c>
      <c r="G95">
        <v>59.4</v>
      </c>
      <c r="H95">
        <v>88</v>
      </c>
      <c r="I95">
        <v>2</v>
      </c>
      <c r="J95">
        <v>1</v>
      </c>
      <c r="K95">
        <v>2</v>
      </c>
      <c r="L95">
        <v>2</v>
      </c>
      <c r="M95" s="4" t="s">
        <v>36</v>
      </c>
      <c r="N95">
        <v>1</v>
      </c>
      <c r="O95" s="4">
        <v>10</v>
      </c>
      <c r="P95">
        <v>3</v>
      </c>
      <c r="Q95" s="4">
        <v>7.48</v>
      </c>
      <c r="R95">
        <v>18</v>
      </c>
      <c r="S95">
        <v>8.33</v>
      </c>
      <c r="T95">
        <v>10.44</v>
      </c>
      <c r="U95">
        <v>1</v>
      </c>
      <c r="V95">
        <v>140</v>
      </c>
      <c r="W95">
        <v>90</v>
      </c>
      <c r="X95">
        <v>1</v>
      </c>
      <c r="Y95">
        <v>1</v>
      </c>
      <c r="Z95">
        <v>1</v>
      </c>
      <c r="AA95">
        <v>1</v>
      </c>
      <c r="AB95">
        <v>1</v>
      </c>
      <c r="AC95">
        <v>2</v>
      </c>
      <c r="AD95">
        <v>1</v>
      </c>
      <c r="AE95" t="s">
        <v>93</v>
      </c>
      <c r="AF95">
        <v>224</v>
      </c>
      <c r="AG95">
        <v>44.66</v>
      </c>
      <c r="AH95">
        <v>52</v>
      </c>
      <c r="AI95">
        <v>184.4</v>
      </c>
      <c r="AJ95" t="s">
        <v>206</v>
      </c>
      <c r="AK95" t="s">
        <v>207</v>
      </c>
      <c r="AM95" t="b">
        <f t="shared" si="1"/>
        <v>1</v>
      </c>
    </row>
    <row r="96" spans="1:39" x14ac:dyDescent="0.25">
      <c r="A96">
        <v>95</v>
      </c>
      <c r="B96">
        <v>95</v>
      </c>
      <c r="C96" t="s">
        <v>208</v>
      </c>
      <c r="D96">
        <v>37</v>
      </c>
      <c r="E96">
        <v>1</v>
      </c>
      <c r="F96">
        <v>62</v>
      </c>
      <c r="G96">
        <v>62</v>
      </c>
      <c r="H96">
        <v>91</v>
      </c>
      <c r="I96">
        <v>2</v>
      </c>
      <c r="J96">
        <v>1</v>
      </c>
      <c r="K96">
        <v>5</v>
      </c>
      <c r="L96">
        <v>2</v>
      </c>
      <c r="M96" s="4" t="s">
        <v>308</v>
      </c>
      <c r="N96">
        <v>1</v>
      </c>
      <c r="O96" s="4" t="s">
        <v>57</v>
      </c>
      <c r="P96">
        <v>5</v>
      </c>
      <c r="Q96" s="4">
        <v>7.47</v>
      </c>
      <c r="R96">
        <v>6.25</v>
      </c>
      <c r="S96" s="4">
        <v>8.0299999999999994</v>
      </c>
      <c r="T96">
        <v>10.31</v>
      </c>
      <c r="U96" s="4">
        <v>2</v>
      </c>
      <c r="V96">
        <v>110</v>
      </c>
      <c r="W96" s="4">
        <v>70</v>
      </c>
      <c r="X96">
        <v>2</v>
      </c>
      <c r="AC96">
        <v>4</v>
      </c>
      <c r="AD96">
        <v>2</v>
      </c>
      <c r="AF96">
        <v>198</v>
      </c>
      <c r="AG96">
        <v>35</v>
      </c>
      <c r="AH96">
        <v>137.5</v>
      </c>
      <c r="AI96">
        <v>481</v>
      </c>
      <c r="AJ96" t="s">
        <v>13</v>
      </c>
      <c r="AK96" t="s">
        <v>209</v>
      </c>
      <c r="AL96" t="s">
        <v>170</v>
      </c>
      <c r="AM96" t="b">
        <f t="shared" si="1"/>
        <v>0</v>
      </c>
    </row>
    <row r="97" spans="1:39" x14ac:dyDescent="0.25">
      <c r="A97">
        <v>96</v>
      </c>
      <c r="B97">
        <v>96</v>
      </c>
      <c r="C97" t="s">
        <v>210</v>
      </c>
      <c r="D97">
        <v>60</v>
      </c>
      <c r="E97">
        <v>2</v>
      </c>
      <c r="F97">
        <v>52</v>
      </c>
      <c r="G97">
        <v>36</v>
      </c>
      <c r="H97">
        <v>84</v>
      </c>
      <c r="I97">
        <v>2</v>
      </c>
      <c r="J97">
        <v>2</v>
      </c>
      <c r="K97">
        <v>1</v>
      </c>
      <c r="L97">
        <v>1</v>
      </c>
      <c r="M97" s="4" t="s">
        <v>117</v>
      </c>
      <c r="N97">
        <v>1</v>
      </c>
      <c r="O97" s="4">
        <v>7</v>
      </c>
      <c r="P97">
        <v>1</v>
      </c>
      <c r="Q97" s="4">
        <v>5.94</v>
      </c>
      <c r="R97">
        <v>7.48</v>
      </c>
      <c r="S97">
        <v>7.18</v>
      </c>
      <c r="T97">
        <v>11.73</v>
      </c>
      <c r="U97">
        <v>2</v>
      </c>
      <c r="V97">
        <v>150</v>
      </c>
      <c r="W97">
        <v>85</v>
      </c>
      <c r="X97">
        <v>2</v>
      </c>
      <c r="AC97">
        <v>5</v>
      </c>
      <c r="AD97">
        <v>2</v>
      </c>
      <c r="AF97">
        <v>210</v>
      </c>
      <c r="AG97">
        <v>50</v>
      </c>
      <c r="AH97">
        <v>85.3</v>
      </c>
      <c r="AI97">
        <v>78</v>
      </c>
      <c r="AJ97" t="s">
        <v>211</v>
      </c>
      <c r="AK97" t="s">
        <v>121</v>
      </c>
      <c r="AL97" t="s">
        <v>146</v>
      </c>
      <c r="AM97" t="b">
        <f t="shared" si="1"/>
        <v>0</v>
      </c>
    </row>
    <row r="98" spans="1:39" x14ac:dyDescent="0.25">
      <c r="A98">
        <v>97</v>
      </c>
      <c r="B98">
        <v>97</v>
      </c>
      <c r="C98" t="s">
        <v>212</v>
      </c>
      <c r="D98">
        <v>28</v>
      </c>
      <c r="E98">
        <v>2</v>
      </c>
      <c r="F98">
        <v>59</v>
      </c>
      <c r="G98">
        <v>72.599999999999994</v>
      </c>
      <c r="H98">
        <v>101</v>
      </c>
      <c r="I98">
        <v>2</v>
      </c>
      <c r="J98">
        <v>2</v>
      </c>
      <c r="K98">
        <v>3</v>
      </c>
      <c r="L98">
        <v>3</v>
      </c>
      <c r="M98" s="4" t="s">
        <v>36</v>
      </c>
      <c r="N98">
        <v>1</v>
      </c>
      <c r="O98" s="4" t="s">
        <v>57</v>
      </c>
      <c r="P98">
        <v>5</v>
      </c>
      <c r="Q98" s="4">
        <v>6.83</v>
      </c>
      <c r="R98">
        <v>6.25</v>
      </c>
      <c r="S98">
        <v>8.59</v>
      </c>
      <c r="T98">
        <v>11.99</v>
      </c>
      <c r="U98">
        <v>1</v>
      </c>
      <c r="V98">
        <v>120</v>
      </c>
      <c r="W98">
        <v>80</v>
      </c>
      <c r="X98">
        <v>2</v>
      </c>
      <c r="AC98">
        <v>3</v>
      </c>
      <c r="AD98">
        <v>2</v>
      </c>
      <c r="AF98">
        <v>180</v>
      </c>
      <c r="AG98">
        <v>87.3</v>
      </c>
      <c r="AH98">
        <v>115</v>
      </c>
      <c r="AI98">
        <v>94.9</v>
      </c>
      <c r="AJ98" t="s">
        <v>53</v>
      </c>
      <c r="AK98" t="s">
        <v>15</v>
      </c>
      <c r="AL98" t="s">
        <v>170</v>
      </c>
      <c r="AM98" t="b">
        <f t="shared" si="1"/>
        <v>0</v>
      </c>
    </row>
    <row r="99" spans="1:39" x14ac:dyDescent="0.25">
      <c r="A99">
        <v>98</v>
      </c>
      <c r="B99">
        <v>98</v>
      </c>
      <c r="C99" t="s">
        <v>213</v>
      </c>
      <c r="D99">
        <v>27</v>
      </c>
      <c r="E99">
        <v>2</v>
      </c>
      <c r="F99">
        <v>61.5</v>
      </c>
      <c r="G99">
        <v>46.8</v>
      </c>
      <c r="H99">
        <v>78</v>
      </c>
      <c r="I99">
        <v>2</v>
      </c>
      <c r="J99">
        <v>3</v>
      </c>
      <c r="K99">
        <v>2</v>
      </c>
      <c r="L99">
        <v>2</v>
      </c>
      <c r="M99" s="4" t="s">
        <v>214</v>
      </c>
      <c r="N99">
        <v>1</v>
      </c>
      <c r="O99" s="4">
        <v>6</v>
      </c>
      <c r="P99">
        <v>1</v>
      </c>
      <c r="Q99" s="4">
        <v>7.9</v>
      </c>
      <c r="R99">
        <v>6.09</v>
      </c>
      <c r="S99" s="4">
        <v>7.06</v>
      </c>
      <c r="T99">
        <v>10.01</v>
      </c>
      <c r="U99">
        <v>2</v>
      </c>
      <c r="V99">
        <v>120</v>
      </c>
      <c r="W99">
        <v>70</v>
      </c>
      <c r="X99">
        <v>2</v>
      </c>
      <c r="AC99">
        <v>2</v>
      </c>
      <c r="AD99">
        <v>2</v>
      </c>
      <c r="AF99">
        <v>294</v>
      </c>
      <c r="AG99">
        <v>44.6</v>
      </c>
      <c r="AH99">
        <v>197.6</v>
      </c>
      <c r="AI99">
        <v>474.7</v>
      </c>
      <c r="AJ99" t="s">
        <v>13</v>
      </c>
      <c r="AK99" t="s">
        <v>15</v>
      </c>
      <c r="AM99" t="b">
        <f t="shared" si="1"/>
        <v>0</v>
      </c>
    </row>
    <row r="100" spans="1:39" x14ac:dyDescent="0.25">
      <c r="A100">
        <v>99</v>
      </c>
      <c r="B100">
        <v>99</v>
      </c>
      <c r="C100" t="s">
        <v>215</v>
      </c>
      <c r="D100">
        <v>46</v>
      </c>
      <c r="E100">
        <v>1</v>
      </c>
      <c r="F100">
        <v>65</v>
      </c>
      <c r="G100">
        <v>58</v>
      </c>
      <c r="H100">
        <v>89</v>
      </c>
      <c r="I100">
        <v>2</v>
      </c>
      <c r="J100">
        <v>3</v>
      </c>
      <c r="K100">
        <v>2</v>
      </c>
      <c r="L100">
        <v>1</v>
      </c>
      <c r="M100" s="4" t="s">
        <v>214</v>
      </c>
      <c r="N100">
        <v>1</v>
      </c>
      <c r="O100" s="4">
        <v>4</v>
      </c>
      <c r="P100">
        <v>5</v>
      </c>
      <c r="Q100" s="4">
        <v>5.8</v>
      </c>
      <c r="R100">
        <v>19.3</v>
      </c>
      <c r="S100">
        <v>8.1199999999999992</v>
      </c>
      <c r="T100">
        <v>11.89</v>
      </c>
      <c r="U100">
        <v>2</v>
      </c>
      <c r="V100">
        <v>120</v>
      </c>
      <c r="W100">
        <v>80</v>
      </c>
      <c r="X100">
        <v>2</v>
      </c>
      <c r="AD100">
        <v>1</v>
      </c>
      <c r="AF100">
        <v>210</v>
      </c>
      <c r="AG100">
        <v>64.2</v>
      </c>
      <c r="AH100">
        <v>52</v>
      </c>
      <c r="AI100">
        <v>94.9</v>
      </c>
      <c r="AJ100" t="s">
        <v>13</v>
      </c>
      <c r="AK100" t="s">
        <v>216</v>
      </c>
      <c r="AM100" t="b">
        <f t="shared" si="1"/>
        <v>0</v>
      </c>
    </row>
    <row r="101" spans="1:39" x14ac:dyDescent="0.25">
      <c r="A101">
        <v>100</v>
      </c>
      <c r="B101">
        <v>100</v>
      </c>
      <c r="C101" t="s">
        <v>217</v>
      </c>
      <c r="D101">
        <v>43</v>
      </c>
      <c r="E101">
        <v>1</v>
      </c>
      <c r="F101">
        <v>63</v>
      </c>
      <c r="G101">
        <v>61.4</v>
      </c>
      <c r="H101">
        <v>89</v>
      </c>
      <c r="I101">
        <v>1</v>
      </c>
      <c r="J101">
        <v>2</v>
      </c>
      <c r="K101">
        <v>2</v>
      </c>
      <c r="L101">
        <v>3</v>
      </c>
      <c r="M101" s="4" t="s">
        <v>24</v>
      </c>
      <c r="N101">
        <v>1</v>
      </c>
      <c r="O101" s="4">
        <v>1</v>
      </c>
      <c r="P101">
        <v>1</v>
      </c>
      <c r="Q101" s="4">
        <v>7.59</v>
      </c>
      <c r="R101">
        <v>11.92</v>
      </c>
      <c r="S101">
        <v>10.75</v>
      </c>
      <c r="T101">
        <v>14.05</v>
      </c>
      <c r="U101">
        <v>2</v>
      </c>
      <c r="V101">
        <v>110</v>
      </c>
      <c r="W101">
        <v>80</v>
      </c>
      <c r="X101">
        <v>2</v>
      </c>
      <c r="AC101">
        <v>4</v>
      </c>
      <c r="AD101">
        <v>1</v>
      </c>
      <c r="AE101" t="s">
        <v>66</v>
      </c>
      <c r="AF101">
        <v>208</v>
      </c>
      <c r="AG101">
        <v>76</v>
      </c>
      <c r="AH101">
        <v>137.5</v>
      </c>
      <c r="AI101">
        <v>180.2</v>
      </c>
      <c r="AJ101" t="s">
        <v>218</v>
      </c>
      <c r="AK101" t="s">
        <v>219</v>
      </c>
      <c r="AM101" t="b">
        <f t="shared" si="1"/>
        <v>0</v>
      </c>
    </row>
    <row r="102" spans="1:39" x14ac:dyDescent="0.25">
      <c r="A102">
        <v>101</v>
      </c>
      <c r="B102">
        <v>101</v>
      </c>
      <c r="C102" t="s">
        <v>220</v>
      </c>
      <c r="D102">
        <v>70</v>
      </c>
      <c r="E102">
        <v>2</v>
      </c>
      <c r="F102">
        <v>55</v>
      </c>
      <c r="G102">
        <v>47</v>
      </c>
      <c r="H102">
        <v>91</v>
      </c>
      <c r="I102">
        <v>2</v>
      </c>
      <c r="J102">
        <v>1</v>
      </c>
      <c r="K102">
        <v>1</v>
      </c>
      <c r="L102">
        <v>2</v>
      </c>
      <c r="M102" s="4" t="s">
        <v>117</v>
      </c>
      <c r="N102">
        <v>2</v>
      </c>
      <c r="O102" s="4">
        <v>10</v>
      </c>
      <c r="P102">
        <v>1</v>
      </c>
      <c r="Q102" s="4">
        <v>7.75</v>
      </c>
      <c r="R102">
        <v>11.7</v>
      </c>
      <c r="S102">
        <v>10.050000000000001</v>
      </c>
      <c r="T102">
        <v>15.05</v>
      </c>
      <c r="U102">
        <v>1</v>
      </c>
      <c r="V102">
        <v>170</v>
      </c>
      <c r="W102">
        <v>100</v>
      </c>
      <c r="X102">
        <v>1</v>
      </c>
      <c r="Y102">
        <v>10</v>
      </c>
      <c r="Z102">
        <v>1</v>
      </c>
      <c r="AA102">
        <v>1</v>
      </c>
      <c r="AB102">
        <v>1</v>
      </c>
      <c r="AC102">
        <v>2</v>
      </c>
      <c r="AD102">
        <v>2</v>
      </c>
      <c r="AF102">
        <v>158</v>
      </c>
      <c r="AG102">
        <v>44.66</v>
      </c>
      <c r="AH102">
        <v>85.3</v>
      </c>
      <c r="AI102">
        <v>184.4</v>
      </c>
      <c r="AJ102" t="s">
        <v>168</v>
      </c>
      <c r="AK102" t="s">
        <v>221</v>
      </c>
      <c r="AM102" t="b">
        <f t="shared" si="1"/>
        <v>1</v>
      </c>
    </row>
    <row r="103" spans="1:39" x14ac:dyDescent="0.25">
      <c r="A103">
        <v>102</v>
      </c>
      <c r="B103">
        <v>102</v>
      </c>
      <c r="C103" t="s">
        <v>222</v>
      </c>
      <c r="D103">
        <v>47</v>
      </c>
      <c r="E103">
        <v>2</v>
      </c>
      <c r="F103">
        <v>58</v>
      </c>
      <c r="G103">
        <v>82</v>
      </c>
      <c r="H103">
        <v>110</v>
      </c>
      <c r="I103">
        <v>2</v>
      </c>
      <c r="J103">
        <v>1</v>
      </c>
      <c r="K103">
        <v>3</v>
      </c>
      <c r="L103">
        <v>4</v>
      </c>
      <c r="M103" s="4" t="s">
        <v>36</v>
      </c>
      <c r="N103">
        <v>1</v>
      </c>
      <c r="O103" s="4">
        <v>5</v>
      </c>
      <c r="P103">
        <v>1</v>
      </c>
      <c r="Q103" s="4">
        <v>5.53</v>
      </c>
      <c r="R103">
        <v>12.6</v>
      </c>
      <c r="S103">
        <v>7.95</v>
      </c>
      <c r="T103">
        <v>8.61</v>
      </c>
      <c r="U103">
        <v>2</v>
      </c>
      <c r="V103">
        <v>110</v>
      </c>
      <c r="W103">
        <v>70</v>
      </c>
      <c r="X103">
        <v>1</v>
      </c>
      <c r="Y103">
        <v>5</v>
      </c>
      <c r="Z103">
        <v>1</v>
      </c>
      <c r="AA103">
        <v>1</v>
      </c>
      <c r="AB103">
        <v>1</v>
      </c>
      <c r="AC103">
        <v>1</v>
      </c>
      <c r="AD103">
        <v>1</v>
      </c>
      <c r="AE103" t="s">
        <v>93</v>
      </c>
      <c r="AF103">
        <v>160</v>
      </c>
      <c r="AG103">
        <v>35</v>
      </c>
      <c r="AH103">
        <v>115</v>
      </c>
      <c r="AI103">
        <v>481</v>
      </c>
      <c r="AJ103" t="s">
        <v>224</v>
      </c>
      <c r="AK103" t="s">
        <v>223</v>
      </c>
      <c r="AM103" t="b">
        <f t="shared" si="1"/>
        <v>0</v>
      </c>
    </row>
    <row r="104" spans="1:39" x14ac:dyDescent="0.25">
      <c r="A104">
        <v>103</v>
      </c>
      <c r="B104">
        <v>103</v>
      </c>
      <c r="C104" t="s">
        <v>225</v>
      </c>
      <c r="D104">
        <v>39</v>
      </c>
      <c r="E104">
        <v>2</v>
      </c>
      <c r="F104">
        <v>62</v>
      </c>
      <c r="G104">
        <v>57.7</v>
      </c>
      <c r="H104">
        <v>85</v>
      </c>
      <c r="I104">
        <v>2</v>
      </c>
      <c r="J104">
        <v>3</v>
      </c>
      <c r="K104">
        <v>5</v>
      </c>
      <c r="L104">
        <v>3</v>
      </c>
      <c r="M104" s="4" t="s">
        <v>226</v>
      </c>
      <c r="N104">
        <v>1</v>
      </c>
      <c r="O104" s="4">
        <v>1</v>
      </c>
      <c r="P104">
        <v>1</v>
      </c>
      <c r="Q104" s="4">
        <v>7.03</v>
      </c>
      <c r="R104">
        <v>7.1</v>
      </c>
      <c r="S104">
        <v>9.69</v>
      </c>
      <c r="T104">
        <v>10.050000000000001</v>
      </c>
      <c r="U104">
        <v>2</v>
      </c>
      <c r="V104">
        <v>110</v>
      </c>
      <c r="W104">
        <v>70</v>
      </c>
      <c r="X104">
        <v>2</v>
      </c>
      <c r="AC104">
        <v>2</v>
      </c>
      <c r="AD104">
        <v>2</v>
      </c>
      <c r="AF104">
        <v>139</v>
      </c>
      <c r="AG104">
        <v>50</v>
      </c>
      <c r="AH104">
        <v>197.6</v>
      </c>
      <c r="AI104">
        <v>78</v>
      </c>
      <c r="AJ104" t="s">
        <v>13</v>
      </c>
      <c r="AK104" t="s">
        <v>15</v>
      </c>
      <c r="AM104" t="b">
        <f t="shared" si="1"/>
        <v>0</v>
      </c>
    </row>
    <row r="105" spans="1:39" x14ac:dyDescent="0.25">
      <c r="A105">
        <v>104</v>
      </c>
      <c r="B105">
        <v>104</v>
      </c>
      <c r="C105" t="s">
        <v>227</v>
      </c>
      <c r="D105">
        <v>25</v>
      </c>
      <c r="E105">
        <v>2</v>
      </c>
      <c r="F105">
        <v>60</v>
      </c>
      <c r="G105">
        <v>73.5</v>
      </c>
      <c r="H105">
        <v>103</v>
      </c>
      <c r="I105">
        <v>2</v>
      </c>
      <c r="J105">
        <v>2</v>
      </c>
      <c r="K105">
        <v>5</v>
      </c>
      <c r="L105">
        <v>3</v>
      </c>
      <c r="M105" s="4" t="s">
        <v>36</v>
      </c>
      <c r="N105">
        <v>2</v>
      </c>
      <c r="O105" s="4">
        <v>1</v>
      </c>
      <c r="P105">
        <v>4</v>
      </c>
      <c r="Q105" s="4">
        <v>5.85</v>
      </c>
      <c r="R105">
        <v>14.2</v>
      </c>
      <c r="S105">
        <v>5.93</v>
      </c>
      <c r="T105">
        <v>11.49</v>
      </c>
      <c r="U105">
        <v>2</v>
      </c>
      <c r="V105">
        <v>110</v>
      </c>
      <c r="W105">
        <v>70</v>
      </c>
      <c r="X105">
        <v>2</v>
      </c>
      <c r="AC105">
        <v>2</v>
      </c>
      <c r="AD105">
        <v>2</v>
      </c>
      <c r="AF105">
        <v>198</v>
      </c>
      <c r="AG105">
        <v>87.3</v>
      </c>
      <c r="AH105">
        <v>116</v>
      </c>
      <c r="AI105">
        <v>684</v>
      </c>
      <c r="AJ105" t="s">
        <v>13</v>
      </c>
      <c r="AK105" t="s">
        <v>15</v>
      </c>
      <c r="AM105" t="b">
        <f t="shared" si="1"/>
        <v>0</v>
      </c>
    </row>
    <row r="106" spans="1:39" x14ac:dyDescent="0.25">
      <c r="A106">
        <v>105</v>
      </c>
      <c r="B106">
        <v>105</v>
      </c>
      <c r="C106" t="s">
        <v>228</v>
      </c>
      <c r="D106">
        <v>48</v>
      </c>
      <c r="E106">
        <v>2</v>
      </c>
      <c r="F106">
        <v>58</v>
      </c>
      <c r="G106">
        <v>63.4</v>
      </c>
      <c r="H106">
        <v>102</v>
      </c>
      <c r="I106">
        <v>2</v>
      </c>
      <c r="J106">
        <v>2</v>
      </c>
      <c r="K106">
        <v>3</v>
      </c>
      <c r="L106">
        <v>2</v>
      </c>
      <c r="M106" s="4" t="s">
        <v>36</v>
      </c>
      <c r="N106">
        <v>1</v>
      </c>
      <c r="O106" s="4">
        <v>2</v>
      </c>
      <c r="P106">
        <v>1</v>
      </c>
      <c r="Q106" s="4">
        <v>5.92</v>
      </c>
      <c r="R106">
        <v>17.79</v>
      </c>
      <c r="S106">
        <v>8.58</v>
      </c>
      <c r="T106">
        <v>10.01</v>
      </c>
      <c r="U106">
        <v>1</v>
      </c>
      <c r="V106">
        <v>150</v>
      </c>
      <c r="W106">
        <v>100</v>
      </c>
      <c r="X106">
        <v>1</v>
      </c>
      <c r="Y106">
        <v>1</v>
      </c>
      <c r="Z106">
        <v>1</v>
      </c>
      <c r="AA106">
        <v>2</v>
      </c>
      <c r="AB106">
        <v>1</v>
      </c>
      <c r="AC106">
        <v>3</v>
      </c>
      <c r="AF106">
        <v>294</v>
      </c>
      <c r="AG106">
        <v>44.6</v>
      </c>
      <c r="AH106">
        <v>52</v>
      </c>
      <c r="AI106">
        <v>94.9</v>
      </c>
      <c r="AJ106" t="s">
        <v>229</v>
      </c>
      <c r="AK106" t="s">
        <v>121</v>
      </c>
      <c r="AM106" t="b">
        <f t="shared" si="1"/>
        <v>1</v>
      </c>
    </row>
    <row r="107" spans="1:39" x14ac:dyDescent="0.25">
      <c r="A107">
        <v>106</v>
      </c>
      <c r="B107">
        <v>106</v>
      </c>
      <c r="C107" t="s">
        <v>230</v>
      </c>
      <c r="D107">
        <v>60</v>
      </c>
      <c r="E107">
        <v>2</v>
      </c>
      <c r="F107">
        <v>57</v>
      </c>
      <c r="G107">
        <v>40.4</v>
      </c>
      <c r="H107">
        <v>77</v>
      </c>
      <c r="I107">
        <v>2</v>
      </c>
      <c r="J107">
        <v>2</v>
      </c>
      <c r="K107">
        <v>2</v>
      </c>
      <c r="L107">
        <v>1</v>
      </c>
      <c r="M107" s="4" t="s">
        <v>117</v>
      </c>
      <c r="N107">
        <v>2</v>
      </c>
      <c r="O107" s="4">
        <v>5</v>
      </c>
      <c r="P107">
        <v>1</v>
      </c>
      <c r="Q107" s="4">
        <v>7.43</v>
      </c>
      <c r="R107">
        <v>22.7</v>
      </c>
      <c r="S107">
        <v>7.62</v>
      </c>
      <c r="T107">
        <v>8.1300000000000008</v>
      </c>
      <c r="U107">
        <v>1</v>
      </c>
      <c r="V107">
        <v>160</v>
      </c>
      <c r="W107">
        <v>90</v>
      </c>
      <c r="X107">
        <v>2</v>
      </c>
      <c r="AC107">
        <v>5</v>
      </c>
      <c r="AF107">
        <v>210</v>
      </c>
      <c r="AG107">
        <v>64.2</v>
      </c>
      <c r="AH107">
        <v>137.5</v>
      </c>
      <c r="AI107">
        <v>180.2</v>
      </c>
      <c r="AJ107" t="s">
        <v>13</v>
      </c>
      <c r="AK107" t="s">
        <v>137</v>
      </c>
      <c r="AL107" t="s">
        <v>146</v>
      </c>
      <c r="AM107" t="b">
        <f t="shared" si="1"/>
        <v>1</v>
      </c>
    </row>
    <row r="108" spans="1:39" x14ac:dyDescent="0.25">
      <c r="A108">
        <v>107</v>
      </c>
      <c r="B108">
        <v>107</v>
      </c>
      <c r="C108" t="s">
        <v>231</v>
      </c>
      <c r="D108">
        <v>66</v>
      </c>
      <c r="E108">
        <v>1</v>
      </c>
      <c r="F108">
        <v>65.5</v>
      </c>
      <c r="G108">
        <v>55.3</v>
      </c>
      <c r="H108">
        <v>85</v>
      </c>
      <c r="I108">
        <v>2</v>
      </c>
      <c r="J108">
        <v>2</v>
      </c>
      <c r="K108">
        <v>3</v>
      </c>
      <c r="L108">
        <v>3</v>
      </c>
      <c r="M108" s="4" t="s">
        <v>144</v>
      </c>
      <c r="N108">
        <v>2</v>
      </c>
      <c r="O108" s="4">
        <v>25</v>
      </c>
      <c r="P108">
        <v>3</v>
      </c>
      <c r="Q108" s="4">
        <v>5.99</v>
      </c>
      <c r="R108">
        <v>24.6</v>
      </c>
      <c r="S108">
        <v>8.32</v>
      </c>
      <c r="T108">
        <v>12.7</v>
      </c>
      <c r="U108">
        <v>1</v>
      </c>
      <c r="V108">
        <v>110</v>
      </c>
      <c r="W108">
        <v>70</v>
      </c>
      <c r="X108">
        <v>1</v>
      </c>
      <c r="Z108">
        <v>1</v>
      </c>
      <c r="AA108">
        <v>1</v>
      </c>
      <c r="AB108">
        <v>1</v>
      </c>
      <c r="AC108">
        <v>1</v>
      </c>
      <c r="AF108">
        <v>208</v>
      </c>
      <c r="AG108">
        <v>76</v>
      </c>
      <c r="AH108">
        <v>85.3</v>
      </c>
      <c r="AI108">
        <v>184.4</v>
      </c>
      <c r="AJ108" t="s">
        <v>13</v>
      </c>
      <c r="AK108" t="s">
        <v>15</v>
      </c>
      <c r="AM108" t="b">
        <f t="shared" si="1"/>
        <v>0</v>
      </c>
    </row>
    <row r="109" spans="1:39" x14ac:dyDescent="0.25">
      <c r="A109">
        <v>108</v>
      </c>
      <c r="B109">
        <v>108</v>
      </c>
      <c r="C109" t="s">
        <v>232</v>
      </c>
      <c r="D109">
        <v>37</v>
      </c>
      <c r="E109">
        <v>2</v>
      </c>
      <c r="F109">
        <v>61</v>
      </c>
      <c r="G109">
        <v>71.5</v>
      </c>
      <c r="H109">
        <v>97</v>
      </c>
      <c r="I109">
        <v>2</v>
      </c>
      <c r="J109">
        <v>2</v>
      </c>
      <c r="K109">
        <v>3</v>
      </c>
      <c r="L109">
        <v>4</v>
      </c>
      <c r="M109" s="4" t="s">
        <v>36</v>
      </c>
      <c r="N109">
        <v>2</v>
      </c>
      <c r="O109" s="4">
        <v>1</v>
      </c>
      <c r="P109">
        <v>1</v>
      </c>
      <c r="Q109" s="4">
        <v>7.99</v>
      </c>
      <c r="R109">
        <v>11.26</v>
      </c>
      <c r="S109">
        <v>7.94</v>
      </c>
      <c r="T109">
        <v>11.16</v>
      </c>
      <c r="U109">
        <v>2</v>
      </c>
      <c r="V109">
        <v>110</v>
      </c>
      <c r="W109">
        <v>70</v>
      </c>
      <c r="X109">
        <v>2</v>
      </c>
      <c r="AC109">
        <v>3</v>
      </c>
      <c r="AD109">
        <v>2</v>
      </c>
      <c r="AF109">
        <v>158</v>
      </c>
      <c r="AG109">
        <v>89.3</v>
      </c>
      <c r="AH109">
        <v>115</v>
      </c>
      <c r="AI109">
        <v>253.3</v>
      </c>
      <c r="AJ109" t="s">
        <v>13</v>
      </c>
      <c r="AK109" t="s">
        <v>113</v>
      </c>
      <c r="AM109" t="b">
        <f t="shared" si="1"/>
        <v>0</v>
      </c>
    </row>
    <row r="110" spans="1:39" x14ac:dyDescent="0.25">
      <c r="A110">
        <v>109</v>
      </c>
      <c r="B110">
        <v>109</v>
      </c>
      <c r="C110" t="s">
        <v>233</v>
      </c>
      <c r="D110">
        <v>55</v>
      </c>
      <c r="E110">
        <v>2</v>
      </c>
      <c r="F110">
        <v>58</v>
      </c>
      <c r="G110">
        <v>62.1</v>
      </c>
      <c r="H110">
        <v>96</v>
      </c>
      <c r="I110">
        <v>2</v>
      </c>
      <c r="J110">
        <v>2</v>
      </c>
      <c r="K110">
        <v>2</v>
      </c>
      <c r="L110">
        <v>2</v>
      </c>
      <c r="M110" s="4" t="s">
        <v>36</v>
      </c>
      <c r="N110">
        <v>2</v>
      </c>
      <c r="O110" s="4">
        <v>17</v>
      </c>
      <c r="P110">
        <v>3</v>
      </c>
      <c r="Q110" s="4">
        <v>7.67</v>
      </c>
      <c r="R110">
        <v>24.1</v>
      </c>
      <c r="S110">
        <v>5.67</v>
      </c>
      <c r="T110">
        <v>10.17</v>
      </c>
      <c r="U110">
        <v>2</v>
      </c>
      <c r="V110">
        <v>130</v>
      </c>
      <c r="W110">
        <v>80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2</v>
      </c>
      <c r="AD110">
        <v>2</v>
      </c>
      <c r="AF110">
        <v>294</v>
      </c>
      <c r="AG110">
        <v>64</v>
      </c>
      <c r="AH110">
        <v>197.6</v>
      </c>
      <c r="AI110">
        <v>94.9</v>
      </c>
      <c r="AJ110" t="s">
        <v>157</v>
      </c>
      <c r="AK110" t="s">
        <v>121</v>
      </c>
      <c r="AM110" t="b">
        <f t="shared" si="1"/>
        <v>0</v>
      </c>
    </row>
    <row r="111" spans="1:39" x14ac:dyDescent="0.25">
      <c r="A111">
        <v>110</v>
      </c>
      <c r="B111">
        <v>110</v>
      </c>
      <c r="C111" t="s">
        <v>234</v>
      </c>
      <c r="D111">
        <v>60</v>
      </c>
      <c r="E111">
        <v>2</v>
      </c>
      <c r="F111">
        <v>61</v>
      </c>
      <c r="G111">
        <v>51.7</v>
      </c>
      <c r="H111">
        <v>91</v>
      </c>
      <c r="I111">
        <v>2</v>
      </c>
      <c r="J111">
        <v>1</v>
      </c>
      <c r="K111">
        <v>2</v>
      </c>
      <c r="L111">
        <v>1</v>
      </c>
      <c r="M111" s="4" t="s">
        <v>117</v>
      </c>
      <c r="N111">
        <v>2</v>
      </c>
      <c r="O111" s="4">
        <v>5</v>
      </c>
      <c r="P111">
        <v>1</v>
      </c>
      <c r="Q111" s="4">
        <v>6.02</v>
      </c>
      <c r="R111">
        <v>21.88</v>
      </c>
      <c r="S111" s="4">
        <v>9.6999999999999993</v>
      </c>
      <c r="T111">
        <v>11.59</v>
      </c>
      <c r="U111">
        <v>1</v>
      </c>
      <c r="V111">
        <v>110</v>
      </c>
      <c r="W111">
        <v>70</v>
      </c>
      <c r="X111">
        <v>2</v>
      </c>
      <c r="AC111">
        <v>4</v>
      </c>
      <c r="AD111">
        <v>2</v>
      </c>
      <c r="AF111">
        <v>210</v>
      </c>
      <c r="AG111">
        <v>48.68</v>
      </c>
      <c r="AH111">
        <v>115</v>
      </c>
      <c r="AI111">
        <v>180.2</v>
      </c>
      <c r="AJ111" t="s">
        <v>235</v>
      </c>
      <c r="AK111" t="s">
        <v>236</v>
      </c>
      <c r="AM111" t="b">
        <f t="shared" si="1"/>
        <v>0</v>
      </c>
    </row>
    <row r="112" spans="1:39" x14ac:dyDescent="0.25">
      <c r="A112">
        <v>111</v>
      </c>
      <c r="B112">
        <v>111</v>
      </c>
      <c r="C112" t="s">
        <v>61</v>
      </c>
      <c r="D112">
        <v>60</v>
      </c>
      <c r="E112">
        <v>2</v>
      </c>
      <c r="F112">
        <v>60</v>
      </c>
      <c r="G112">
        <v>63.4</v>
      </c>
      <c r="H112">
        <v>102</v>
      </c>
      <c r="I112">
        <v>2</v>
      </c>
      <c r="J112">
        <v>2</v>
      </c>
      <c r="K112">
        <v>1</v>
      </c>
      <c r="L112">
        <v>1</v>
      </c>
      <c r="M112" s="4" t="s">
        <v>117</v>
      </c>
      <c r="N112">
        <v>2</v>
      </c>
      <c r="O112" s="4">
        <v>1</v>
      </c>
      <c r="P112">
        <v>1</v>
      </c>
      <c r="Q112" s="4">
        <v>5.87</v>
      </c>
      <c r="R112">
        <v>13.08</v>
      </c>
      <c r="S112">
        <v>10.89</v>
      </c>
      <c r="T112">
        <v>14.55</v>
      </c>
      <c r="U112">
        <v>1</v>
      </c>
      <c r="V112">
        <v>140</v>
      </c>
      <c r="W112">
        <v>90</v>
      </c>
      <c r="X112">
        <v>1</v>
      </c>
      <c r="Y112">
        <v>2</v>
      </c>
      <c r="Z112">
        <v>1</v>
      </c>
      <c r="AA112">
        <v>1</v>
      </c>
      <c r="AB112">
        <v>1</v>
      </c>
      <c r="AC112">
        <v>3</v>
      </c>
      <c r="AD112">
        <v>2</v>
      </c>
      <c r="AF112">
        <v>208</v>
      </c>
      <c r="AG112">
        <v>35</v>
      </c>
      <c r="AH112">
        <v>197.6</v>
      </c>
      <c r="AI112">
        <v>184.4</v>
      </c>
      <c r="AJ112" t="s">
        <v>13</v>
      </c>
      <c r="AK112" t="s">
        <v>62</v>
      </c>
      <c r="AM112" t="b">
        <f t="shared" si="1"/>
        <v>1</v>
      </c>
    </row>
    <row r="113" spans="1:39" x14ac:dyDescent="0.25">
      <c r="A113">
        <v>112</v>
      </c>
      <c r="B113">
        <v>112</v>
      </c>
      <c r="C113" t="s">
        <v>210</v>
      </c>
      <c r="D113">
        <v>75</v>
      </c>
      <c r="E113">
        <v>2</v>
      </c>
      <c r="F113">
        <v>61</v>
      </c>
      <c r="G113">
        <v>42.1</v>
      </c>
      <c r="H113">
        <v>65</v>
      </c>
      <c r="I113">
        <v>2</v>
      </c>
      <c r="J113">
        <v>1</v>
      </c>
      <c r="K113">
        <v>1</v>
      </c>
      <c r="L113">
        <v>2</v>
      </c>
      <c r="M113" s="4" t="s">
        <v>117</v>
      </c>
      <c r="N113">
        <v>2</v>
      </c>
      <c r="O113" s="4">
        <v>7</v>
      </c>
      <c r="P113">
        <v>1</v>
      </c>
      <c r="Q113" s="4">
        <v>7.79</v>
      </c>
      <c r="R113">
        <v>18.04</v>
      </c>
      <c r="S113">
        <v>9.1199999999999992</v>
      </c>
      <c r="T113">
        <v>12.43</v>
      </c>
      <c r="U113">
        <v>1</v>
      </c>
      <c r="V113">
        <v>200</v>
      </c>
      <c r="W113">
        <v>90</v>
      </c>
      <c r="X113">
        <v>1</v>
      </c>
      <c r="Y113">
        <v>3</v>
      </c>
      <c r="Z113">
        <v>1</v>
      </c>
      <c r="AA113">
        <v>2</v>
      </c>
      <c r="AB113">
        <v>1</v>
      </c>
      <c r="AC113">
        <v>4</v>
      </c>
      <c r="AD113">
        <v>2</v>
      </c>
      <c r="AF113">
        <v>158</v>
      </c>
      <c r="AG113">
        <v>57.9</v>
      </c>
      <c r="AH113">
        <v>52</v>
      </c>
      <c r="AI113">
        <v>94.9</v>
      </c>
      <c r="AJ113" t="s">
        <v>13</v>
      </c>
      <c r="AK113" t="s">
        <v>137</v>
      </c>
      <c r="AM113" t="b">
        <f t="shared" si="1"/>
        <v>1</v>
      </c>
    </row>
    <row r="114" spans="1:39" x14ac:dyDescent="0.25">
      <c r="A114">
        <v>113</v>
      </c>
      <c r="B114">
        <v>113</v>
      </c>
      <c r="C114" t="s">
        <v>237</v>
      </c>
      <c r="D114">
        <v>40</v>
      </c>
      <c r="E114">
        <v>2</v>
      </c>
      <c r="F114">
        <v>56</v>
      </c>
      <c r="G114">
        <v>65.099999999999994</v>
      </c>
      <c r="H114">
        <v>99</v>
      </c>
      <c r="I114">
        <v>2</v>
      </c>
      <c r="J114">
        <v>2</v>
      </c>
      <c r="K114">
        <v>2</v>
      </c>
      <c r="L114">
        <v>1</v>
      </c>
      <c r="M114" s="4" t="s">
        <v>36</v>
      </c>
      <c r="N114">
        <v>1</v>
      </c>
      <c r="O114" s="4">
        <v>1</v>
      </c>
      <c r="P114">
        <v>4</v>
      </c>
      <c r="Q114" s="4">
        <v>7.26</v>
      </c>
      <c r="R114">
        <v>11.63</v>
      </c>
      <c r="S114" s="4">
        <v>9</v>
      </c>
      <c r="T114">
        <v>11.82</v>
      </c>
      <c r="U114">
        <v>2</v>
      </c>
      <c r="V114">
        <v>160</v>
      </c>
      <c r="W114">
        <v>100</v>
      </c>
      <c r="X114">
        <v>1</v>
      </c>
      <c r="Y114">
        <v>1</v>
      </c>
      <c r="Z114">
        <v>1</v>
      </c>
      <c r="AA114">
        <v>2</v>
      </c>
      <c r="AB114">
        <v>1</v>
      </c>
      <c r="AC114">
        <v>3</v>
      </c>
      <c r="AD114">
        <v>2</v>
      </c>
      <c r="AF114">
        <v>158</v>
      </c>
      <c r="AG114">
        <v>40</v>
      </c>
      <c r="AH114">
        <v>137.5</v>
      </c>
      <c r="AI114">
        <v>255</v>
      </c>
      <c r="AJ114" t="s">
        <v>119</v>
      </c>
      <c r="AK114" t="s">
        <v>13</v>
      </c>
      <c r="AM114" t="b">
        <f t="shared" si="1"/>
        <v>1</v>
      </c>
    </row>
    <row r="115" spans="1:39" x14ac:dyDescent="0.25">
      <c r="A115">
        <v>114</v>
      </c>
      <c r="B115">
        <v>114</v>
      </c>
      <c r="C115" t="s">
        <v>238</v>
      </c>
      <c r="D115">
        <v>40</v>
      </c>
      <c r="E115">
        <v>1</v>
      </c>
      <c r="F115">
        <v>64</v>
      </c>
      <c r="G115">
        <v>53.6</v>
      </c>
      <c r="H115">
        <v>81</v>
      </c>
      <c r="I115">
        <v>2</v>
      </c>
      <c r="J115">
        <v>1</v>
      </c>
      <c r="K115">
        <v>5</v>
      </c>
      <c r="L115">
        <v>3</v>
      </c>
      <c r="M115" s="4" t="s">
        <v>239</v>
      </c>
      <c r="N115">
        <v>2</v>
      </c>
      <c r="O115" s="4">
        <v>4</v>
      </c>
      <c r="P115">
        <v>2</v>
      </c>
      <c r="Q115" s="4">
        <v>7.62</v>
      </c>
      <c r="R115">
        <v>10.8</v>
      </c>
      <c r="S115">
        <v>7.26</v>
      </c>
      <c r="T115">
        <v>9.11</v>
      </c>
      <c r="U115">
        <v>2</v>
      </c>
      <c r="V115">
        <v>110</v>
      </c>
      <c r="W115">
        <v>70</v>
      </c>
      <c r="X115">
        <v>2</v>
      </c>
      <c r="AC115">
        <v>3</v>
      </c>
      <c r="AD115">
        <v>2</v>
      </c>
      <c r="AF115">
        <v>294</v>
      </c>
      <c r="AG115">
        <v>47.64</v>
      </c>
      <c r="AH115">
        <v>85.3</v>
      </c>
      <c r="AI115">
        <v>188</v>
      </c>
      <c r="AJ115" t="s">
        <v>13</v>
      </c>
      <c r="AK115" t="s">
        <v>62</v>
      </c>
      <c r="AM115" t="b">
        <f t="shared" si="1"/>
        <v>0</v>
      </c>
    </row>
    <row r="116" spans="1:39" x14ac:dyDescent="0.25">
      <c r="A116">
        <v>115</v>
      </c>
      <c r="B116">
        <v>115</v>
      </c>
      <c r="C116" t="s">
        <v>240</v>
      </c>
      <c r="D116">
        <v>36</v>
      </c>
      <c r="E116">
        <v>1</v>
      </c>
      <c r="F116">
        <v>63</v>
      </c>
      <c r="G116">
        <v>77</v>
      </c>
      <c r="H116">
        <v>96</v>
      </c>
      <c r="I116">
        <v>2</v>
      </c>
      <c r="J116">
        <v>2</v>
      </c>
      <c r="K116">
        <v>5</v>
      </c>
      <c r="L116">
        <v>3</v>
      </c>
      <c r="M116" s="4" t="s">
        <v>42</v>
      </c>
      <c r="N116">
        <v>2</v>
      </c>
      <c r="O116" s="4">
        <v>2</v>
      </c>
      <c r="P116">
        <v>1</v>
      </c>
      <c r="Q116" s="4">
        <v>6.75</v>
      </c>
      <c r="R116">
        <v>12</v>
      </c>
      <c r="S116">
        <v>7.55</v>
      </c>
      <c r="T116">
        <v>11.86</v>
      </c>
      <c r="U116">
        <v>2</v>
      </c>
      <c r="V116">
        <v>120</v>
      </c>
      <c r="W116">
        <v>80</v>
      </c>
      <c r="X116">
        <v>2</v>
      </c>
      <c r="AC116">
        <v>2</v>
      </c>
      <c r="AD116">
        <v>2</v>
      </c>
      <c r="AF116">
        <v>210</v>
      </c>
      <c r="AG116">
        <v>41.12</v>
      </c>
      <c r="AH116">
        <v>115</v>
      </c>
      <c r="AI116">
        <v>260</v>
      </c>
      <c r="AJ116" t="s">
        <v>119</v>
      </c>
      <c r="AK116" t="s">
        <v>62</v>
      </c>
      <c r="AM116" t="b">
        <f t="shared" si="1"/>
        <v>0</v>
      </c>
    </row>
    <row r="117" spans="1:39" x14ac:dyDescent="0.25">
      <c r="A117">
        <v>116</v>
      </c>
      <c r="B117">
        <v>116</v>
      </c>
      <c r="C117" t="s">
        <v>241</v>
      </c>
      <c r="D117">
        <v>35</v>
      </c>
      <c r="E117">
        <v>2</v>
      </c>
      <c r="F117">
        <v>62</v>
      </c>
      <c r="G117">
        <v>82.5</v>
      </c>
      <c r="H117">
        <v>110</v>
      </c>
      <c r="I117">
        <v>2</v>
      </c>
      <c r="J117">
        <v>2</v>
      </c>
      <c r="K117">
        <v>3</v>
      </c>
      <c r="L117">
        <v>2</v>
      </c>
      <c r="M117" s="4" t="s">
        <v>36</v>
      </c>
      <c r="N117">
        <v>1</v>
      </c>
      <c r="O117" s="4">
        <v>5</v>
      </c>
      <c r="P117">
        <v>1</v>
      </c>
      <c r="Q117" s="4">
        <v>7.78</v>
      </c>
      <c r="R117">
        <v>17.2</v>
      </c>
      <c r="S117" s="4">
        <v>9.42</v>
      </c>
      <c r="T117">
        <v>14.75</v>
      </c>
      <c r="U117">
        <v>2</v>
      </c>
      <c r="V117">
        <v>120</v>
      </c>
      <c r="W117">
        <v>80</v>
      </c>
      <c r="X117">
        <v>2</v>
      </c>
      <c r="AC117">
        <v>4</v>
      </c>
      <c r="AD117">
        <v>2</v>
      </c>
      <c r="AF117">
        <v>208</v>
      </c>
      <c r="AG117">
        <v>63.7</v>
      </c>
      <c r="AH117">
        <v>197.6</v>
      </c>
      <c r="AI117">
        <v>288</v>
      </c>
      <c r="AJ117" t="s">
        <v>242</v>
      </c>
      <c r="AK117" t="s">
        <v>113</v>
      </c>
      <c r="AM117" t="b">
        <f t="shared" si="1"/>
        <v>0</v>
      </c>
    </row>
    <row r="118" spans="1:39" x14ac:dyDescent="0.25">
      <c r="A118">
        <v>117</v>
      </c>
      <c r="B118">
        <v>117</v>
      </c>
      <c r="C118" t="s">
        <v>243</v>
      </c>
      <c r="D118">
        <v>53</v>
      </c>
      <c r="E118">
        <v>1</v>
      </c>
      <c r="F118">
        <v>66.5</v>
      </c>
      <c r="G118">
        <v>79</v>
      </c>
      <c r="H118">
        <v>95</v>
      </c>
      <c r="I118">
        <v>2</v>
      </c>
      <c r="J118">
        <v>2</v>
      </c>
      <c r="K118">
        <v>4</v>
      </c>
      <c r="L118">
        <v>2</v>
      </c>
      <c r="M118" s="4" t="s">
        <v>244</v>
      </c>
      <c r="N118">
        <v>1</v>
      </c>
      <c r="O118" s="4">
        <v>10</v>
      </c>
      <c r="P118">
        <v>1</v>
      </c>
      <c r="Q118" s="4">
        <v>5.71</v>
      </c>
      <c r="R118">
        <v>10</v>
      </c>
      <c r="S118">
        <v>9.1300000000000008</v>
      </c>
      <c r="T118">
        <v>15.36</v>
      </c>
      <c r="U118">
        <v>1</v>
      </c>
      <c r="V118">
        <v>120</v>
      </c>
      <c r="W118">
        <v>80</v>
      </c>
      <c r="X118">
        <v>1</v>
      </c>
      <c r="Y118">
        <v>6</v>
      </c>
      <c r="Z118">
        <v>1</v>
      </c>
      <c r="AA118">
        <v>2</v>
      </c>
      <c r="AB118">
        <v>1</v>
      </c>
      <c r="AC118">
        <v>2</v>
      </c>
      <c r="AD118">
        <v>2</v>
      </c>
      <c r="AF118">
        <v>158</v>
      </c>
      <c r="AG118">
        <v>47.64</v>
      </c>
      <c r="AH118">
        <v>115</v>
      </c>
      <c r="AI118">
        <v>218</v>
      </c>
      <c r="AJ118" s="6" t="s">
        <v>13</v>
      </c>
      <c r="AK118" s="6" t="s">
        <v>62</v>
      </c>
      <c r="AM118" t="b">
        <f t="shared" si="1"/>
        <v>0</v>
      </c>
    </row>
    <row r="119" spans="1:39" x14ac:dyDescent="0.25">
      <c r="A119">
        <v>118</v>
      </c>
      <c r="B119">
        <v>118</v>
      </c>
      <c r="C119" t="s">
        <v>245</v>
      </c>
      <c r="D119">
        <v>55</v>
      </c>
      <c r="E119">
        <v>2</v>
      </c>
      <c r="F119">
        <v>58</v>
      </c>
      <c r="G119">
        <v>54</v>
      </c>
      <c r="H119">
        <v>86</v>
      </c>
      <c r="I119">
        <v>2</v>
      </c>
      <c r="J119">
        <v>1</v>
      </c>
      <c r="K119">
        <v>1</v>
      </c>
      <c r="L119">
        <v>2</v>
      </c>
      <c r="M119" s="4" t="s">
        <v>36</v>
      </c>
      <c r="N119">
        <v>1</v>
      </c>
      <c r="O119" s="4">
        <v>2</v>
      </c>
      <c r="P119">
        <v>6</v>
      </c>
      <c r="Q119" s="4">
        <v>6.85</v>
      </c>
      <c r="R119">
        <v>18.25</v>
      </c>
      <c r="S119">
        <v>10.59</v>
      </c>
      <c r="T119">
        <v>16.170000000000002</v>
      </c>
      <c r="U119">
        <v>2</v>
      </c>
      <c r="V119">
        <v>130</v>
      </c>
      <c r="W119">
        <v>90</v>
      </c>
      <c r="X119">
        <v>1</v>
      </c>
      <c r="Y119">
        <v>1</v>
      </c>
      <c r="Z119">
        <v>1</v>
      </c>
      <c r="AA119">
        <v>2</v>
      </c>
      <c r="AB119">
        <v>4</v>
      </c>
      <c r="AC119">
        <v>4</v>
      </c>
      <c r="AD119">
        <v>1</v>
      </c>
      <c r="AE119" t="s">
        <v>133</v>
      </c>
      <c r="AF119">
        <v>356</v>
      </c>
      <c r="AG119">
        <v>118</v>
      </c>
      <c r="AH119">
        <v>197.6</v>
      </c>
      <c r="AI119">
        <v>505.9</v>
      </c>
      <c r="AJ119" t="s">
        <v>246</v>
      </c>
      <c r="AK119" t="s">
        <v>247</v>
      </c>
      <c r="AM119" t="b">
        <f t="shared" si="1"/>
        <v>1</v>
      </c>
    </row>
    <row r="120" spans="1:39" x14ac:dyDescent="0.25">
      <c r="A120">
        <v>119</v>
      </c>
      <c r="B120">
        <v>119</v>
      </c>
      <c r="C120" t="s">
        <v>248</v>
      </c>
      <c r="D120">
        <v>51</v>
      </c>
      <c r="E120">
        <v>1</v>
      </c>
      <c r="F120">
        <v>67.5</v>
      </c>
      <c r="G120">
        <v>70</v>
      </c>
      <c r="H120">
        <v>90</v>
      </c>
      <c r="I120">
        <v>2</v>
      </c>
      <c r="J120">
        <v>3</v>
      </c>
      <c r="K120">
        <v>3</v>
      </c>
      <c r="L120">
        <v>2</v>
      </c>
      <c r="M120" s="4" t="s">
        <v>128</v>
      </c>
      <c r="N120">
        <v>1</v>
      </c>
      <c r="O120" s="4" t="s">
        <v>249</v>
      </c>
      <c r="P120">
        <v>5</v>
      </c>
      <c r="Q120" s="4">
        <v>5.61</v>
      </c>
      <c r="R120">
        <v>23</v>
      </c>
      <c r="S120">
        <v>5.97</v>
      </c>
      <c r="T120">
        <v>10.25</v>
      </c>
      <c r="U120">
        <v>1</v>
      </c>
      <c r="V120">
        <v>120</v>
      </c>
      <c r="W120">
        <v>80</v>
      </c>
      <c r="X120">
        <v>2</v>
      </c>
      <c r="AC120">
        <v>2</v>
      </c>
      <c r="AD120">
        <v>2</v>
      </c>
      <c r="AF120">
        <v>135</v>
      </c>
      <c r="AG120">
        <v>28</v>
      </c>
      <c r="AH120">
        <v>52</v>
      </c>
      <c r="AI120">
        <v>188</v>
      </c>
      <c r="AJ120" t="s">
        <v>250</v>
      </c>
      <c r="AK120" t="s">
        <v>251</v>
      </c>
      <c r="AM120" t="b">
        <f t="shared" si="1"/>
        <v>0</v>
      </c>
    </row>
    <row r="121" spans="1:39" x14ac:dyDescent="0.25">
      <c r="A121">
        <v>120</v>
      </c>
      <c r="B121">
        <v>120</v>
      </c>
      <c r="C121" t="s">
        <v>252</v>
      </c>
      <c r="D121">
        <v>25</v>
      </c>
      <c r="E121">
        <v>2</v>
      </c>
      <c r="F121">
        <v>62.5</v>
      </c>
      <c r="G121">
        <v>71</v>
      </c>
      <c r="H121">
        <v>84</v>
      </c>
      <c r="I121">
        <v>2</v>
      </c>
      <c r="J121">
        <v>2</v>
      </c>
      <c r="K121">
        <v>3</v>
      </c>
      <c r="L121">
        <v>3</v>
      </c>
      <c r="M121" s="4" t="s">
        <v>36</v>
      </c>
      <c r="N121">
        <v>2</v>
      </c>
      <c r="O121" s="4">
        <v>2</v>
      </c>
      <c r="P121">
        <v>3</v>
      </c>
      <c r="Q121" s="4">
        <v>6.14</v>
      </c>
      <c r="R121">
        <v>8.1999999999999993</v>
      </c>
      <c r="S121" s="4">
        <v>10.31</v>
      </c>
      <c r="T121">
        <v>19.62</v>
      </c>
      <c r="U121">
        <v>2</v>
      </c>
      <c r="V121">
        <v>120</v>
      </c>
      <c r="W121">
        <v>75</v>
      </c>
      <c r="X121">
        <v>2</v>
      </c>
      <c r="AC121">
        <v>2</v>
      </c>
      <c r="AD121">
        <v>2</v>
      </c>
      <c r="AF121">
        <v>246</v>
      </c>
      <c r="AG121">
        <v>47</v>
      </c>
      <c r="AH121">
        <v>137.5</v>
      </c>
      <c r="AI121">
        <v>260</v>
      </c>
      <c r="AJ121" t="s">
        <v>253</v>
      </c>
      <c r="AK121" t="s">
        <v>254</v>
      </c>
      <c r="AM121" t="b">
        <f t="shared" si="1"/>
        <v>0</v>
      </c>
    </row>
    <row r="122" spans="1:39" x14ac:dyDescent="0.25">
      <c r="A122">
        <v>121</v>
      </c>
      <c r="B122">
        <v>121</v>
      </c>
      <c r="C122" t="s">
        <v>255</v>
      </c>
      <c r="D122">
        <v>40</v>
      </c>
      <c r="E122">
        <v>2</v>
      </c>
      <c r="F122">
        <v>60</v>
      </c>
      <c r="G122">
        <v>58.4</v>
      </c>
      <c r="H122">
        <v>91</v>
      </c>
      <c r="I122">
        <v>2</v>
      </c>
      <c r="J122">
        <v>2</v>
      </c>
      <c r="K122">
        <v>3</v>
      </c>
      <c r="L122">
        <v>2</v>
      </c>
      <c r="M122" s="4" t="s">
        <v>36</v>
      </c>
      <c r="N122">
        <v>1</v>
      </c>
      <c r="O122" s="4">
        <v>2</v>
      </c>
      <c r="P122">
        <v>4</v>
      </c>
      <c r="Q122" s="4">
        <v>7.73</v>
      </c>
      <c r="R122">
        <v>12.8</v>
      </c>
      <c r="S122">
        <v>7.4</v>
      </c>
      <c r="T122">
        <v>11.53</v>
      </c>
      <c r="U122">
        <v>2</v>
      </c>
      <c r="V122">
        <v>120</v>
      </c>
      <c r="W122">
        <v>85</v>
      </c>
      <c r="X122">
        <v>1</v>
      </c>
      <c r="Y122">
        <v>2</v>
      </c>
      <c r="Z122">
        <v>1</v>
      </c>
      <c r="AA122">
        <v>2</v>
      </c>
      <c r="AB122">
        <v>1</v>
      </c>
      <c r="AC122">
        <v>3</v>
      </c>
      <c r="AD122">
        <v>2</v>
      </c>
      <c r="AF122">
        <v>202</v>
      </c>
      <c r="AG122">
        <v>39</v>
      </c>
      <c r="AH122">
        <v>85.3</v>
      </c>
      <c r="AI122">
        <v>288</v>
      </c>
      <c r="AJ122" t="s">
        <v>13</v>
      </c>
      <c r="AK122" t="s">
        <v>113</v>
      </c>
      <c r="AM122" t="b">
        <f t="shared" si="1"/>
        <v>0</v>
      </c>
    </row>
    <row r="123" spans="1:39" x14ac:dyDescent="0.25">
      <c r="A123">
        <v>122</v>
      </c>
      <c r="B123">
        <v>122</v>
      </c>
      <c r="C123" t="s">
        <v>256</v>
      </c>
      <c r="D123">
        <v>53</v>
      </c>
      <c r="E123">
        <v>1</v>
      </c>
      <c r="F123">
        <v>59</v>
      </c>
      <c r="G123">
        <v>57</v>
      </c>
      <c r="H123">
        <v>89</v>
      </c>
      <c r="I123">
        <v>2</v>
      </c>
      <c r="J123">
        <v>1</v>
      </c>
      <c r="K123">
        <v>2</v>
      </c>
      <c r="L123">
        <v>2</v>
      </c>
      <c r="M123" s="4" t="s">
        <v>36</v>
      </c>
      <c r="N123">
        <v>1</v>
      </c>
      <c r="O123" s="4">
        <v>7</v>
      </c>
      <c r="P123">
        <v>1</v>
      </c>
      <c r="Q123" s="4">
        <v>6.92</v>
      </c>
      <c r="R123">
        <v>8.1999999999999993</v>
      </c>
      <c r="S123">
        <v>8.43</v>
      </c>
      <c r="T123">
        <v>11.38</v>
      </c>
      <c r="U123">
        <v>1</v>
      </c>
      <c r="V123">
        <v>110</v>
      </c>
      <c r="W123">
        <v>65</v>
      </c>
      <c r="X123">
        <v>1</v>
      </c>
      <c r="Y123">
        <v>10</v>
      </c>
      <c r="Z123">
        <v>1</v>
      </c>
      <c r="AA123">
        <v>1</v>
      </c>
      <c r="AB123">
        <v>1</v>
      </c>
      <c r="AC123">
        <v>2</v>
      </c>
      <c r="AD123">
        <v>1</v>
      </c>
      <c r="AE123" t="s">
        <v>93</v>
      </c>
      <c r="AF123">
        <v>168</v>
      </c>
      <c r="AG123">
        <v>28</v>
      </c>
      <c r="AH123">
        <v>115</v>
      </c>
      <c r="AI123">
        <v>218</v>
      </c>
      <c r="AJ123" t="s">
        <v>257</v>
      </c>
      <c r="AK123" t="s">
        <v>258</v>
      </c>
      <c r="AM123" t="b">
        <f t="shared" si="1"/>
        <v>0</v>
      </c>
    </row>
    <row r="124" spans="1:39" x14ac:dyDescent="0.25">
      <c r="A124">
        <v>123</v>
      </c>
      <c r="B124">
        <v>123</v>
      </c>
      <c r="C124" t="s">
        <v>259</v>
      </c>
      <c r="D124">
        <v>59</v>
      </c>
      <c r="E124">
        <v>1</v>
      </c>
      <c r="F124">
        <v>64</v>
      </c>
      <c r="G124">
        <v>62.3</v>
      </c>
      <c r="H124">
        <v>95</v>
      </c>
      <c r="I124">
        <v>2</v>
      </c>
      <c r="J124">
        <v>2</v>
      </c>
      <c r="K124">
        <v>5</v>
      </c>
      <c r="L124">
        <v>3</v>
      </c>
      <c r="M124" s="4" t="s">
        <v>260</v>
      </c>
      <c r="N124">
        <v>1</v>
      </c>
      <c r="O124" s="4">
        <v>3</v>
      </c>
      <c r="P124">
        <v>1</v>
      </c>
      <c r="Q124" s="4">
        <v>7.63</v>
      </c>
      <c r="R124">
        <v>8.3000000000000007</v>
      </c>
      <c r="S124">
        <v>8.67</v>
      </c>
      <c r="T124">
        <v>11.16</v>
      </c>
      <c r="U124">
        <v>2</v>
      </c>
      <c r="V124">
        <v>120</v>
      </c>
      <c r="W124">
        <v>75</v>
      </c>
      <c r="X124">
        <v>1</v>
      </c>
      <c r="Y124">
        <v>6</v>
      </c>
      <c r="Z124">
        <v>1</v>
      </c>
      <c r="AA124">
        <v>1</v>
      </c>
      <c r="AB124">
        <v>1</v>
      </c>
      <c r="AC124">
        <v>2</v>
      </c>
      <c r="AD124">
        <v>1</v>
      </c>
      <c r="AE124" t="s">
        <v>192</v>
      </c>
      <c r="AF124">
        <v>356</v>
      </c>
      <c r="AG124">
        <v>64</v>
      </c>
      <c r="AH124">
        <v>197.6</v>
      </c>
      <c r="AI124">
        <v>188</v>
      </c>
      <c r="AJ124" t="s">
        <v>261</v>
      </c>
      <c r="AK124" t="s">
        <v>262</v>
      </c>
      <c r="AM124" t="b">
        <f t="shared" si="1"/>
        <v>0</v>
      </c>
    </row>
    <row r="125" spans="1:39" x14ac:dyDescent="0.25">
      <c r="A125">
        <v>124</v>
      </c>
      <c r="B125">
        <v>124</v>
      </c>
      <c r="C125" t="s">
        <v>263</v>
      </c>
      <c r="D125">
        <v>50</v>
      </c>
      <c r="E125">
        <v>2</v>
      </c>
      <c r="F125">
        <v>59</v>
      </c>
      <c r="G125">
        <v>78</v>
      </c>
      <c r="H125">
        <v>108</v>
      </c>
      <c r="I125">
        <v>2</v>
      </c>
      <c r="J125">
        <v>1</v>
      </c>
      <c r="K125">
        <v>3</v>
      </c>
      <c r="L125">
        <v>3</v>
      </c>
      <c r="M125" s="4" t="s">
        <v>36</v>
      </c>
      <c r="N125">
        <v>2</v>
      </c>
      <c r="O125" s="4">
        <v>5</v>
      </c>
      <c r="P125">
        <v>1</v>
      </c>
      <c r="Q125" s="4">
        <v>6.58</v>
      </c>
      <c r="R125">
        <v>22</v>
      </c>
      <c r="S125">
        <v>6.98</v>
      </c>
      <c r="T125">
        <v>11.06</v>
      </c>
      <c r="U125">
        <v>1</v>
      </c>
      <c r="V125">
        <v>140</v>
      </c>
      <c r="W125">
        <v>85</v>
      </c>
      <c r="X125">
        <v>1</v>
      </c>
      <c r="Y125">
        <v>4</v>
      </c>
      <c r="Z125">
        <v>1</v>
      </c>
      <c r="AA125">
        <v>1</v>
      </c>
      <c r="AB125">
        <v>1</v>
      </c>
      <c r="AC125">
        <v>2</v>
      </c>
      <c r="AD125">
        <v>1</v>
      </c>
      <c r="AE125" t="s">
        <v>192</v>
      </c>
      <c r="AF125">
        <v>135</v>
      </c>
      <c r="AG125">
        <v>48.68</v>
      </c>
      <c r="AH125">
        <v>116</v>
      </c>
      <c r="AI125">
        <v>203</v>
      </c>
      <c r="AJ125" t="s">
        <v>264</v>
      </c>
      <c r="AK125" t="s">
        <v>265</v>
      </c>
      <c r="AM125" t="b">
        <f t="shared" si="1"/>
        <v>0</v>
      </c>
    </row>
    <row r="126" spans="1:39" x14ac:dyDescent="0.25">
      <c r="A126">
        <v>125</v>
      </c>
      <c r="B126">
        <v>125</v>
      </c>
      <c r="C126" t="s">
        <v>266</v>
      </c>
      <c r="D126">
        <v>65</v>
      </c>
      <c r="E126">
        <v>1</v>
      </c>
      <c r="F126">
        <v>61</v>
      </c>
      <c r="G126">
        <v>60</v>
      </c>
      <c r="H126">
        <v>89</v>
      </c>
      <c r="I126">
        <v>3</v>
      </c>
      <c r="J126">
        <v>1</v>
      </c>
      <c r="K126">
        <v>2</v>
      </c>
      <c r="L126">
        <v>3</v>
      </c>
      <c r="M126" s="4" t="s">
        <v>309</v>
      </c>
      <c r="N126">
        <v>1</v>
      </c>
      <c r="O126" s="4">
        <v>8</v>
      </c>
      <c r="P126">
        <v>3</v>
      </c>
      <c r="Q126" s="4">
        <v>7.85</v>
      </c>
      <c r="R126">
        <v>15.97</v>
      </c>
      <c r="S126">
        <v>5.64</v>
      </c>
      <c r="T126">
        <v>11</v>
      </c>
      <c r="U126">
        <v>1</v>
      </c>
      <c r="V126">
        <v>145</v>
      </c>
      <c r="W126">
        <v>90</v>
      </c>
      <c r="X126">
        <v>1</v>
      </c>
      <c r="Y126">
        <v>5</v>
      </c>
      <c r="Z126">
        <v>1</v>
      </c>
      <c r="AA126">
        <v>2</v>
      </c>
      <c r="AB126">
        <v>1</v>
      </c>
      <c r="AC126">
        <v>4</v>
      </c>
      <c r="AD126">
        <v>1</v>
      </c>
      <c r="AE126" t="s">
        <v>145</v>
      </c>
      <c r="AF126">
        <v>246</v>
      </c>
      <c r="AG126">
        <v>35</v>
      </c>
      <c r="AH126">
        <v>137.5</v>
      </c>
      <c r="AI126">
        <v>188</v>
      </c>
      <c r="AJ126" t="s">
        <v>267</v>
      </c>
      <c r="AK126" t="s">
        <v>268</v>
      </c>
      <c r="AM126" t="b">
        <f t="shared" si="1"/>
        <v>1</v>
      </c>
    </row>
    <row r="127" spans="1:39" x14ac:dyDescent="0.25">
      <c r="A127">
        <v>126</v>
      </c>
      <c r="B127">
        <v>126</v>
      </c>
      <c r="C127" t="s">
        <v>241</v>
      </c>
      <c r="D127">
        <v>60</v>
      </c>
      <c r="E127">
        <v>2</v>
      </c>
      <c r="F127">
        <v>61</v>
      </c>
      <c r="G127">
        <v>55</v>
      </c>
      <c r="H127">
        <v>84</v>
      </c>
      <c r="I127">
        <v>2</v>
      </c>
      <c r="J127">
        <v>2</v>
      </c>
      <c r="K127">
        <v>1</v>
      </c>
      <c r="L127">
        <v>1</v>
      </c>
      <c r="M127" s="4" t="s">
        <v>36</v>
      </c>
      <c r="N127">
        <v>1</v>
      </c>
      <c r="O127" s="4">
        <v>10</v>
      </c>
      <c r="P127">
        <v>3</v>
      </c>
      <c r="Q127" s="4">
        <v>6.23</v>
      </c>
      <c r="R127">
        <v>9.6</v>
      </c>
      <c r="S127">
        <v>8.19</v>
      </c>
      <c r="T127">
        <v>8.68</v>
      </c>
      <c r="U127">
        <v>1</v>
      </c>
      <c r="V127">
        <v>120</v>
      </c>
      <c r="W127">
        <v>70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 t="s">
        <v>66</v>
      </c>
      <c r="AF127">
        <v>202</v>
      </c>
      <c r="AG127">
        <v>57.9</v>
      </c>
      <c r="AH127">
        <v>117</v>
      </c>
      <c r="AI127">
        <v>149</v>
      </c>
      <c r="AJ127" t="s">
        <v>246</v>
      </c>
      <c r="AK127" t="s">
        <v>247</v>
      </c>
      <c r="AM127" t="b">
        <f t="shared" si="1"/>
        <v>0</v>
      </c>
    </row>
    <row r="128" spans="1:39" x14ac:dyDescent="0.25">
      <c r="A128">
        <v>127</v>
      </c>
      <c r="B128">
        <v>127</v>
      </c>
      <c r="C128" t="s">
        <v>269</v>
      </c>
      <c r="D128">
        <v>37</v>
      </c>
      <c r="E128">
        <v>2</v>
      </c>
      <c r="F128">
        <v>63</v>
      </c>
      <c r="G128">
        <v>57</v>
      </c>
      <c r="H128">
        <v>87</v>
      </c>
      <c r="I128">
        <v>2</v>
      </c>
      <c r="J128">
        <v>2</v>
      </c>
      <c r="K128">
        <v>3</v>
      </c>
      <c r="L128">
        <v>1</v>
      </c>
      <c r="M128" s="4" t="s">
        <v>270</v>
      </c>
      <c r="N128">
        <v>1</v>
      </c>
      <c r="O128" s="4" t="s">
        <v>57</v>
      </c>
      <c r="P128">
        <v>5</v>
      </c>
      <c r="Q128" s="4">
        <v>6.4</v>
      </c>
      <c r="R128">
        <v>14.1</v>
      </c>
      <c r="S128">
        <v>10.39</v>
      </c>
      <c r="T128">
        <v>13.86</v>
      </c>
      <c r="U128">
        <v>2</v>
      </c>
      <c r="V128">
        <v>125</v>
      </c>
      <c r="W128">
        <v>80</v>
      </c>
      <c r="X128">
        <v>2</v>
      </c>
      <c r="AC128">
        <v>2</v>
      </c>
      <c r="AD128">
        <v>2</v>
      </c>
      <c r="AF128">
        <v>168</v>
      </c>
      <c r="AG128">
        <v>40</v>
      </c>
      <c r="AH128">
        <v>129.76</v>
      </c>
      <c r="AI128">
        <v>250.78</v>
      </c>
      <c r="AJ128" t="s">
        <v>13</v>
      </c>
      <c r="AK128" t="s">
        <v>113</v>
      </c>
      <c r="AM128" t="b">
        <f t="shared" si="1"/>
        <v>0</v>
      </c>
    </row>
    <row r="129" spans="1:39" x14ac:dyDescent="0.25">
      <c r="A129">
        <v>128</v>
      </c>
      <c r="B129">
        <v>128</v>
      </c>
      <c r="C129" t="s">
        <v>271</v>
      </c>
      <c r="D129">
        <v>47</v>
      </c>
      <c r="E129">
        <v>2</v>
      </c>
      <c r="F129">
        <v>63</v>
      </c>
      <c r="G129">
        <v>67</v>
      </c>
      <c r="H129">
        <v>90</v>
      </c>
      <c r="I129">
        <v>2</v>
      </c>
      <c r="J129">
        <v>1</v>
      </c>
      <c r="K129">
        <v>3</v>
      </c>
      <c r="L129">
        <v>2</v>
      </c>
      <c r="M129" s="4" t="s">
        <v>36</v>
      </c>
      <c r="N129">
        <v>2</v>
      </c>
      <c r="O129" s="4">
        <v>5</v>
      </c>
      <c r="P129">
        <v>1</v>
      </c>
      <c r="Q129" s="4">
        <v>7.21</v>
      </c>
      <c r="R129">
        <v>6.13</v>
      </c>
      <c r="S129" s="4">
        <v>7.9</v>
      </c>
      <c r="T129">
        <v>9.48</v>
      </c>
      <c r="U129" s="4">
        <v>2</v>
      </c>
      <c r="V129">
        <v>160</v>
      </c>
      <c r="W129" s="4">
        <v>90</v>
      </c>
      <c r="X129">
        <v>1</v>
      </c>
      <c r="Y129" s="4">
        <v>5</v>
      </c>
      <c r="Z129">
        <v>1</v>
      </c>
      <c r="AA129" s="4">
        <v>1</v>
      </c>
      <c r="AB129">
        <v>1</v>
      </c>
      <c r="AC129" s="4">
        <v>2</v>
      </c>
      <c r="AD129">
        <v>2</v>
      </c>
      <c r="AF129">
        <v>356</v>
      </c>
      <c r="AG129">
        <v>47.64</v>
      </c>
      <c r="AH129">
        <v>117</v>
      </c>
      <c r="AI129">
        <v>211</v>
      </c>
      <c r="AJ129" t="s">
        <v>13</v>
      </c>
      <c r="AK129" t="s">
        <v>62</v>
      </c>
      <c r="AM129" t="b">
        <f t="shared" si="1"/>
        <v>1</v>
      </c>
    </row>
    <row r="130" spans="1:39" x14ac:dyDescent="0.25">
      <c r="A130">
        <v>129</v>
      </c>
      <c r="B130">
        <v>129</v>
      </c>
      <c r="C130" t="s">
        <v>272</v>
      </c>
      <c r="D130">
        <v>65</v>
      </c>
      <c r="E130">
        <v>1</v>
      </c>
      <c r="F130">
        <v>63</v>
      </c>
      <c r="G130">
        <v>51</v>
      </c>
      <c r="H130">
        <v>80</v>
      </c>
      <c r="I130">
        <v>1</v>
      </c>
      <c r="J130">
        <v>1</v>
      </c>
      <c r="K130">
        <v>2</v>
      </c>
      <c r="L130">
        <v>1</v>
      </c>
      <c r="M130" s="4" t="s">
        <v>309</v>
      </c>
      <c r="N130">
        <v>1</v>
      </c>
      <c r="O130" s="4">
        <v>5</v>
      </c>
      <c r="P130">
        <v>1</v>
      </c>
      <c r="Q130" s="4">
        <v>7.55</v>
      </c>
      <c r="R130">
        <v>11.54</v>
      </c>
      <c r="S130">
        <v>9.58</v>
      </c>
      <c r="T130">
        <v>12.81</v>
      </c>
      <c r="U130">
        <v>2</v>
      </c>
      <c r="V130">
        <v>135</v>
      </c>
      <c r="W130">
        <v>90</v>
      </c>
      <c r="X130">
        <v>1</v>
      </c>
      <c r="Y130">
        <v>5</v>
      </c>
      <c r="Z130">
        <v>1</v>
      </c>
      <c r="AA130">
        <v>2</v>
      </c>
      <c r="AB130">
        <v>1</v>
      </c>
      <c r="AC130">
        <v>2</v>
      </c>
      <c r="AD130">
        <v>2</v>
      </c>
      <c r="AF130">
        <v>135</v>
      </c>
      <c r="AG130">
        <v>41.12</v>
      </c>
      <c r="AH130">
        <v>94</v>
      </c>
      <c r="AI130">
        <v>230</v>
      </c>
      <c r="AJ130" t="s">
        <v>14</v>
      </c>
      <c r="AK130" t="s">
        <v>247</v>
      </c>
      <c r="AM130" t="b">
        <f t="shared" si="1"/>
        <v>1</v>
      </c>
    </row>
    <row r="131" spans="1:39" x14ac:dyDescent="0.25">
      <c r="A131">
        <v>130</v>
      </c>
      <c r="B131">
        <v>130</v>
      </c>
      <c r="C131" t="s">
        <v>273</v>
      </c>
      <c r="D131">
        <v>50</v>
      </c>
      <c r="E131">
        <v>2</v>
      </c>
      <c r="F131">
        <v>62</v>
      </c>
      <c r="G131">
        <v>45</v>
      </c>
      <c r="H131">
        <v>88</v>
      </c>
      <c r="I131">
        <v>2</v>
      </c>
      <c r="J131">
        <v>2</v>
      </c>
      <c r="K131">
        <v>3</v>
      </c>
      <c r="L131">
        <v>1</v>
      </c>
      <c r="M131" s="4" t="s">
        <v>36</v>
      </c>
      <c r="N131">
        <v>1</v>
      </c>
      <c r="O131" s="4">
        <v>10</v>
      </c>
      <c r="P131">
        <v>1</v>
      </c>
      <c r="Q131" s="4">
        <v>7.55</v>
      </c>
      <c r="R131">
        <v>6.5</v>
      </c>
      <c r="S131">
        <v>6.27</v>
      </c>
      <c r="T131">
        <v>8.7799999999999994</v>
      </c>
      <c r="U131">
        <v>2</v>
      </c>
      <c r="V131">
        <v>120</v>
      </c>
      <c r="W131">
        <v>90</v>
      </c>
      <c r="X131">
        <v>2</v>
      </c>
      <c r="AC131">
        <v>1</v>
      </c>
      <c r="AD131">
        <v>2</v>
      </c>
      <c r="AF131">
        <v>246</v>
      </c>
      <c r="AG131">
        <v>63.7</v>
      </c>
      <c r="AH131">
        <v>117</v>
      </c>
      <c r="AI131">
        <v>260</v>
      </c>
      <c r="AJ131" t="s">
        <v>13</v>
      </c>
      <c r="AK131" t="s">
        <v>137</v>
      </c>
      <c r="AM131" t="b">
        <f t="shared" ref="AM131:AM194" si="2">W131&gt;=90</f>
        <v>1</v>
      </c>
    </row>
    <row r="132" spans="1:39" x14ac:dyDescent="0.25">
      <c r="A132">
        <v>131</v>
      </c>
      <c r="B132">
        <v>131</v>
      </c>
      <c r="C132" t="s">
        <v>275</v>
      </c>
      <c r="D132">
        <v>43</v>
      </c>
      <c r="E132">
        <v>1</v>
      </c>
      <c r="F132">
        <v>62</v>
      </c>
      <c r="G132">
        <v>60.1</v>
      </c>
      <c r="H132">
        <v>98</v>
      </c>
      <c r="I132">
        <v>2</v>
      </c>
      <c r="J132">
        <v>2</v>
      </c>
      <c r="K132">
        <v>4</v>
      </c>
      <c r="L132">
        <v>2</v>
      </c>
      <c r="M132" s="4" t="s">
        <v>308</v>
      </c>
      <c r="N132">
        <v>1</v>
      </c>
      <c r="O132" s="4">
        <v>2</v>
      </c>
      <c r="P132">
        <v>1</v>
      </c>
      <c r="Q132" s="4">
        <v>7.63</v>
      </c>
      <c r="R132">
        <v>4.9400000000000004</v>
      </c>
      <c r="S132">
        <v>8.3699999999999992</v>
      </c>
      <c r="T132">
        <v>11.29</v>
      </c>
      <c r="U132">
        <v>2</v>
      </c>
      <c r="V132">
        <v>120</v>
      </c>
      <c r="W132">
        <v>80</v>
      </c>
      <c r="X132">
        <v>2</v>
      </c>
      <c r="AC132">
        <v>2</v>
      </c>
      <c r="AD132">
        <v>1</v>
      </c>
      <c r="AE132" t="s">
        <v>92</v>
      </c>
      <c r="AF132">
        <v>202</v>
      </c>
      <c r="AG132">
        <v>47.64</v>
      </c>
      <c r="AH132">
        <v>221.65</v>
      </c>
      <c r="AI132">
        <v>278.2</v>
      </c>
      <c r="AJ132" t="s">
        <v>13</v>
      </c>
      <c r="AK132" t="s">
        <v>276</v>
      </c>
      <c r="AM132" t="b">
        <f t="shared" si="2"/>
        <v>0</v>
      </c>
    </row>
    <row r="133" spans="1:39" x14ac:dyDescent="0.25">
      <c r="A133">
        <v>132</v>
      </c>
      <c r="B133">
        <v>132</v>
      </c>
      <c r="C133" t="s">
        <v>277</v>
      </c>
      <c r="D133">
        <v>50</v>
      </c>
      <c r="E133">
        <v>1</v>
      </c>
      <c r="F133">
        <v>64</v>
      </c>
      <c r="G133">
        <v>73.8</v>
      </c>
      <c r="H133">
        <v>100</v>
      </c>
      <c r="I133">
        <v>2</v>
      </c>
      <c r="J133">
        <v>2</v>
      </c>
      <c r="K133">
        <v>5</v>
      </c>
      <c r="L133">
        <v>2</v>
      </c>
      <c r="M133" s="4" t="s">
        <v>181</v>
      </c>
      <c r="N133">
        <v>1</v>
      </c>
      <c r="O133" s="4">
        <v>7</v>
      </c>
      <c r="P133">
        <v>1</v>
      </c>
      <c r="Q133" s="4">
        <v>7.64</v>
      </c>
      <c r="R133">
        <v>10.3</v>
      </c>
      <c r="S133">
        <v>9.9700000000000006</v>
      </c>
      <c r="T133">
        <v>14.35</v>
      </c>
      <c r="U133">
        <v>2</v>
      </c>
      <c r="V133">
        <v>135</v>
      </c>
      <c r="W133">
        <v>95</v>
      </c>
      <c r="X133">
        <v>1</v>
      </c>
      <c r="Y133">
        <v>3</v>
      </c>
      <c r="Z133">
        <v>1</v>
      </c>
      <c r="AA133">
        <v>1</v>
      </c>
      <c r="AB133">
        <v>1</v>
      </c>
      <c r="AC133">
        <v>1</v>
      </c>
      <c r="AD133">
        <v>2</v>
      </c>
      <c r="AF133">
        <v>168</v>
      </c>
      <c r="AG133">
        <v>47.64</v>
      </c>
      <c r="AH133">
        <v>117</v>
      </c>
      <c r="AI133" s="6">
        <v>244.39</v>
      </c>
      <c r="AJ133" t="s">
        <v>13</v>
      </c>
      <c r="AK133" t="s">
        <v>50</v>
      </c>
      <c r="AM133" t="b">
        <f t="shared" si="2"/>
        <v>1</v>
      </c>
    </row>
    <row r="134" spans="1:39" x14ac:dyDescent="0.25">
      <c r="A134">
        <v>133</v>
      </c>
      <c r="B134">
        <v>133</v>
      </c>
      <c r="C134" t="s">
        <v>278</v>
      </c>
      <c r="D134">
        <v>55</v>
      </c>
      <c r="E134">
        <v>1</v>
      </c>
      <c r="F134">
        <v>66</v>
      </c>
      <c r="G134">
        <v>65.099999999999994</v>
      </c>
      <c r="H134">
        <v>95</v>
      </c>
      <c r="I134">
        <v>2</v>
      </c>
      <c r="J134">
        <v>3</v>
      </c>
      <c r="K134">
        <v>5</v>
      </c>
      <c r="L134">
        <v>3</v>
      </c>
      <c r="M134" s="4" t="s">
        <v>128</v>
      </c>
      <c r="N134">
        <v>1</v>
      </c>
      <c r="O134" s="4">
        <v>22</v>
      </c>
      <c r="P134">
        <v>1</v>
      </c>
      <c r="Q134" s="4">
        <v>6.83</v>
      </c>
      <c r="R134">
        <v>14.1</v>
      </c>
      <c r="S134">
        <v>12.2</v>
      </c>
      <c r="T134">
        <v>16.420000000000002</v>
      </c>
      <c r="U134">
        <v>1</v>
      </c>
      <c r="V134">
        <v>125</v>
      </c>
      <c r="W134">
        <v>75</v>
      </c>
      <c r="X134">
        <v>2</v>
      </c>
      <c r="AC134">
        <v>1</v>
      </c>
      <c r="AD134">
        <v>2</v>
      </c>
      <c r="AF134">
        <v>223</v>
      </c>
      <c r="AG134">
        <v>42.9</v>
      </c>
      <c r="AH134">
        <v>113.8</v>
      </c>
      <c r="AI134">
        <v>331.4</v>
      </c>
      <c r="AJ134" t="s">
        <v>14</v>
      </c>
      <c r="AK134" t="s">
        <v>62</v>
      </c>
      <c r="AM134" t="b">
        <f t="shared" si="2"/>
        <v>0</v>
      </c>
    </row>
    <row r="135" spans="1:39" x14ac:dyDescent="0.25">
      <c r="A135">
        <v>134</v>
      </c>
      <c r="B135">
        <v>134</v>
      </c>
      <c r="C135" t="s">
        <v>279</v>
      </c>
      <c r="D135">
        <v>80</v>
      </c>
      <c r="E135">
        <v>1</v>
      </c>
      <c r="F135">
        <v>60</v>
      </c>
      <c r="G135">
        <v>47</v>
      </c>
      <c r="H135">
        <v>79</v>
      </c>
      <c r="I135">
        <v>1</v>
      </c>
      <c r="J135">
        <v>4</v>
      </c>
      <c r="K135">
        <v>1</v>
      </c>
      <c r="L135">
        <v>1</v>
      </c>
      <c r="M135" s="4" t="s">
        <v>310</v>
      </c>
      <c r="N135">
        <v>1</v>
      </c>
      <c r="O135" s="4">
        <v>2</v>
      </c>
      <c r="P135">
        <v>1</v>
      </c>
      <c r="Q135" s="4">
        <v>7.04</v>
      </c>
      <c r="R135">
        <v>6.13</v>
      </c>
      <c r="S135">
        <v>10.47</v>
      </c>
      <c r="T135">
        <v>13.96</v>
      </c>
      <c r="U135">
        <v>2</v>
      </c>
      <c r="V135">
        <v>110</v>
      </c>
      <c r="W135">
        <v>60</v>
      </c>
      <c r="X135">
        <v>1</v>
      </c>
      <c r="Y135">
        <v>2</v>
      </c>
      <c r="Z135">
        <v>1</v>
      </c>
      <c r="AA135">
        <v>1</v>
      </c>
      <c r="AB135">
        <v>1</v>
      </c>
      <c r="AC135">
        <v>2</v>
      </c>
      <c r="AD135">
        <v>1</v>
      </c>
      <c r="AE135" t="s">
        <v>145</v>
      </c>
      <c r="AF135">
        <v>135</v>
      </c>
      <c r="AG135">
        <v>64</v>
      </c>
      <c r="AH135">
        <v>117</v>
      </c>
      <c r="AI135">
        <v>188</v>
      </c>
      <c r="AJ135" t="s">
        <v>175</v>
      </c>
      <c r="AK135" t="s">
        <v>280</v>
      </c>
      <c r="AM135" t="b">
        <f t="shared" si="2"/>
        <v>0</v>
      </c>
    </row>
    <row r="136" spans="1:39" x14ac:dyDescent="0.25">
      <c r="A136">
        <v>135</v>
      </c>
      <c r="B136">
        <v>135</v>
      </c>
      <c r="C136" t="s">
        <v>281</v>
      </c>
      <c r="D136">
        <v>50</v>
      </c>
      <c r="E136">
        <v>1</v>
      </c>
      <c r="F136">
        <v>63</v>
      </c>
      <c r="G136">
        <v>71</v>
      </c>
      <c r="H136">
        <v>91</v>
      </c>
      <c r="I136">
        <v>1</v>
      </c>
      <c r="J136">
        <v>4</v>
      </c>
      <c r="K136">
        <v>2</v>
      </c>
      <c r="L136">
        <v>1</v>
      </c>
      <c r="M136" s="4" t="s">
        <v>310</v>
      </c>
      <c r="N136">
        <v>1</v>
      </c>
      <c r="O136" s="4" t="s">
        <v>179</v>
      </c>
      <c r="P136">
        <v>5</v>
      </c>
      <c r="Q136" s="4">
        <v>6.07</v>
      </c>
      <c r="R136">
        <v>11.54</v>
      </c>
      <c r="S136">
        <v>10.97</v>
      </c>
      <c r="T136">
        <v>17.95</v>
      </c>
      <c r="U136">
        <v>2</v>
      </c>
      <c r="V136">
        <v>110</v>
      </c>
      <c r="W136">
        <v>60</v>
      </c>
      <c r="X136">
        <v>2</v>
      </c>
      <c r="AC136">
        <v>3</v>
      </c>
      <c r="AD136">
        <v>2</v>
      </c>
      <c r="AF136">
        <v>246</v>
      </c>
      <c r="AG136">
        <v>48.68</v>
      </c>
      <c r="AH136">
        <v>117</v>
      </c>
      <c r="AI136">
        <v>203</v>
      </c>
      <c r="AJ136" t="s">
        <v>282</v>
      </c>
      <c r="AK136" t="s">
        <v>283</v>
      </c>
      <c r="AM136" t="b">
        <f t="shared" si="2"/>
        <v>0</v>
      </c>
    </row>
    <row r="137" spans="1:39" x14ac:dyDescent="0.25">
      <c r="A137">
        <v>136</v>
      </c>
      <c r="B137">
        <v>136</v>
      </c>
      <c r="C137" t="s">
        <v>284</v>
      </c>
      <c r="D137">
        <v>35</v>
      </c>
      <c r="E137">
        <v>2</v>
      </c>
      <c r="F137">
        <v>61</v>
      </c>
      <c r="G137">
        <v>73.7</v>
      </c>
      <c r="H137">
        <v>101</v>
      </c>
      <c r="I137">
        <v>2</v>
      </c>
      <c r="J137">
        <v>2</v>
      </c>
      <c r="K137">
        <v>3</v>
      </c>
      <c r="L137">
        <v>2</v>
      </c>
      <c r="M137" s="4" t="s">
        <v>36</v>
      </c>
      <c r="N137">
        <v>1</v>
      </c>
      <c r="O137" s="4">
        <v>1</v>
      </c>
      <c r="P137">
        <v>4</v>
      </c>
      <c r="Q137" s="4">
        <v>7.86</v>
      </c>
      <c r="R137">
        <v>6.5</v>
      </c>
      <c r="S137">
        <v>9.49</v>
      </c>
      <c r="T137">
        <v>15.51</v>
      </c>
      <c r="U137">
        <v>2</v>
      </c>
      <c r="V137">
        <v>120</v>
      </c>
      <c r="W137">
        <v>80</v>
      </c>
      <c r="X137">
        <v>2</v>
      </c>
      <c r="AC137">
        <v>3</v>
      </c>
      <c r="AD137">
        <v>2</v>
      </c>
      <c r="AF137">
        <v>202</v>
      </c>
      <c r="AG137">
        <v>35</v>
      </c>
      <c r="AH137">
        <v>139</v>
      </c>
      <c r="AI137">
        <v>211</v>
      </c>
      <c r="AJ137" t="s">
        <v>286</v>
      </c>
      <c r="AK137" t="s">
        <v>285</v>
      </c>
      <c r="AM137" t="b">
        <f t="shared" si="2"/>
        <v>0</v>
      </c>
    </row>
    <row r="138" spans="1:39" x14ac:dyDescent="0.25">
      <c r="A138">
        <v>137</v>
      </c>
      <c r="B138">
        <v>137</v>
      </c>
      <c r="C138" t="s">
        <v>287</v>
      </c>
      <c r="D138">
        <v>51</v>
      </c>
      <c r="E138">
        <v>2</v>
      </c>
      <c r="F138">
        <v>63</v>
      </c>
      <c r="G138">
        <v>59</v>
      </c>
      <c r="H138">
        <v>96</v>
      </c>
      <c r="I138">
        <v>2</v>
      </c>
      <c r="J138">
        <v>1</v>
      </c>
      <c r="K138">
        <v>2</v>
      </c>
      <c r="L138">
        <v>2</v>
      </c>
      <c r="M138" s="4" t="s">
        <v>36</v>
      </c>
      <c r="N138">
        <v>1</v>
      </c>
      <c r="O138" s="4">
        <v>9</v>
      </c>
      <c r="P138">
        <v>1</v>
      </c>
      <c r="Q138" s="4">
        <v>6.29</v>
      </c>
      <c r="R138">
        <v>10.3</v>
      </c>
      <c r="S138">
        <v>10.77</v>
      </c>
      <c r="T138">
        <v>18.440000000000001</v>
      </c>
      <c r="U138">
        <v>1</v>
      </c>
      <c r="V138">
        <v>140</v>
      </c>
      <c r="W138">
        <v>80</v>
      </c>
      <c r="X138">
        <v>1</v>
      </c>
      <c r="Y138">
        <v>5</v>
      </c>
      <c r="Z138">
        <v>1</v>
      </c>
      <c r="AA138">
        <v>2</v>
      </c>
      <c r="AB138">
        <v>1</v>
      </c>
      <c r="AC138">
        <v>2</v>
      </c>
      <c r="AD138">
        <v>2</v>
      </c>
      <c r="AF138">
        <v>168</v>
      </c>
      <c r="AG138">
        <v>57.9</v>
      </c>
      <c r="AH138">
        <v>146.30000000000001</v>
      </c>
      <c r="AI138">
        <v>368.4</v>
      </c>
      <c r="AJ138" t="s">
        <v>288</v>
      </c>
      <c r="AK138" t="s">
        <v>289</v>
      </c>
      <c r="AM138" t="b">
        <f t="shared" si="2"/>
        <v>0</v>
      </c>
    </row>
    <row r="139" spans="1:39" x14ac:dyDescent="0.25">
      <c r="A139">
        <v>138</v>
      </c>
      <c r="B139">
        <v>138</v>
      </c>
      <c r="C139" t="s">
        <v>290</v>
      </c>
      <c r="D139">
        <v>45</v>
      </c>
      <c r="E139">
        <v>2</v>
      </c>
      <c r="F139">
        <v>61</v>
      </c>
      <c r="G139">
        <v>62</v>
      </c>
      <c r="H139">
        <v>91</v>
      </c>
      <c r="I139">
        <v>2</v>
      </c>
      <c r="J139">
        <v>2</v>
      </c>
      <c r="K139">
        <v>2</v>
      </c>
      <c r="L139">
        <v>2</v>
      </c>
      <c r="M139" s="4" t="s">
        <v>36</v>
      </c>
      <c r="N139">
        <v>1</v>
      </c>
      <c r="O139" s="4">
        <v>18</v>
      </c>
      <c r="P139">
        <v>2</v>
      </c>
      <c r="Q139" s="4">
        <v>6.37</v>
      </c>
      <c r="R139">
        <v>16.399999999999999</v>
      </c>
      <c r="S139" s="4">
        <v>7.64</v>
      </c>
      <c r="T139">
        <v>10.68</v>
      </c>
      <c r="U139">
        <v>1</v>
      </c>
      <c r="V139">
        <v>130</v>
      </c>
      <c r="W139">
        <v>80</v>
      </c>
      <c r="X139">
        <v>2</v>
      </c>
      <c r="AC139">
        <v>3</v>
      </c>
      <c r="AD139">
        <v>2</v>
      </c>
      <c r="AF139">
        <v>356</v>
      </c>
      <c r="AG139">
        <v>40</v>
      </c>
      <c r="AH139">
        <v>117</v>
      </c>
      <c r="AI139">
        <v>188</v>
      </c>
      <c r="AJ139" t="s">
        <v>218</v>
      </c>
      <c r="AK139" t="s">
        <v>197</v>
      </c>
      <c r="AM139" t="b">
        <f t="shared" si="2"/>
        <v>0</v>
      </c>
    </row>
    <row r="140" spans="1:39" x14ac:dyDescent="0.25">
      <c r="A140">
        <v>139</v>
      </c>
      <c r="B140">
        <v>139</v>
      </c>
      <c r="C140" t="s">
        <v>291</v>
      </c>
      <c r="D140">
        <v>40</v>
      </c>
      <c r="E140">
        <v>2</v>
      </c>
      <c r="F140">
        <v>57</v>
      </c>
      <c r="G140">
        <v>39</v>
      </c>
      <c r="H140">
        <v>70</v>
      </c>
      <c r="I140">
        <v>2</v>
      </c>
      <c r="J140">
        <v>2</v>
      </c>
      <c r="K140">
        <v>2</v>
      </c>
      <c r="L140">
        <v>1</v>
      </c>
      <c r="M140" s="4" t="s">
        <v>36</v>
      </c>
      <c r="N140">
        <v>1</v>
      </c>
      <c r="O140" s="4">
        <v>5</v>
      </c>
      <c r="P140">
        <v>1</v>
      </c>
      <c r="Q140" s="4">
        <v>6.76</v>
      </c>
      <c r="R140">
        <v>25</v>
      </c>
      <c r="S140" s="4">
        <v>6.13</v>
      </c>
      <c r="T140">
        <v>8.58</v>
      </c>
      <c r="U140">
        <v>1</v>
      </c>
      <c r="V140">
        <v>120</v>
      </c>
      <c r="W140">
        <v>85</v>
      </c>
      <c r="X140">
        <v>1</v>
      </c>
      <c r="Y140">
        <v>5</v>
      </c>
      <c r="Z140">
        <v>1</v>
      </c>
      <c r="AA140">
        <v>2</v>
      </c>
      <c r="AB140">
        <v>1</v>
      </c>
      <c r="AC140">
        <v>3</v>
      </c>
      <c r="AD140">
        <v>2</v>
      </c>
      <c r="AF140">
        <v>135</v>
      </c>
      <c r="AG140">
        <v>47.64</v>
      </c>
      <c r="AH140">
        <v>221.65</v>
      </c>
      <c r="AI140">
        <v>203</v>
      </c>
      <c r="AJ140" t="s">
        <v>13</v>
      </c>
      <c r="AK140" t="s">
        <v>113</v>
      </c>
      <c r="AM140" t="b">
        <f t="shared" si="2"/>
        <v>0</v>
      </c>
    </row>
    <row r="141" spans="1:39" x14ac:dyDescent="0.25">
      <c r="A141">
        <v>140</v>
      </c>
      <c r="B141">
        <v>140</v>
      </c>
      <c r="C141" t="s">
        <v>292</v>
      </c>
      <c r="D141">
        <v>60</v>
      </c>
      <c r="E141">
        <v>2</v>
      </c>
      <c r="F141">
        <v>61.5</v>
      </c>
      <c r="G141">
        <v>66.400000000000006</v>
      </c>
      <c r="H141">
        <v>98</v>
      </c>
      <c r="I141">
        <v>2</v>
      </c>
      <c r="J141">
        <v>2</v>
      </c>
      <c r="K141">
        <v>2</v>
      </c>
      <c r="L141">
        <v>2</v>
      </c>
      <c r="M141" s="4" t="s">
        <v>36</v>
      </c>
      <c r="N141">
        <v>1</v>
      </c>
      <c r="O141" s="4">
        <v>3</v>
      </c>
      <c r="P141">
        <v>1</v>
      </c>
      <c r="Q141" s="4">
        <v>6.12</v>
      </c>
      <c r="R141">
        <v>9.76</v>
      </c>
      <c r="S141" s="4">
        <v>10.78</v>
      </c>
      <c r="T141">
        <v>13.46</v>
      </c>
      <c r="U141">
        <v>2</v>
      </c>
      <c r="V141">
        <v>160</v>
      </c>
      <c r="W141">
        <v>100</v>
      </c>
      <c r="X141">
        <v>1</v>
      </c>
      <c r="Y141">
        <v>3</v>
      </c>
      <c r="Z141">
        <v>1</v>
      </c>
      <c r="AA141">
        <v>2</v>
      </c>
      <c r="AB141">
        <v>1</v>
      </c>
      <c r="AC141">
        <v>2</v>
      </c>
      <c r="AD141">
        <v>1</v>
      </c>
      <c r="AE141" t="s">
        <v>192</v>
      </c>
      <c r="AF141">
        <v>246</v>
      </c>
      <c r="AG141">
        <v>41.12</v>
      </c>
      <c r="AH141">
        <v>91.9</v>
      </c>
      <c r="AI141">
        <v>99.8</v>
      </c>
      <c r="AJ141" t="s">
        <v>218</v>
      </c>
      <c r="AK141" t="s">
        <v>247</v>
      </c>
      <c r="AM141" t="b">
        <f t="shared" si="2"/>
        <v>1</v>
      </c>
    </row>
    <row r="142" spans="1:39" x14ac:dyDescent="0.25">
      <c r="A142">
        <v>141</v>
      </c>
      <c r="B142">
        <v>141</v>
      </c>
      <c r="C142" t="s">
        <v>105</v>
      </c>
      <c r="D142">
        <v>66</v>
      </c>
      <c r="E142">
        <v>2</v>
      </c>
      <c r="F142">
        <v>59</v>
      </c>
      <c r="G142">
        <v>70.7</v>
      </c>
      <c r="H142">
        <v>102</v>
      </c>
      <c r="I142">
        <v>2</v>
      </c>
      <c r="J142">
        <v>2</v>
      </c>
      <c r="K142">
        <v>2</v>
      </c>
      <c r="L142">
        <v>2</v>
      </c>
      <c r="M142" s="4" t="s">
        <v>36</v>
      </c>
      <c r="N142">
        <v>2</v>
      </c>
      <c r="O142" s="4">
        <v>3</v>
      </c>
      <c r="P142">
        <v>1</v>
      </c>
      <c r="Q142" s="4">
        <v>6.01</v>
      </c>
      <c r="R142">
        <v>4.9400000000000004</v>
      </c>
      <c r="S142">
        <v>10.62</v>
      </c>
      <c r="T142">
        <v>15.61</v>
      </c>
      <c r="U142">
        <v>2</v>
      </c>
      <c r="V142">
        <v>170</v>
      </c>
      <c r="W142">
        <v>90</v>
      </c>
      <c r="X142">
        <v>2</v>
      </c>
      <c r="AC142">
        <v>3</v>
      </c>
      <c r="AD142">
        <v>2</v>
      </c>
      <c r="AF142">
        <v>202</v>
      </c>
      <c r="AG142">
        <v>63.7</v>
      </c>
      <c r="AH142">
        <v>82.21</v>
      </c>
      <c r="AI142">
        <v>188</v>
      </c>
      <c r="AJ142" t="s">
        <v>119</v>
      </c>
      <c r="AK142" t="s">
        <v>62</v>
      </c>
      <c r="AL142" t="s">
        <v>146</v>
      </c>
      <c r="AM142" t="b">
        <f t="shared" si="2"/>
        <v>1</v>
      </c>
    </row>
    <row r="143" spans="1:39" x14ac:dyDescent="0.25">
      <c r="A143">
        <v>142</v>
      </c>
      <c r="B143">
        <v>142</v>
      </c>
      <c r="C143" t="s">
        <v>293</v>
      </c>
      <c r="D143">
        <v>40</v>
      </c>
      <c r="E143">
        <v>1</v>
      </c>
      <c r="F143">
        <v>62</v>
      </c>
      <c r="G143">
        <v>58.4</v>
      </c>
      <c r="H143">
        <v>87</v>
      </c>
      <c r="I143">
        <v>2</v>
      </c>
      <c r="J143">
        <v>3</v>
      </c>
      <c r="K143">
        <v>1</v>
      </c>
      <c r="L143">
        <v>1</v>
      </c>
      <c r="M143" s="4" t="s">
        <v>294</v>
      </c>
      <c r="N143">
        <v>1</v>
      </c>
      <c r="O143" s="4" t="s">
        <v>295</v>
      </c>
      <c r="P143">
        <v>5</v>
      </c>
      <c r="Q143" s="4">
        <v>5.98</v>
      </c>
      <c r="R143">
        <v>12.8</v>
      </c>
      <c r="S143">
        <v>9.31</v>
      </c>
      <c r="T143">
        <v>12.47</v>
      </c>
      <c r="U143">
        <v>2</v>
      </c>
      <c r="V143">
        <v>120</v>
      </c>
      <c r="W143">
        <v>80</v>
      </c>
      <c r="X143">
        <v>2</v>
      </c>
      <c r="AC143">
        <v>3</v>
      </c>
      <c r="AD143">
        <v>2</v>
      </c>
      <c r="AF143">
        <v>168</v>
      </c>
      <c r="AG143">
        <v>47.64</v>
      </c>
      <c r="AH143">
        <v>89.4</v>
      </c>
      <c r="AI143">
        <v>203</v>
      </c>
      <c r="AJ143" t="s">
        <v>13</v>
      </c>
      <c r="AK143" t="s">
        <v>62</v>
      </c>
      <c r="AL143" t="s">
        <v>170</v>
      </c>
      <c r="AM143" t="b">
        <f t="shared" si="2"/>
        <v>0</v>
      </c>
    </row>
    <row r="144" spans="1:39" x14ac:dyDescent="0.25">
      <c r="A144">
        <v>143</v>
      </c>
      <c r="B144">
        <v>143</v>
      </c>
      <c r="C144" t="s">
        <v>296</v>
      </c>
      <c r="D144">
        <v>66</v>
      </c>
      <c r="E144">
        <v>1</v>
      </c>
      <c r="F144">
        <v>64</v>
      </c>
      <c r="G144">
        <v>69.599999999999994</v>
      </c>
      <c r="H144">
        <v>95</v>
      </c>
      <c r="I144">
        <v>2</v>
      </c>
      <c r="J144">
        <v>3</v>
      </c>
      <c r="K144">
        <v>1</v>
      </c>
      <c r="L144">
        <v>2</v>
      </c>
      <c r="M144" s="4" t="s">
        <v>297</v>
      </c>
      <c r="N144">
        <v>2</v>
      </c>
      <c r="O144" s="4">
        <v>12</v>
      </c>
      <c r="P144">
        <v>3</v>
      </c>
      <c r="Q144" s="4">
        <v>6.55</v>
      </c>
      <c r="R144">
        <v>14.1</v>
      </c>
      <c r="S144" s="4">
        <v>8.8000000000000007</v>
      </c>
      <c r="T144">
        <v>10.68</v>
      </c>
      <c r="U144">
        <v>1</v>
      </c>
      <c r="V144">
        <v>170</v>
      </c>
      <c r="W144">
        <v>90</v>
      </c>
      <c r="X144">
        <v>1</v>
      </c>
      <c r="Y144">
        <v>5</v>
      </c>
      <c r="Z144">
        <v>1</v>
      </c>
      <c r="AA144">
        <v>1</v>
      </c>
      <c r="AB144">
        <v>1</v>
      </c>
      <c r="AC144">
        <v>2</v>
      </c>
      <c r="AD144">
        <v>2</v>
      </c>
      <c r="AF144">
        <v>147.12</v>
      </c>
      <c r="AG144">
        <v>39.71</v>
      </c>
      <c r="AH144">
        <v>82.21</v>
      </c>
      <c r="AI144">
        <v>137.57</v>
      </c>
      <c r="AJ144" t="s">
        <v>13</v>
      </c>
      <c r="AK144" t="s">
        <v>62</v>
      </c>
      <c r="AM144" t="b">
        <f t="shared" si="2"/>
        <v>1</v>
      </c>
    </row>
    <row r="145" spans="1:39" x14ac:dyDescent="0.25">
      <c r="A145">
        <v>144</v>
      </c>
      <c r="B145">
        <v>144</v>
      </c>
      <c r="C145" t="s">
        <v>51</v>
      </c>
      <c r="D145">
        <v>50</v>
      </c>
      <c r="E145">
        <v>2</v>
      </c>
      <c r="F145">
        <v>57.5</v>
      </c>
      <c r="G145">
        <v>51.4</v>
      </c>
      <c r="H145">
        <v>86</v>
      </c>
      <c r="I145">
        <v>2</v>
      </c>
      <c r="J145">
        <v>3</v>
      </c>
      <c r="K145">
        <v>5</v>
      </c>
      <c r="L145">
        <v>3</v>
      </c>
      <c r="M145" s="4" t="s">
        <v>260</v>
      </c>
      <c r="N145">
        <v>1</v>
      </c>
      <c r="O145" s="4" t="s">
        <v>295</v>
      </c>
      <c r="P145">
        <v>5</v>
      </c>
      <c r="Q145" s="4">
        <v>7.42</v>
      </c>
      <c r="R145">
        <v>6.13</v>
      </c>
      <c r="S145">
        <v>13.82</v>
      </c>
      <c r="T145">
        <v>19.100000000000001</v>
      </c>
      <c r="U145">
        <v>2</v>
      </c>
      <c r="V145">
        <v>120</v>
      </c>
      <c r="W145">
        <v>80</v>
      </c>
      <c r="X145">
        <v>2</v>
      </c>
      <c r="AC145">
        <v>3</v>
      </c>
      <c r="AD145">
        <v>2</v>
      </c>
      <c r="AF145">
        <v>202</v>
      </c>
      <c r="AG145">
        <v>41.12</v>
      </c>
      <c r="AH145">
        <v>91.8</v>
      </c>
      <c r="AI145">
        <v>188</v>
      </c>
      <c r="AJ145" t="s">
        <v>13</v>
      </c>
      <c r="AK145" t="s">
        <v>274</v>
      </c>
      <c r="AL145" t="s">
        <v>170</v>
      </c>
      <c r="AM145" t="b">
        <f t="shared" si="2"/>
        <v>0</v>
      </c>
    </row>
    <row r="146" spans="1:39" x14ac:dyDescent="0.25">
      <c r="A146">
        <v>145</v>
      </c>
      <c r="B146">
        <v>145</v>
      </c>
      <c r="C146" t="s">
        <v>298</v>
      </c>
      <c r="D146">
        <v>48</v>
      </c>
      <c r="E146">
        <v>1</v>
      </c>
      <c r="F146">
        <v>65.5</v>
      </c>
      <c r="G146">
        <v>65</v>
      </c>
      <c r="H146">
        <v>83</v>
      </c>
      <c r="I146">
        <v>1</v>
      </c>
      <c r="J146">
        <v>3</v>
      </c>
      <c r="K146">
        <v>3</v>
      </c>
      <c r="L146">
        <v>2</v>
      </c>
      <c r="M146" s="4" t="s">
        <v>299</v>
      </c>
      <c r="N146">
        <v>1</v>
      </c>
      <c r="O146" s="4">
        <v>11</v>
      </c>
      <c r="P146">
        <v>1</v>
      </c>
      <c r="Q146" s="4">
        <v>5.9</v>
      </c>
      <c r="R146">
        <v>11.54</v>
      </c>
      <c r="S146">
        <v>9.7799999999999994</v>
      </c>
      <c r="T146">
        <v>16.600000000000001</v>
      </c>
      <c r="U146">
        <v>1</v>
      </c>
      <c r="V146">
        <v>120</v>
      </c>
      <c r="W146">
        <v>90</v>
      </c>
      <c r="X146">
        <v>2</v>
      </c>
      <c r="AC146">
        <v>3</v>
      </c>
      <c r="AD146">
        <v>2</v>
      </c>
      <c r="AF146">
        <v>168</v>
      </c>
      <c r="AG146">
        <v>38.5</v>
      </c>
      <c r="AH146">
        <v>91.8</v>
      </c>
      <c r="AI146">
        <v>203</v>
      </c>
      <c r="AJ146" t="s">
        <v>13</v>
      </c>
      <c r="AK146" t="s">
        <v>274</v>
      </c>
      <c r="AM146" t="b">
        <f t="shared" si="2"/>
        <v>1</v>
      </c>
    </row>
    <row r="147" spans="1:39" x14ac:dyDescent="0.25">
      <c r="A147">
        <v>146</v>
      </c>
      <c r="B147">
        <v>146</v>
      </c>
      <c r="C147" t="s">
        <v>300</v>
      </c>
      <c r="D147">
        <v>66</v>
      </c>
      <c r="E147">
        <v>1</v>
      </c>
      <c r="F147">
        <v>65</v>
      </c>
      <c r="G147">
        <v>72</v>
      </c>
      <c r="H147">
        <v>94</v>
      </c>
      <c r="I147">
        <v>2</v>
      </c>
      <c r="J147">
        <v>3</v>
      </c>
      <c r="K147">
        <v>1</v>
      </c>
      <c r="L147">
        <v>1</v>
      </c>
      <c r="M147" s="4" t="s">
        <v>297</v>
      </c>
      <c r="N147">
        <v>1</v>
      </c>
      <c r="O147" s="4">
        <v>12</v>
      </c>
      <c r="P147">
        <v>3</v>
      </c>
      <c r="Q147" s="4">
        <v>7.38</v>
      </c>
      <c r="R147">
        <v>6.5</v>
      </c>
      <c r="S147" s="4">
        <v>10.57</v>
      </c>
      <c r="T147">
        <v>17.78</v>
      </c>
      <c r="U147">
        <v>1</v>
      </c>
      <c r="V147">
        <v>150</v>
      </c>
      <c r="W147">
        <v>90</v>
      </c>
      <c r="X147">
        <v>1</v>
      </c>
      <c r="Y147">
        <v>12</v>
      </c>
      <c r="Z147">
        <v>1</v>
      </c>
      <c r="AA147">
        <v>1</v>
      </c>
      <c r="AB147">
        <v>1</v>
      </c>
      <c r="AC147">
        <v>2</v>
      </c>
      <c r="AD147">
        <v>1</v>
      </c>
      <c r="AE147" t="s">
        <v>93</v>
      </c>
      <c r="AF147">
        <v>356</v>
      </c>
      <c r="AG147">
        <v>39.71</v>
      </c>
      <c r="AH147">
        <v>82.21</v>
      </c>
      <c r="AI147">
        <v>137.57</v>
      </c>
      <c r="AJ147" t="s">
        <v>301</v>
      </c>
      <c r="AK147" t="s">
        <v>137</v>
      </c>
      <c r="AM147" t="b">
        <f t="shared" si="2"/>
        <v>1</v>
      </c>
    </row>
    <row r="148" spans="1:39" x14ac:dyDescent="0.25">
      <c r="A148">
        <v>147</v>
      </c>
      <c r="B148">
        <v>147</v>
      </c>
      <c r="C148" t="s">
        <v>302</v>
      </c>
      <c r="D148">
        <v>40</v>
      </c>
      <c r="E148">
        <v>2</v>
      </c>
      <c r="F148">
        <v>60</v>
      </c>
      <c r="G148">
        <v>57</v>
      </c>
      <c r="H148">
        <v>83</v>
      </c>
      <c r="I148">
        <v>2</v>
      </c>
      <c r="J148">
        <v>2</v>
      </c>
      <c r="K148">
        <v>2</v>
      </c>
      <c r="L148">
        <v>1</v>
      </c>
      <c r="M148" s="4" t="s">
        <v>36</v>
      </c>
      <c r="N148">
        <v>1</v>
      </c>
      <c r="O148" s="4">
        <v>15</v>
      </c>
      <c r="P148">
        <v>3</v>
      </c>
      <c r="Q148" s="4">
        <v>5.64</v>
      </c>
      <c r="R148">
        <v>30.56</v>
      </c>
      <c r="S148" s="4">
        <v>7.73</v>
      </c>
      <c r="T148">
        <v>9.4700000000000006</v>
      </c>
      <c r="U148">
        <v>1</v>
      </c>
      <c r="V148">
        <v>135</v>
      </c>
      <c r="W148">
        <v>90</v>
      </c>
      <c r="X148">
        <v>1</v>
      </c>
      <c r="Y148">
        <v>10</v>
      </c>
      <c r="Z148">
        <v>1</v>
      </c>
      <c r="AA148">
        <v>2</v>
      </c>
      <c r="AB148">
        <v>1</v>
      </c>
      <c r="AC148">
        <v>3</v>
      </c>
      <c r="AD148">
        <v>2</v>
      </c>
      <c r="AF148">
        <v>135</v>
      </c>
      <c r="AG148">
        <v>43.4</v>
      </c>
      <c r="AH148">
        <v>89.4</v>
      </c>
      <c r="AI148">
        <v>182.5</v>
      </c>
      <c r="AJ148" t="s">
        <v>303</v>
      </c>
      <c r="AK148" t="s">
        <v>274</v>
      </c>
      <c r="AM148" t="b">
        <f t="shared" si="2"/>
        <v>1</v>
      </c>
    </row>
    <row r="149" spans="1:39" x14ac:dyDescent="0.25">
      <c r="A149">
        <v>148</v>
      </c>
      <c r="B149">
        <v>148</v>
      </c>
      <c r="C149" t="s">
        <v>304</v>
      </c>
      <c r="D149">
        <v>39</v>
      </c>
      <c r="E149">
        <v>1</v>
      </c>
      <c r="F149">
        <v>70</v>
      </c>
      <c r="G149">
        <v>72</v>
      </c>
      <c r="H149">
        <v>86</v>
      </c>
      <c r="I149">
        <v>2</v>
      </c>
      <c r="J149">
        <v>3</v>
      </c>
      <c r="K149">
        <v>5</v>
      </c>
      <c r="L149">
        <v>2</v>
      </c>
      <c r="M149" s="4" t="s">
        <v>239</v>
      </c>
      <c r="N149">
        <v>1</v>
      </c>
      <c r="O149" s="4">
        <v>2</v>
      </c>
      <c r="P149">
        <v>3</v>
      </c>
      <c r="Q149" s="4">
        <v>6.56</v>
      </c>
      <c r="R149">
        <v>6.5</v>
      </c>
      <c r="S149" s="4">
        <v>10.86</v>
      </c>
      <c r="T149">
        <v>14.15</v>
      </c>
      <c r="U149">
        <v>1</v>
      </c>
      <c r="V149">
        <v>130</v>
      </c>
      <c r="W149">
        <v>90</v>
      </c>
      <c r="X149">
        <v>1</v>
      </c>
      <c r="Y149">
        <v>2</v>
      </c>
      <c r="Z149">
        <v>1</v>
      </c>
      <c r="AA149">
        <v>2</v>
      </c>
      <c r="AB149">
        <v>1</v>
      </c>
      <c r="AC149">
        <v>2</v>
      </c>
      <c r="AD149">
        <v>2</v>
      </c>
      <c r="AF149">
        <v>246</v>
      </c>
      <c r="AG149">
        <v>44.2</v>
      </c>
      <c r="AH149">
        <v>132.03</v>
      </c>
      <c r="AI149">
        <v>152.96</v>
      </c>
      <c r="AJ149" t="s">
        <v>119</v>
      </c>
      <c r="AK149" t="s">
        <v>62</v>
      </c>
      <c r="AM149" t="b">
        <f t="shared" si="2"/>
        <v>1</v>
      </c>
    </row>
    <row r="150" spans="1:39" x14ac:dyDescent="0.25">
      <c r="A150">
        <v>149</v>
      </c>
      <c r="B150">
        <v>149</v>
      </c>
      <c r="C150" t="s">
        <v>273</v>
      </c>
      <c r="D150">
        <v>35</v>
      </c>
      <c r="E150">
        <v>2</v>
      </c>
      <c r="F150">
        <v>56</v>
      </c>
      <c r="G150">
        <v>46</v>
      </c>
      <c r="H150">
        <v>92</v>
      </c>
      <c r="I150">
        <v>2</v>
      </c>
      <c r="J150">
        <v>2</v>
      </c>
      <c r="K150">
        <v>1</v>
      </c>
      <c r="L150">
        <v>1</v>
      </c>
      <c r="M150" s="4" t="s">
        <v>36</v>
      </c>
      <c r="N150">
        <v>1</v>
      </c>
      <c r="O150" s="4">
        <v>1</v>
      </c>
      <c r="P150">
        <v>3</v>
      </c>
      <c r="Q150" s="4">
        <v>7.59</v>
      </c>
      <c r="R150">
        <v>17.12</v>
      </c>
      <c r="S150">
        <v>9.41</v>
      </c>
      <c r="T150">
        <v>13.25</v>
      </c>
      <c r="U150">
        <v>2</v>
      </c>
      <c r="V150">
        <v>90</v>
      </c>
      <c r="W150">
        <v>60</v>
      </c>
      <c r="X150">
        <v>2</v>
      </c>
      <c r="AC150">
        <v>3</v>
      </c>
      <c r="AD150">
        <v>2</v>
      </c>
      <c r="AF150">
        <v>356</v>
      </c>
      <c r="AG150">
        <v>41.12</v>
      </c>
      <c r="AH150">
        <v>82.21</v>
      </c>
      <c r="AI150">
        <v>182.5</v>
      </c>
      <c r="AJ150" t="s">
        <v>306</v>
      </c>
      <c r="AK150" t="s">
        <v>305</v>
      </c>
      <c r="AM150" t="b">
        <f t="shared" si="2"/>
        <v>0</v>
      </c>
    </row>
    <row r="151" spans="1:39" x14ac:dyDescent="0.25">
      <c r="A151">
        <v>150</v>
      </c>
      <c r="B151">
        <v>150</v>
      </c>
      <c r="C151" t="s">
        <v>10</v>
      </c>
      <c r="D151">
        <v>38</v>
      </c>
      <c r="E151">
        <v>1</v>
      </c>
      <c r="F151">
        <v>64</v>
      </c>
      <c r="G151">
        <v>41.7</v>
      </c>
      <c r="H151">
        <v>80</v>
      </c>
      <c r="I151">
        <v>1</v>
      </c>
      <c r="J151">
        <v>4</v>
      </c>
      <c r="K151">
        <v>1</v>
      </c>
      <c r="L151">
        <v>1</v>
      </c>
      <c r="M151" s="4" t="s">
        <v>309</v>
      </c>
      <c r="N151">
        <v>1</v>
      </c>
      <c r="O151" s="4">
        <v>2</v>
      </c>
      <c r="P151">
        <v>1</v>
      </c>
      <c r="Q151" s="4">
        <v>5.97</v>
      </c>
      <c r="R151">
        <v>12.04</v>
      </c>
      <c r="S151">
        <v>6.45</v>
      </c>
      <c r="T151">
        <v>8.09</v>
      </c>
      <c r="U151">
        <v>1</v>
      </c>
      <c r="V151">
        <v>130</v>
      </c>
      <c r="W151">
        <v>90</v>
      </c>
      <c r="X151">
        <v>1</v>
      </c>
      <c r="Y151">
        <v>3</v>
      </c>
      <c r="Z151">
        <v>1</v>
      </c>
      <c r="AA151">
        <v>2</v>
      </c>
      <c r="AB151">
        <v>4</v>
      </c>
      <c r="AC151">
        <v>1</v>
      </c>
      <c r="AD151">
        <v>2</v>
      </c>
      <c r="AF151">
        <v>197</v>
      </c>
      <c r="AG151">
        <v>59.7</v>
      </c>
      <c r="AH151">
        <v>129.19999999999999</v>
      </c>
      <c r="AI151">
        <v>190</v>
      </c>
      <c r="AJ151" t="s">
        <v>59</v>
      </c>
      <c r="AK151" t="s">
        <v>86</v>
      </c>
      <c r="AM151" t="b">
        <f t="shared" si="2"/>
        <v>1</v>
      </c>
    </row>
    <row r="152" spans="1:39" x14ac:dyDescent="0.25">
      <c r="A152">
        <v>151</v>
      </c>
      <c r="B152">
        <v>151</v>
      </c>
      <c r="C152" t="s">
        <v>12</v>
      </c>
      <c r="D152">
        <v>70</v>
      </c>
      <c r="E152">
        <v>1</v>
      </c>
      <c r="F152">
        <v>63</v>
      </c>
      <c r="G152">
        <v>46</v>
      </c>
      <c r="H152">
        <v>90</v>
      </c>
      <c r="I152">
        <v>1</v>
      </c>
      <c r="J152">
        <v>2</v>
      </c>
      <c r="K152">
        <v>3</v>
      </c>
      <c r="L152">
        <v>1</v>
      </c>
      <c r="M152" s="4" t="s">
        <v>308</v>
      </c>
      <c r="N152">
        <v>1</v>
      </c>
      <c r="O152" s="4">
        <v>5</v>
      </c>
      <c r="P152">
        <v>1</v>
      </c>
      <c r="Q152" s="4">
        <v>6.13</v>
      </c>
      <c r="R152">
        <v>12.05</v>
      </c>
      <c r="S152">
        <v>7.07</v>
      </c>
      <c r="T152">
        <v>9.64</v>
      </c>
      <c r="U152" s="4">
        <v>2</v>
      </c>
      <c r="V152">
        <v>130</v>
      </c>
      <c r="W152">
        <v>80</v>
      </c>
      <c r="X152">
        <v>1</v>
      </c>
      <c r="Y152">
        <v>4</v>
      </c>
      <c r="Z152">
        <v>1</v>
      </c>
      <c r="AA152">
        <v>1</v>
      </c>
      <c r="AB152">
        <v>1</v>
      </c>
      <c r="AC152">
        <v>2</v>
      </c>
      <c r="AD152">
        <v>1</v>
      </c>
      <c r="AE152" t="s">
        <v>93</v>
      </c>
      <c r="AF152">
        <v>227</v>
      </c>
      <c r="AG152">
        <v>40</v>
      </c>
      <c r="AH152">
        <v>148</v>
      </c>
      <c r="AI152">
        <v>193</v>
      </c>
      <c r="AJ152" t="s">
        <v>88</v>
      </c>
      <c r="AK152" t="s">
        <v>89</v>
      </c>
      <c r="AM152" t="b">
        <f t="shared" si="2"/>
        <v>0</v>
      </c>
    </row>
    <row r="153" spans="1:39" x14ac:dyDescent="0.25">
      <c r="A153">
        <v>152</v>
      </c>
      <c r="B153">
        <v>152</v>
      </c>
      <c r="C153" t="s">
        <v>16</v>
      </c>
      <c r="D153">
        <v>56</v>
      </c>
      <c r="E153">
        <v>1</v>
      </c>
      <c r="F153">
        <v>71</v>
      </c>
      <c r="G153">
        <v>106</v>
      </c>
      <c r="H153">
        <v>104</v>
      </c>
      <c r="I153">
        <v>2</v>
      </c>
      <c r="J153">
        <v>2</v>
      </c>
      <c r="K153">
        <v>4</v>
      </c>
      <c r="L153">
        <v>3</v>
      </c>
      <c r="M153" s="4" t="s">
        <v>68</v>
      </c>
      <c r="N153">
        <v>2</v>
      </c>
      <c r="O153" s="4">
        <v>5</v>
      </c>
      <c r="P153">
        <v>1</v>
      </c>
      <c r="Q153" s="4">
        <v>6.04</v>
      </c>
      <c r="R153">
        <v>21.54</v>
      </c>
      <c r="S153">
        <v>7.34</v>
      </c>
      <c r="T153">
        <v>9.5299999999999994</v>
      </c>
      <c r="U153">
        <v>2</v>
      </c>
      <c r="V153">
        <v>130</v>
      </c>
      <c r="W153">
        <v>80</v>
      </c>
      <c r="X153">
        <v>1</v>
      </c>
      <c r="Y153">
        <v>1</v>
      </c>
      <c r="Z153">
        <v>1</v>
      </c>
      <c r="AA153">
        <v>2</v>
      </c>
      <c r="AB153">
        <v>1</v>
      </c>
      <c r="AC153">
        <v>2</v>
      </c>
      <c r="AD153">
        <v>1</v>
      </c>
      <c r="AE153" t="s">
        <v>92</v>
      </c>
      <c r="AF153">
        <v>107.09</v>
      </c>
      <c r="AG153">
        <v>26.83</v>
      </c>
      <c r="AH153">
        <v>47.19</v>
      </c>
      <c r="AI153">
        <v>206.25</v>
      </c>
      <c r="AJ153" t="s">
        <v>13</v>
      </c>
      <c r="AK153" t="s">
        <v>62</v>
      </c>
      <c r="AM153" t="b">
        <f t="shared" si="2"/>
        <v>0</v>
      </c>
    </row>
    <row r="154" spans="1:39" x14ac:dyDescent="0.25">
      <c r="A154">
        <v>153</v>
      </c>
      <c r="B154">
        <v>153</v>
      </c>
      <c r="C154" t="s">
        <v>21</v>
      </c>
      <c r="D154">
        <v>65</v>
      </c>
      <c r="E154">
        <v>1</v>
      </c>
      <c r="F154">
        <v>58</v>
      </c>
      <c r="G154">
        <v>64.099999999999994</v>
      </c>
      <c r="H154">
        <v>97</v>
      </c>
      <c r="I154">
        <v>2</v>
      </c>
      <c r="J154">
        <v>2</v>
      </c>
      <c r="K154">
        <v>1</v>
      </c>
      <c r="L154">
        <v>1</v>
      </c>
      <c r="M154" s="4" t="s">
        <v>36</v>
      </c>
      <c r="N154">
        <v>1</v>
      </c>
      <c r="O154" s="4" t="s">
        <v>57</v>
      </c>
      <c r="P154">
        <v>5</v>
      </c>
      <c r="Q154" s="4">
        <v>7.61</v>
      </c>
      <c r="R154">
        <v>11.46</v>
      </c>
      <c r="S154">
        <v>8.7899999999999991</v>
      </c>
      <c r="T154">
        <v>11.7</v>
      </c>
      <c r="U154">
        <v>1</v>
      </c>
      <c r="V154">
        <v>120</v>
      </c>
      <c r="W154">
        <v>80</v>
      </c>
      <c r="X154">
        <v>2</v>
      </c>
      <c r="AC154">
        <v>2</v>
      </c>
      <c r="AD154">
        <v>2</v>
      </c>
      <c r="AF154">
        <v>194.07</v>
      </c>
      <c r="AG154">
        <v>48.3</v>
      </c>
      <c r="AH154">
        <v>131.25</v>
      </c>
      <c r="AI154">
        <v>92.78</v>
      </c>
      <c r="AJ154" t="s">
        <v>13</v>
      </c>
      <c r="AK154" t="s">
        <v>15</v>
      </c>
      <c r="AM154" t="b">
        <f t="shared" si="2"/>
        <v>0</v>
      </c>
    </row>
    <row r="155" spans="1:39" x14ac:dyDescent="0.25">
      <c r="A155">
        <v>154</v>
      </c>
      <c r="B155">
        <v>154</v>
      </c>
      <c r="C155" t="s">
        <v>23</v>
      </c>
      <c r="D155">
        <v>65</v>
      </c>
      <c r="E155">
        <v>1</v>
      </c>
      <c r="F155">
        <v>60</v>
      </c>
      <c r="G155">
        <v>52.2</v>
      </c>
      <c r="H155">
        <v>95</v>
      </c>
      <c r="I155">
        <v>2</v>
      </c>
      <c r="J155">
        <v>2</v>
      </c>
      <c r="K155">
        <v>3</v>
      </c>
      <c r="L155">
        <v>1</v>
      </c>
      <c r="M155" s="4" t="s">
        <v>36</v>
      </c>
      <c r="N155">
        <v>1</v>
      </c>
      <c r="O155" s="4">
        <v>11</v>
      </c>
      <c r="P155">
        <v>1</v>
      </c>
      <c r="Q155" s="4">
        <v>7.47</v>
      </c>
      <c r="R155">
        <v>13.22</v>
      </c>
      <c r="S155">
        <v>10.78</v>
      </c>
      <c r="T155">
        <v>13.97</v>
      </c>
      <c r="U155">
        <v>2</v>
      </c>
      <c r="V155">
        <v>110</v>
      </c>
      <c r="W155">
        <v>70</v>
      </c>
      <c r="X155">
        <v>2</v>
      </c>
      <c r="AC155">
        <v>2</v>
      </c>
      <c r="AD155">
        <v>2</v>
      </c>
      <c r="AF155">
        <v>295.52</v>
      </c>
      <c r="AG155">
        <v>49.25</v>
      </c>
      <c r="AH155">
        <v>208.81</v>
      </c>
      <c r="AI155">
        <v>187.3</v>
      </c>
      <c r="AJ155" t="s">
        <v>13</v>
      </c>
      <c r="AK155" t="s">
        <v>15</v>
      </c>
      <c r="AM155" t="b">
        <f t="shared" si="2"/>
        <v>0</v>
      </c>
    </row>
    <row r="156" spans="1:39" x14ac:dyDescent="0.25">
      <c r="A156">
        <v>155</v>
      </c>
      <c r="B156">
        <v>155</v>
      </c>
      <c r="C156" t="s">
        <v>25</v>
      </c>
      <c r="D156">
        <v>70</v>
      </c>
      <c r="E156">
        <v>1</v>
      </c>
      <c r="F156">
        <v>58</v>
      </c>
      <c r="G156">
        <v>59.4</v>
      </c>
      <c r="H156">
        <v>97</v>
      </c>
      <c r="I156">
        <v>2</v>
      </c>
      <c r="J156">
        <v>2</v>
      </c>
      <c r="K156">
        <v>1</v>
      </c>
      <c r="L156">
        <v>1</v>
      </c>
      <c r="M156" s="4" t="s">
        <v>36</v>
      </c>
      <c r="N156">
        <v>1</v>
      </c>
      <c r="O156" s="4" t="s">
        <v>57</v>
      </c>
      <c r="P156">
        <v>5</v>
      </c>
      <c r="Q156" s="4">
        <v>6.74</v>
      </c>
      <c r="R156" s="7">
        <v>10.3</v>
      </c>
      <c r="S156">
        <v>8.4600000000000009</v>
      </c>
      <c r="T156">
        <v>11.52</v>
      </c>
      <c r="U156">
        <v>2</v>
      </c>
      <c r="V156">
        <v>180</v>
      </c>
      <c r="W156">
        <v>100</v>
      </c>
      <c r="X156">
        <v>2</v>
      </c>
      <c r="AC156">
        <v>3</v>
      </c>
      <c r="AD156">
        <v>2</v>
      </c>
      <c r="AF156">
        <v>269.14999999999998</v>
      </c>
      <c r="AG156">
        <v>44.85</v>
      </c>
      <c r="AH156">
        <v>186.97</v>
      </c>
      <c r="AI156">
        <v>186.62</v>
      </c>
      <c r="AJ156" t="s">
        <v>13</v>
      </c>
      <c r="AK156" t="s">
        <v>15</v>
      </c>
      <c r="AM156" t="b">
        <f t="shared" si="2"/>
        <v>1</v>
      </c>
    </row>
    <row r="157" spans="1:39" x14ac:dyDescent="0.25">
      <c r="A157">
        <v>156</v>
      </c>
      <c r="B157">
        <v>156</v>
      </c>
      <c r="C157" t="s">
        <v>27</v>
      </c>
      <c r="D157">
        <v>55</v>
      </c>
      <c r="E157">
        <v>1</v>
      </c>
      <c r="F157">
        <v>57</v>
      </c>
      <c r="G157">
        <v>64</v>
      </c>
      <c r="H157">
        <v>92</v>
      </c>
      <c r="I157">
        <v>2</v>
      </c>
      <c r="J157">
        <v>2</v>
      </c>
      <c r="K157">
        <v>1</v>
      </c>
      <c r="L157">
        <v>1</v>
      </c>
      <c r="M157" s="4" t="s">
        <v>36</v>
      </c>
      <c r="N157">
        <v>1</v>
      </c>
      <c r="O157" s="4">
        <v>11</v>
      </c>
      <c r="P157">
        <v>1</v>
      </c>
      <c r="Q157" s="4">
        <v>6.26</v>
      </c>
      <c r="R157">
        <v>23.26</v>
      </c>
      <c r="S157">
        <v>9.82</v>
      </c>
      <c r="T157">
        <v>8.74</v>
      </c>
      <c r="U157">
        <v>2</v>
      </c>
      <c r="V157">
        <v>150</v>
      </c>
      <c r="W157">
        <v>100</v>
      </c>
      <c r="X157">
        <v>1</v>
      </c>
      <c r="Y157">
        <v>1</v>
      </c>
      <c r="Z157">
        <v>2</v>
      </c>
      <c r="AA157">
        <v>2</v>
      </c>
      <c r="AB157">
        <v>1</v>
      </c>
      <c r="AC157">
        <v>2</v>
      </c>
      <c r="AD157">
        <v>2</v>
      </c>
      <c r="AF157">
        <v>142</v>
      </c>
      <c r="AG157">
        <v>41.1</v>
      </c>
      <c r="AH157">
        <v>58.8</v>
      </c>
      <c r="AI157">
        <v>222.7</v>
      </c>
      <c r="AJ157" t="s">
        <v>13</v>
      </c>
      <c r="AK157" t="s">
        <v>94</v>
      </c>
      <c r="AM157" t="b">
        <f t="shared" si="2"/>
        <v>1</v>
      </c>
    </row>
    <row r="158" spans="1:39" x14ac:dyDescent="0.25">
      <c r="A158">
        <v>157</v>
      </c>
      <c r="B158">
        <v>157</v>
      </c>
      <c r="C158" t="s">
        <v>31</v>
      </c>
      <c r="D158">
        <v>75</v>
      </c>
      <c r="E158">
        <v>1</v>
      </c>
      <c r="F158">
        <v>60</v>
      </c>
      <c r="G158">
        <v>59.4</v>
      </c>
      <c r="H158">
        <v>88</v>
      </c>
      <c r="I158">
        <v>2</v>
      </c>
      <c r="J158">
        <v>1</v>
      </c>
      <c r="K158">
        <v>2</v>
      </c>
      <c r="L158">
        <v>2</v>
      </c>
      <c r="M158" s="4" t="s">
        <v>36</v>
      </c>
      <c r="N158">
        <v>1</v>
      </c>
      <c r="O158" s="4">
        <v>10</v>
      </c>
      <c r="P158">
        <v>3</v>
      </c>
      <c r="Q158" s="4">
        <v>6.19</v>
      </c>
      <c r="R158">
        <v>15.84</v>
      </c>
      <c r="S158">
        <v>6.63</v>
      </c>
      <c r="T158">
        <v>10.43</v>
      </c>
      <c r="U158">
        <v>1</v>
      </c>
      <c r="V158">
        <v>140</v>
      </c>
      <c r="W158">
        <v>100</v>
      </c>
      <c r="X158">
        <v>2</v>
      </c>
      <c r="AC158">
        <v>4</v>
      </c>
      <c r="AD158">
        <v>2</v>
      </c>
      <c r="AF158">
        <v>235.03</v>
      </c>
      <c r="AG158">
        <v>26.99</v>
      </c>
      <c r="AH158">
        <v>176.92</v>
      </c>
      <c r="AI158">
        <v>206.14</v>
      </c>
      <c r="AJ158" t="s">
        <v>13</v>
      </c>
      <c r="AK158" t="s">
        <v>15</v>
      </c>
      <c r="AL158" t="s">
        <v>146</v>
      </c>
      <c r="AM158" t="b">
        <f t="shared" si="2"/>
        <v>1</v>
      </c>
    </row>
    <row r="159" spans="1:39" x14ac:dyDescent="0.25">
      <c r="A159">
        <v>158</v>
      </c>
      <c r="B159">
        <v>158</v>
      </c>
      <c r="C159" t="s">
        <v>33</v>
      </c>
      <c r="D159">
        <v>70</v>
      </c>
      <c r="E159">
        <v>1</v>
      </c>
      <c r="F159">
        <v>62</v>
      </c>
      <c r="G159">
        <v>62</v>
      </c>
      <c r="H159">
        <v>91</v>
      </c>
      <c r="I159">
        <v>2</v>
      </c>
      <c r="J159">
        <v>1</v>
      </c>
      <c r="K159">
        <v>5</v>
      </c>
      <c r="L159">
        <v>2</v>
      </c>
      <c r="M159" s="4" t="s">
        <v>308</v>
      </c>
      <c r="N159">
        <v>1</v>
      </c>
      <c r="O159" s="4" t="s">
        <v>57</v>
      </c>
      <c r="P159">
        <v>5</v>
      </c>
      <c r="Q159" s="4">
        <v>6.91</v>
      </c>
      <c r="R159">
        <v>9.6999999999999993</v>
      </c>
      <c r="S159">
        <v>5.72</v>
      </c>
      <c r="T159">
        <v>11.08</v>
      </c>
      <c r="U159">
        <v>2</v>
      </c>
      <c r="V159">
        <v>130</v>
      </c>
      <c r="W159">
        <v>90</v>
      </c>
      <c r="X159">
        <v>1</v>
      </c>
      <c r="Y159">
        <v>2</v>
      </c>
      <c r="Z159">
        <v>1</v>
      </c>
      <c r="AA159">
        <v>1</v>
      </c>
      <c r="AB159">
        <v>4</v>
      </c>
      <c r="AC159">
        <v>2</v>
      </c>
      <c r="AD159">
        <v>2</v>
      </c>
      <c r="AF159">
        <v>157</v>
      </c>
      <c r="AG159">
        <v>51.1</v>
      </c>
      <c r="AH159">
        <v>128.6</v>
      </c>
      <c r="AI159">
        <v>192.3</v>
      </c>
      <c r="AJ159" t="s">
        <v>13</v>
      </c>
      <c r="AK159" t="s">
        <v>15</v>
      </c>
      <c r="AM159" t="b">
        <f t="shared" si="2"/>
        <v>1</v>
      </c>
    </row>
    <row r="160" spans="1:39" x14ac:dyDescent="0.25">
      <c r="A160">
        <v>159</v>
      </c>
      <c r="B160">
        <v>159</v>
      </c>
      <c r="C160" t="s">
        <v>35</v>
      </c>
      <c r="D160">
        <v>48</v>
      </c>
      <c r="E160">
        <v>2</v>
      </c>
      <c r="F160">
        <v>52</v>
      </c>
      <c r="G160">
        <v>36</v>
      </c>
      <c r="H160">
        <v>84</v>
      </c>
      <c r="I160">
        <v>2</v>
      </c>
      <c r="J160">
        <v>2</v>
      </c>
      <c r="K160">
        <v>1</v>
      </c>
      <c r="L160">
        <v>1</v>
      </c>
      <c r="M160" s="4" t="s">
        <v>117</v>
      </c>
      <c r="N160">
        <v>1</v>
      </c>
      <c r="O160" s="4">
        <v>7</v>
      </c>
      <c r="P160">
        <v>1</v>
      </c>
      <c r="Q160" s="4">
        <v>7.29</v>
      </c>
      <c r="R160">
        <v>12.48</v>
      </c>
      <c r="S160">
        <v>8.01</v>
      </c>
      <c r="T160">
        <v>10.01</v>
      </c>
      <c r="U160">
        <v>2</v>
      </c>
      <c r="V160">
        <v>160</v>
      </c>
      <c r="W160">
        <v>100</v>
      </c>
      <c r="X160">
        <v>1</v>
      </c>
      <c r="Y160">
        <v>2</v>
      </c>
      <c r="Z160">
        <v>2</v>
      </c>
      <c r="AA160">
        <v>2</v>
      </c>
      <c r="AB160">
        <v>4</v>
      </c>
      <c r="AC160">
        <v>3</v>
      </c>
      <c r="AD160">
        <v>2</v>
      </c>
      <c r="AF160">
        <v>226</v>
      </c>
      <c r="AG160">
        <v>59.5</v>
      </c>
      <c r="AH160">
        <v>114.3</v>
      </c>
      <c r="AI160">
        <v>231.1</v>
      </c>
      <c r="AJ160" t="s">
        <v>13</v>
      </c>
      <c r="AK160" t="s">
        <v>50</v>
      </c>
      <c r="AM160" t="b">
        <f t="shared" si="2"/>
        <v>1</v>
      </c>
    </row>
    <row r="161" spans="1:39" x14ac:dyDescent="0.25">
      <c r="A161">
        <v>160</v>
      </c>
      <c r="B161">
        <v>160</v>
      </c>
      <c r="C161" t="s">
        <v>37</v>
      </c>
      <c r="D161">
        <v>70</v>
      </c>
      <c r="E161">
        <v>1</v>
      </c>
      <c r="F161">
        <v>59</v>
      </c>
      <c r="G161">
        <v>72.599999999999994</v>
      </c>
      <c r="H161">
        <v>101</v>
      </c>
      <c r="I161">
        <v>2</v>
      </c>
      <c r="J161">
        <v>2</v>
      </c>
      <c r="K161">
        <v>3</v>
      </c>
      <c r="L161">
        <v>3</v>
      </c>
      <c r="M161" s="4" t="s">
        <v>36</v>
      </c>
      <c r="N161">
        <v>1</v>
      </c>
      <c r="O161" s="4" t="s">
        <v>57</v>
      </c>
      <c r="P161">
        <v>5</v>
      </c>
      <c r="Q161" s="4">
        <v>6.29</v>
      </c>
      <c r="R161">
        <v>8.19</v>
      </c>
      <c r="S161">
        <v>7.92</v>
      </c>
      <c r="T161">
        <v>9.43</v>
      </c>
      <c r="U161">
        <v>2</v>
      </c>
      <c r="V161">
        <v>150</v>
      </c>
      <c r="W161">
        <v>90</v>
      </c>
      <c r="X161">
        <v>2</v>
      </c>
      <c r="AC161">
        <v>3</v>
      </c>
      <c r="AD161">
        <v>2</v>
      </c>
      <c r="AF161">
        <v>136.13999999999999</v>
      </c>
      <c r="AG161">
        <v>20.39</v>
      </c>
      <c r="AH161">
        <v>93.05</v>
      </c>
      <c r="AI161">
        <v>293.73</v>
      </c>
      <c r="AJ161" t="s">
        <v>13</v>
      </c>
      <c r="AK161" t="s">
        <v>15</v>
      </c>
      <c r="AL161" t="s">
        <v>104</v>
      </c>
      <c r="AM161" t="b">
        <f t="shared" si="2"/>
        <v>1</v>
      </c>
    </row>
    <row r="162" spans="1:39" x14ac:dyDescent="0.25">
      <c r="A162">
        <v>161</v>
      </c>
      <c r="B162">
        <v>161</v>
      </c>
      <c r="C162" t="s">
        <v>38</v>
      </c>
      <c r="D162">
        <v>40</v>
      </c>
      <c r="E162">
        <v>2</v>
      </c>
      <c r="F162">
        <v>61.5</v>
      </c>
      <c r="G162">
        <v>46.8</v>
      </c>
      <c r="H162">
        <v>78</v>
      </c>
      <c r="I162">
        <v>2</v>
      </c>
      <c r="J162">
        <v>3</v>
      </c>
      <c r="K162">
        <v>2</v>
      </c>
      <c r="L162">
        <v>2</v>
      </c>
      <c r="M162" s="4" t="s">
        <v>214</v>
      </c>
      <c r="N162">
        <v>1</v>
      </c>
      <c r="O162" s="4">
        <v>6</v>
      </c>
      <c r="P162">
        <v>1</v>
      </c>
      <c r="Q162" s="4">
        <v>6.35</v>
      </c>
      <c r="R162">
        <v>17.5</v>
      </c>
      <c r="S162">
        <v>6.94</v>
      </c>
      <c r="T162">
        <v>8.09</v>
      </c>
      <c r="U162">
        <v>1</v>
      </c>
      <c r="V162">
        <v>140</v>
      </c>
      <c r="W162">
        <v>95</v>
      </c>
      <c r="X162">
        <v>1</v>
      </c>
      <c r="Y162">
        <v>5</v>
      </c>
      <c r="Z162">
        <v>1</v>
      </c>
      <c r="AA162">
        <v>1</v>
      </c>
      <c r="AB162">
        <v>1</v>
      </c>
      <c r="AC162">
        <v>1</v>
      </c>
      <c r="AD162">
        <v>1</v>
      </c>
      <c r="AE162" t="s">
        <v>93</v>
      </c>
      <c r="AF162">
        <v>130</v>
      </c>
      <c r="AG162">
        <v>40.4</v>
      </c>
      <c r="AH162">
        <v>82.7</v>
      </c>
      <c r="AI162">
        <v>176.1</v>
      </c>
      <c r="AJ162" t="s">
        <v>118</v>
      </c>
      <c r="AK162" t="s">
        <v>15</v>
      </c>
      <c r="AM162" t="b">
        <f t="shared" si="2"/>
        <v>1</v>
      </c>
    </row>
    <row r="163" spans="1:39" x14ac:dyDescent="0.25">
      <c r="A163">
        <v>162</v>
      </c>
      <c r="B163">
        <v>162</v>
      </c>
      <c r="C163" t="s">
        <v>40</v>
      </c>
      <c r="D163">
        <v>22</v>
      </c>
      <c r="E163">
        <v>1</v>
      </c>
      <c r="F163">
        <v>65</v>
      </c>
      <c r="G163">
        <v>58</v>
      </c>
      <c r="H163">
        <v>89</v>
      </c>
      <c r="I163">
        <v>2</v>
      </c>
      <c r="J163">
        <v>3</v>
      </c>
      <c r="K163">
        <v>2</v>
      </c>
      <c r="L163">
        <v>1</v>
      </c>
      <c r="M163" s="4" t="s">
        <v>214</v>
      </c>
      <c r="N163">
        <v>1</v>
      </c>
      <c r="O163" s="4">
        <v>4</v>
      </c>
      <c r="P163">
        <v>5</v>
      </c>
      <c r="Q163" s="4">
        <v>6.22</v>
      </c>
      <c r="R163">
        <v>12.7</v>
      </c>
      <c r="S163">
        <v>7.49</v>
      </c>
      <c r="T163">
        <v>11.54</v>
      </c>
      <c r="U163">
        <v>1</v>
      </c>
      <c r="V163">
        <v>140</v>
      </c>
      <c r="W163">
        <v>95</v>
      </c>
      <c r="X163">
        <v>1</v>
      </c>
      <c r="Y163">
        <v>10</v>
      </c>
      <c r="Z163">
        <v>1</v>
      </c>
      <c r="AA163">
        <v>1</v>
      </c>
      <c r="AB163">
        <v>1</v>
      </c>
      <c r="AC163">
        <v>1</v>
      </c>
      <c r="AD163">
        <v>2</v>
      </c>
      <c r="AF163">
        <v>219</v>
      </c>
      <c r="AG163">
        <v>52.3</v>
      </c>
      <c r="AH163">
        <v>92.3</v>
      </c>
      <c r="AI163">
        <v>388</v>
      </c>
      <c r="AJ163" t="s">
        <v>13</v>
      </c>
      <c r="AK163" t="s">
        <v>15</v>
      </c>
      <c r="AM163" t="b">
        <f t="shared" si="2"/>
        <v>1</v>
      </c>
    </row>
    <row r="164" spans="1:39" x14ac:dyDescent="0.25">
      <c r="A164">
        <v>163</v>
      </c>
      <c r="B164">
        <v>163</v>
      </c>
      <c r="C164" t="s">
        <v>41</v>
      </c>
      <c r="D164">
        <v>53</v>
      </c>
      <c r="E164">
        <v>1</v>
      </c>
      <c r="F164">
        <v>63</v>
      </c>
      <c r="G164">
        <v>61.4</v>
      </c>
      <c r="H164">
        <v>89</v>
      </c>
      <c r="I164">
        <v>1</v>
      </c>
      <c r="J164">
        <v>2</v>
      </c>
      <c r="K164">
        <v>2</v>
      </c>
      <c r="L164">
        <v>3</v>
      </c>
      <c r="M164" s="4" t="s">
        <v>24</v>
      </c>
      <c r="N164">
        <v>1</v>
      </c>
      <c r="O164" s="4">
        <v>1</v>
      </c>
      <c r="P164">
        <v>1</v>
      </c>
      <c r="Q164" s="4">
        <v>6</v>
      </c>
      <c r="R164">
        <v>12.5</v>
      </c>
      <c r="S164">
        <v>9.49</v>
      </c>
      <c r="T164">
        <v>16.11</v>
      </c>
      <c r="U164">
        <v>1</v>
      </c>
      <c r="V164">
        <v>130</v>
      </c>
      <c r="W164">
        <v>90</v>
      </c>
      <c r="X164">
        <v>1</v>
      </c>
      <c r="Y164">
        <v>12</v>
      </c>
      <c r="Z164">
        <v>1</v>
      </c>
      <c r="AA164">
        <v>1</v>
      </c>
      <c r="AB164">
        <v>1</v>
      </c>
      <c r="AC164">
        <v>1</v>
      </c>
      <c r="AD164">
        <v>2</v>
      </c>
      <c r="AF164">
        <v>267</v>
      </c>
      <c r="AG164">
        <v>77.8</v>
      </c>
      <c r="AH164">
        <v>84</v>
      </c>
      <c r="AI164">
        <v>279.8</v>
      </c>
      <c r="AJ164" t="s">
        <v>13</v>
      </c>
      <c r="AK164" t="s">
        <v>15</v>
      </c>
      <c r="AM164" t="b">
        <f t="shared" si="2"/>
        <v>1</v>
      </c>
    </row>
    <row r="165" spans="1:39" x14ac:dyDescent="0.25">
      <c r="A165">
        <v>164</v>
      </c>
      <c r="B165">
        <v>164</v>
      </c>
      <c r="C165" t="s">
        <v>44</v>
      </c>
      <c r="D165">
        <v>33</v>
      </c>
      <c r="E165">
        <v>1</v>
      </c>
      <c r="F165">
        <v>55</v>
      </c>
      <c r="G165">
        <v>47</v>
      </c>
      <c r="H165">
        <v>91</v>
      </c>
      <c r="I165">
        <v>2</v>
      </c>
      <c r="J165">
        <v>1</v>
      </c>
      <c r="K165">
        <v>1</v>
      </c>
      <c r="L165">
        <v>2</v>
      </c>
      <c r="M165" s="4" t="s">
        <v>117</v>
      </c>
      <c r="N165">
        <v>2</v>
      </c>
      <c r="O165" s="4">
        <v>10</v>
      </c>
      <c r="P165">
        <v>1</v>
      </c>
      <c r="Q165" s="4">
        <v>5.6</v>
      </c>
      <c r="R165">
        <v>11</v>
      </c>
      <c r="S165">
        <v>10.210000000000001</v>
      </c>
      <c r="T165">
        <v>18.27</v>
      </c>
      <c r="U165">
        <v>2</v>
      </c>
      <c r="V165">
        <v>140</v>
      </c>
      <c r="W165">
        <v>100</v>
      </c>
      <c r="X165">
        <v>1</v>
      </c>
      <c r="Y165">
        <v>16</v>
      </c>
      <c r="Z165">
        <v>1</v>
      </c>
      <c r="AA165">
        <v>1</v>
      </c>
      <c r="AB165">
        <v>1</v>
      </c>
      <c r="AC165">
        <v>1</v>
      </c>
      <c r="AD165">
        <v>2</v>
      </c>
      <c r="AF165">
        <v>202</v>
      </c>
      <c r="AG165">
        <v>65</v>
      </c>
      <c r="AH165">
        <v>97.7</v>
      </c>
      <c r="AI165">
        <v>882.8</v>
      </c>
      <c r="AJ165" t="s">
        <v>119</v>
      </c>
      <c r="AK165" t="s">
        <v>15</v>
      </c>
      <c r="AM165" t="b">
        <f t="shared" si="2"/>
        <v>1</v>
      </c>
    </row>
    <row r="166" spans="1:39" x14ac:dyDescent="0.25">
      <c r="A166">
        <v>165</v>
      </c>
      <c r="B166">
        <v>165</v>
      </c>
      <c r="C166" t="s">
        <v>46</v>
      </c>
      <c r="D166">
        <v>46</v>
      </c>
      <c r="E166">
        <v>1</v>
      </c>
      <c r="F166">
        <v>58</v>
      </c>
      <c r="G166">
        <v>82</v>
      </c>
      <c r="H166">
        <v>110</v>
      </c>
      <c r="I166">
        <v>2</v>
      </c>
      <c r="J166">
        <v>1</v>
      </c>
      <c r="K166">
        <v>3</v>
      </c>
      <c r="L166">
        <v>4</v>
      </c>
      <c r="M166" s="4" t="s">
        <v>36</v>
      </c>
      <c r="N166">
        <v>1</v>
      </c>
      <c r="O166" s="4">
        <v>5</v>
      </c>
      <c r="P166">
        <v>1</v>
      </c>
      <c r="Q166" s="4">
        <v>6.46</v>
      </c>
      <c r="R166">
        <v>17.87</v>
      </c>
      <c r="S166">
        <v>6.89</v>
      </c>
      <c r="T166">
        <v>8.89</v>
      </c>
      <c r="U166">
        <v>2</v>
      </c>
      <c r="V166">
        <v>130</v>
      </c>
      <c r="W166">
        <v>80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2</v>
      </c>
      <c r="AF166">
        <v>210</v>
      </c>
      <c r="AG166">
        <v>58.8</v>
      </c>
      <c r="AH166">
        <v>111.2</v>
      </c>
      <c r="AI166">
        <v>155.6</v>
      </c>
      <c r="AJ166" t="s">
        <v>13</v>
      </c>
      <c r="AK166" t="s">
        <v>15</v>
      </c>
      <c r="AM166" t="b">
        <f t="shared" si="2"/>
        <v>0</v>
      </c>
    </row>
    <row r="167" spans="1:39" x14ac:dyDescent="0.25">
      <c r="A167">
        <v>166</v>
      </c>
      <c r="B167">
        <v>166</v>
      </c>
      <c r="C167" t="s">
        <v>47</v>
      </c>
      <c r="D167">
        <v>40</v>
      </c>
      <c r="E167">
        <v>1</v>
      </c>
      <c r="F167">
        <v>62</v>
      </c>
      <c r="G167">
        <v>57.7</v>
      </c>
      <c r="H167">
        <v>85</v>
      </c>
      <c r="I167">
        <v>2</v>
      </c>
      <c r="J167">
        <v>3</v>
      </c>
      <c r="K167">
        <v>5</v>
      </c>
      <c r="L167">
        <v>3</v>
      </c>
      <c r="M167" s="4" t="s">
        <v>226</v>
      </c>
      <c r="N167">
        <v>1</v>
      </c>
      <c r="O167" s="4">
        <v>1</v>
      </c>
      <c r="P167">
        <v>1</v>
      </c>
      <c r="Q167" s="4">
        <v>7.4</v>
      </c>
      <c r="R167">
        <v>26.15</v>
      </c>
      <c r="S167">
        <v>9.9600000000000009</v>
      </c>
      <c r="T167">
        <v>12.54</v>
      </c>
      <c r="U167">
        <v>1</v>
      </c>
      <c r="V167">
        <v>120</v>
      </c>
      <c r="W167">
        <v>80</v>
      </c>
      <c r="X167">
        <v>1</v>
      </c>
      <c r="Y167">
        <v>5</v>
      </c>
      <c r="Z167">
        <v>1</v>
      </c>
      <c r="AA167">
        <v>1</v>
      </c>
      <c r="AB167">
        <v>1</v>
      </c>
      <c r="AC167">
        <v>1</v>
      </c>
      <c r="AD167">
        <v>2</v>
      </c>
      <c r="AF167">
        <v>151.26</v>
      </c>
      <c r="AG167">
        <v>68.41</v>
      </c>
      <c r="AH167">
        <v>73.349999999999994</v>
      </c>
      <c r="AI167">
        <v>135.94999999999999</v>
      </c>
      <c r="AJ167" t="s">
        <v>112</v>
      </c>
      <c r="AK167" t="s">
        <v>121</v>
      </c>
      <c r="AM167" t="b">
        <f t="shared" si="2"/>
        <v>0</v>
      </c>
    </row>
    <row r="168" spans="1:39" x14ac:dyDescent="0.25">
      <c r="A168">
        <v>167</v>
      </c>
      <c r="B168">
        <v>167</v>
      </c>
      <c r="C168" t="s">
        <v>49</v>
      </c>
      <c r="D168">
        <v>65</v>
      </c>
      <c r="E168">
        <v>2</v>
      </c>
      <c r="F168">
        <v>60</v>
      </c>
      <c r="G168">
        <v>73.5</v>
      </c>
      <c r="H168">
        <v>103</v>
      </c>
      <c r="I168">
        <v>2</v>
      </c>
      <c r="J168">
        <v>2</v>
      </c>
      <c r="K168">
        <v>5</v>
      </c>
      <c r="L168">
        <v>3</v>
      </c>
      <c r="M168" s="4" t="s">
        <v>36</v>
      </c>
      <c r="N168">
        <v>2</v>
      </c>
      <c r="O168" s="4">
        <v>1</v>
      </c>
      <c r="P168">
        <v>4</v>
      </c>
      <c r="Q168" s="4">
        <v>5.66</v>
      </c>
      <c r="R168">
        <v>22.92</v>
      </c>
      <c r="S168">
        <v>8.02</v>
      </c>
      <c r="T168">
        <v>11.87</v>
      </c>
      <c r="U168">
        <v>1</v>
      </c>
      <c r="V168">
        <v>100</v>
      </c>
      <c r="W168">
        <v>65</v>
      </c>
      <c r="X168">
        <v>1</v>
      </c>
      <c r="Y168">
        <v>10</v>
      </c>
      <c r="Z168">
        <v>1</v>
      </c>
      <c r="AA168">
        <v>1</v>
      </c>
      <c r="AB168">
        <v>1</v>
      </c>
      <c r="AC168">
        <v>1</v>
      </c>
      <c r="AD168">
        <v>1</v>
      </c>
      <c r="AE168" t="s">
        <v>92</v>
      </c>
      <c r="AF168">
        <v>162</v>
      </c>
      <c r="AG168">
        <v>47.2</v>
      </c>
      <c r="AH168">
        <v>69.599999999999994</v>
      </c>
      <c r="AI168">
        <v>164.7</v>
      </c>
      <c r="AJ168" t="s">
        <v>120</v>
      </c>
      <c r="AK168" t="s">
        <v>113</v>
      </c>
      <c r="AM168" t="b">
        <f t="shared" si="2"/>
        <v>0</v>
      </c>
    </row>
    <row r="169" spans="1:39" x14ac:dyDescent="0.25">
      <c r="A169">
        <v>168</v>
      </c>
      <c r="B169">
        <v>168</v>
      </c>
      <c r="C169" t="s">
        <v>51</v>
      </c>
      <c r="D169">
        <v>52</v>
      </c>
      <c r="E169">
        <v>2</v>
      </c>
      <c r="F169">
        <v>58</v>
      </c>
      <c r="G169">
        <v>63.4</v>
      </c>
      <c r="H169">
        <v>102</v>
      </c>
      <c r="I169">
        <v>2</v>
      </c>
      <c r="J169">
        <v>2</v>
      </c>
      <c r="K169">
        <v>3</v>
      </c>
      <c r="L169">
        <v>2</v>
      </c>
      <c r="M169" s="4" t="s">
        <v>36</v>
      </c>
      <c r="N169">
        <v>1</v>
      </c>
      <c r="O169" s="4">
        <v>2</v>
      </c>
      <c r="P169">
        <v>1</v>
      </c>
      <c r="Q169" s="4">
        <v>6.21</v>
      </c>
      <c r="R169">
        <v>18.55</v>
      </c>
      <c r="S169">
        <v>10.67</v>
      </c>
      <c r="T169">
        <v>10.62</v>
      </c>
      <c r="U169">
        <v>1</v>
      </c>
      <c r="V169">
        <v>100</v>
      </c>
      <c r="W169">
        <v>70</v>
      </c>
      <c r="X169">
        <v>2</v>
      </c>
      <c r="AC169">
        <v>3</v>
      </c>
      <c r="AD169">
        <v>2</v>
      </c>
      <c r="AF169">
        <v>202.32</v>
      </c>
      <c r="AG169">
        <v>55.16</v>
      </c>
      <c r="AH169">
        <v>186.09</v>
      </c>
      <c r="AI169">
        <v>159.36000000000001</v>
      </c>
      <c r="AJ169" t="s">
        <v>13</v>
      </c>
      <c r="AK169" t="s">
        <v>15</v>
      </c>
      <c r="AM169" t="b">
        <f t="shared" si="2"/>
        <v>0</v>
      </c>
    </row>
    <row r="170" spans="1:39" x14ac:dyDescent="0.25">
      <c r="A170">
        <v>169</v>
      </c>
      <c r="B170">
        <v>169</v>
      </c>
      <c r="C170" t="s">
        <v>52</v>
      </c>
      <c r="D170">
        <v>52</v>
      </c>
      <c r="E170">
        <v>1</v>
      </c>
      <c r="F170">
        <v>57</v>
      </c>
      <c r="G170">
        <v>40.4</v>
      </c>
      <c r="H170">
        <v>77</v>
      </c>
      <c r="I170">
        <v>2</v>
      </c>
      <c r="J170">
        <v>2</v>
      </c>
      <c r="K170">
        <v>2</v>
      </c>
      <c r="L170">
        <v>1</v>
      </c>
      <c r="M170" s="4" t="s">
        <v>117</v>
      </c>
      <c r="N170">
        <v>2</v>
      </c>
      <c r="O170" s="4">
        <v>5</v>
      </c>
      <c r="P170">
        <v>1</v>
      </c>
      <c r="Q170" s="4">
        <v>7.64</v>
      </c>
      <c r="R170">
        <v>6.09</v>
      </c>
      <c r="S170">
        <v>9.65</v>
      </c>
      <c r="T170">
        <v>9.6999999999999993</v>
      </c>
      <c r="U170">
        <v>2</v>
      </c>
      <c r="V170">
        <v>130</v>
      </c>
      <c r="W170">
        <v>80</v>
      </c>
      <c r="X170">
        <v>2</v>
      </c>
      <c r="AC170">
        <v>3</v>
      </c>
      <c r="AD170">
        <v>2</v>
      </c>
      <c r="AF170">
        <v>151.08000000000001</v>
      </c>
      <c r="AG170">
        <v>43.19</v>
      </c>
      <c r="AH170">
        <v>100.27</v>
      </c>
      <c r="AI170">
        <v>95.47</v>
      </c>
      <c r="AJ170" t="s">
        <v>124</v>
      </c>
      <c r="AK170" t="s">
        <v>121</v>
      </c>
      <c r="AM170" t="b">
        <f t="shared" si="2"/>
        <v>0</v>
      </c>
    </row>
    <row r="171" spans="1:39" x14ac:dyDescent="0.25">
      <c r="A171">
        <v>170</v>
      </c>
      <c r="B171">
        <v>170</v>
      </c>
      <c r="C171" t="s">
        <v>54</v>
      </c>
      <c r="D171">
        <v>55</v>
      </c>
      <c r="E171">
        <v>2</v>
      </c>
      <c r="F171">
        <v>65.5</v>
      </c>
      <c r="G171">
        <v>55.3</v>
      </c>
      <c r="H171">
        <v>85</v>
      </c>
      <c r="I171">
        <v>2</v>
      </c>
      <c r="J171">
        <v>2</v>
      </c>
      <c r="K171">
        <v>3</v>
      </c>
      <c r="L171">
        <v>3</v>
      </c>
      <c r="M171" s="4" t="s">
        <v>144</v>
      </c>
      <c r="N171">
        <v>2</v>
      </c>
      <c r="O171" s="4">
        <v>25</v>
      </c>
      <c r="P171">
        <v>3</v>
      </c>
      <c r="Q171" s="4">
        <v>6.05</v>
      </c>
      <c r="R171">
        <v>8.33</v>
      </c>
      <c r="S171">
        <v>5.61</v>
      </c>
      <c r="T171">
        <v>11.37</v>
      </c>
      <c r="U171">
        <v>2</v>
      </c>
      <c r="V171">
        <v>130</v>
      </c>
      <c r="W171">
        <v>90</v>
      </c>
      <c r="X171">
        <v>1</v>
      </c>
      <c r="Y171">
        <v>12</v>
      </c>
      <c r="Z171">
        <v>1</v>
      </c>
      <c r="AA171">
        <v>1</v>
      </c>
      <c r="AB171">
        <v>1</v>
      </c>
      <c r="AC171">
        <v>2</v>
      </c>
      <c r="AD171">
        <v>2</v>
      </c>
      <c r="AF171">
        <v>257.77</v>
      </c>
      <c r="AG171">
        <v>54.97</v>
      </c>
      <c r="AH171">
        <v>171.89</v>
      </c>
      <c r="AI171">
        <v>373.78</v>
      </c>
      <c r="AJ171" t="s">
        <v>123</v>
      </c>
      <c r="AK171" t="s">
        <v>121</v>
      </c>
      <c r="AM171" t="b">
        <f t="shared" si="2"/>
        <v>1</v>
      </c>
    </row>
    <row r="172" spans="1:39" x14ac:dyDescent="0.25">
      <c r="A172">
        <v>171</v>
      </c>
      <c r="B172">
        <v>171</v>
      </c>
      <c r="C172" t="s">
        <v>55</v>
      </c>
      <c r="D172">
        <v>51</v>
      </c>
      <c r="E172">
        <v>1</v>
      </c>
      <c r="F172">
        <v>61</v>
      </c>
      <c r="G172">
        <v>71.5</v>
      </c>
      <c r="H172">
        <v>97</v>
      </c>
      <c r="I172">
        <v>2</v>
      </c>
      <c r="J172">
        <v>2</v>
      </c>
      <c r="K172">
        <v>3</v>
      </c>
      <c r="L172">
        <v>4</v>
      </c>
      <c r="M172" s="4" t="s">
        <v>36</v>
      </c>
      <c r="N172">
        <v>2</v>
      </c>
      <c r="O172" s="4">
        <v>1</v>
      </c>
      <c r="P172">
        <v>1</v>
      </c>
      <c r="Q172" s="4">
        <v>6.98</v>
      </c>
      <c r="R172">
        <v>8.41</v>
      </c>
      <c r="S172">
        <v>9.9</v>
      </c>
      <c r="T172">
        <v>11.2</v>
      </c>
      <c r="U172">
        <v>2</v>
      </c>
      <c r="V172">
        <v>160</v>
      </c>
      <c r="W172">
        <v>100</v>
      </c>
      <c r="X172">
        <v>1</v>
      </c>
      <c r="Y172">
        <v>1</v>
      </c>
      <c r="Z172">
        <v>1</v>
      </c>
      <c r="AA172">
        <v>2</v>
      </c>
      <c r="AB172">
        <v>1</v>
      </c>
      <c r="AC172">
        <v>5</v>
      </c>
      <c r="AD172">
        <v>2</v>
      </c>
      <c r="AF172">
        <v>235</v>
      </c>
      <c r="AG172">
        <v>68</v>
      </c>
      <c r="AH172">
        <v>155.9</v>
      </c>
      <c r="AI172">
        <v>591</v>
      </c>
      <c r="AJ172" t="s">
        <v>126</v>
      </c>
      <c r="AK172" t="s">
        <v>15</v>
      </c>
      <c r="AM172" t="b">
        <f t="shared" si="2"/>
        <v>1</v>
      </c>
    </row>
    <row r="173" spans="1:39" x14ac:dyDescent="0.25">
      <c r="A173">
        <v>172</v>
      </c>
      <c r="B173">
        <v>172</v>
      </c>
      <c r="C173" t="s">
        <v>61</v>
      </c>
      <c r="D173">
        <v>38</v>
      </c>
      <c r="E173">
        <v>2</v>
      </c>
      <c r="F173">
        <v>58</v>
      </c>
      <c r="G173">
        <v>62.1</v>
      </c>
      <c r="H173">
        <v>96</v>
      </c>
      <c r="I173">
        <v>2</v>
      </c>
      <c r="J173">
        <v>2</v>
      </c>
      <c r="K173">
        <v>2</v>
      </c>
      <c r="L173">
        <v>2</v>
      </c>
      <c r="M173" s="4" t="s">
        <v>36</v>
      </c>
      <c r="N173">
        <v>2</v>
      </c>
      <c r="O173" s="4">
        <v>17</v>
      </c>
      <c r="P173">
        <v>3</v>
      </c>
      <c r="Q173" s="4">
        <v>6.88</v>
      </c>
      <c r="R173">
        <v>23.3</v>
      </c>
      <c r="S173">
        <v>10.16</v>
      </c>
      <c r="T173">
        <v>14.87</v>
      </c>
      <c r="U173">
        <v>2</v>
      </c>
      <c r="V173">
        <v>120</v>
      </c>
      <c r="W173">
        <v>70</v>
      </c>
      <c r="X173">
        <v>2</v>
      </c>
      <c r="AC173">
        <v>1</v>
      </c>
      <c r="AD173">
        <v>2</v>
      </c>
      <c r="AF173">
        <v>179</v>
      </c>
      <c r="AG173">
        <v>87.5</v>
      </c>
      <c r="AH173">
        <v>132.80000000000001</v>
      </c>
      <c r="AI173">
        <v>217.5</v>
      </c>
      <c r="AJ173" t="s">
        <v>13</v>
      </c>
      <c r="AK173" t="s">
        <v>137</v>
      </c>
      <c r="AM173" t="b">
        <f t="shared" si="2"/>
        <v>0</v>
      </c>
    </row>
    <row r="174" spans="1:39" x14ac:dyDescent="0.25">
      <c r="A174">
        <v>173</v>
      </c>
      <c r="B174">
        <v>173</v>
      </c>
      <c r="C174" t="s">
        <v>63</v>
      </c>
      <c r="D174">
        <v>50</v>
      </c>
      <c r="E174">
        <v>1</v>
      </c>
      <c r="F174">
        <v>61</v>
      </c>
      <c r="G174">
        <v>51.7</v>
      </c>
      <c r="H174">
        <v>91</v>
      </c>
      <c r="I174">
        <v>2</v>
      </c>
      <c r="J174">
        <v>1</v>
      </c>
      <c r="K174">
        <v>2</v>
      </c>
      <c r="L174">
        <v>1</v>
      </c>
      <c r="M174" s="4" t="s">
        <v>117</v>
      </c>
      <c r="N174">
        <v>2</v>
      </c>
      <c r="O174" s="4">
        <v>5</v>
      </c>
      <c r="P174">
        <v>1</v>
      </c>
      <c r="Q174" s="4">
        <v>6.5</v>
      </c>
      <c r="R174">
        <v>12.52</v>
      </c>
      <c r="S174">
        <v>6.91</v>
      </c>
      <c r="T174">
        <v>8.4600000000000009</v>
      </c>
      <c r="U174">
        <v>1</v>
      </c>
      <c r="V174">
        <v>160</v>
      </c>
      <c r="W174">
        <v>120</v>
      </c>
      <c r="X174">
        <v>1</v>
      </c>
      <c r="Y174">
        <v>4</v>
      </c>
      <c r="Z174">
        <v>1</v>
      </c>
      <c r="AA174">
        <v>2</v>
      </c>
      <c r="AB174">
        <v>1</v>
      </c>
      <c r="AC174">
        <v>1</v>
      </c>
      <c r="AD174">
        <v>2</v>
      </c>
      <c r="AF174">
        <v>241</v>
      </c>
      <c r="AG174">
        <v>108.9</v>
      </c>
      <c r="AH174">
        <v>165.4</v>
      </c>
      <c r="AI174">
        <v>620.29999999999995</v>
      </c>
      <c r="AJ174" t="s">
        <v>13</v>
      </c>
      <c r="AK174" t="s">
        <v>15</v>
      </c>
      <c r="AM174" t="b">
        <f t="shared" si="2"/>
        <v>1</v>
      </c>
    </row>
    <row r="175" spans="1:39" x14ac:dyDescent="0.25">
      <c r="A175">
        <v>174</v>
      </c>
      <c r="B175">
        <v>174</v>
      </c>
      <c r="C175" t="s">
        <v>64</v>
      </c>
      <c r="D175">
        <v>50</v>
      </c>
      <c r="E175">
        <v>1</v>
      </c>
      <c r="F175">
        <v>60</v>
      </c>
      <c r="G175">
        <v>63.4</v>
      </c>
      <c r="H175">
        <v>102</v>
      </c>
      <c r="I175">
        <v>2</v>
      </c>
      <c r="J175">
        <v>2</v>
      </c>
      <c r="K175">
        <v>1</v>
      </c>
      <c r="L175">
        <v>1</v>
      </c>
      <c r="M175" s="4" t="s">
        <v>117</v>
      </c>
      <c r="N175">
        <v>2</v>
      </c>
      <c r="O175" s="4">
        <v>1</v>
      </c>
      <c r="P175">
        <v>1</v>
      </c>
      <c r="Q175" s="4">
        <v>5.61</v>
      </c>
      <c r="R175" s="7">
        <v>10.3</v>
      </c>
      <c r="S175">
        <v>9.25</v>
      </c>
      <c r="T175">
        <v>8.19</v>
      </c>
      <c r="U175">
        <v>2</v>
      </c>
      <c r="V175">
        <v>120</v>
      </c>
      <c r="W175">
        <v>80</v>
      </c>
      <c r="X175">
        <v>1</v>
      </c>
      <c r="Y175">
        <v>1</v>
      </c>
      <c r="Z175">
        <v>1</v>
      </c>
      <c r="AA175">
        <v>2</v>
      </c>
      <c r="AB175">
        <v>1</v>
      </c>
      <c r="AC175">
        <v>3</v>
      </c>
      <c r="AD175">
        <v>2</v>
      </c>
      <c r="AF175">
        <v>158</v>
      </c>
      <c r="AG175">
        <v>73.3</v>
      </c>
      <c r="AH175">
        <v>120.8</v>
      </c>
      <c r="AI175">
        <v>277.7</v>
      </c>
      <c r="AJ175" t="s">
        <v>132</v>
      </c>
      <c r="AK175" t="s">
        <v>121</v>
      </c>
      <c r="AM175" t="b">
        <f t="shared" si="2"/>
        <v>0</v>
      </c>
    </row>
    <row r="176" spans="1:39" x14ac:dyDescent="0.25">
      <c r="A176">
        <v>175</v>
      </c>
      <c r="B176">
        <v>175</v>
      </c>
      <c r="C176" t="s">
        <v>106</v>
      </c>
      <c r="D176">
        <v>44</v>
      </c>
      <c r="E176">
        <v>2</v>
      </c>
      <c r="F176">
        <v>61</v>
      </c>
      <c r="G176">
        <v>42.1</v>
      </c>
      <c r="H176">
        <v>65</v>
      </c>
      <c r="I176">
        <v>2</v>
      </c>
      <c r="J176">
        <v>1</v>
      </c>
      <c r="K176">
        <v>1</v>
      </c>
      <c r="L176">
        <v>2</v>
      </c>
      <c r="M176" s="4" t="s">
        <v>117</v>
      </c>
      <c r="N176">
        <v>2</v>
      </c>
      <c r="O176" s="4">
        <v>7</v>
      </c>
      <c r="P176">
        <v>1</v>
      </c>
      <c r="Q176" s="4">
        <v>7.87</v>
      </c>
      <c r="R176">
        <v>22.79</v>
      </c>
      <c r="S176">
        <v>9.89</v>
      </c>
      <c r="T176">
        <v>9.76</v>
      </c>
      <c r="U176">
        <v>1</v>
      </c>
      <c r="V176">
        <v>130</v>
      </c>
      <c r="W176">
        <v>80</v>
      </c>
      <c r="X176">
        <v>2</v>
      </c>
      <c r="AC176">
        <v>3</v>
      </c>
      <c r="AD176">
        <v>1</v>
      </c>
      <c r="AE176" t="s">
        <v>133</v>
      </c>
      <c r="AF176">
        <v>286</v>
      </c>
      <c r="AG176">
        <v>72.8</v>
      </c>
      <c r="AH176">
        <v>167.3</v>
      </c>
      <c r="AI176">
        <v>354.8</v>
      </c>
      <c r="AJ176" t="s">
        <v>134</v>
      </c>
      <c r="AK176" t="s">
        <v>15</v>
      </c>
      <c r="AM176" t="b">
        <f t="shared" si="2"/>
        <v>0</v>
      </c>
    </row>
    <row r="177" spans="1:39" x14ac:dyDescent="0.25">
      <c r="A177">
        <v>176</v>
      </c>
      <c r="B177">
        <v>176</v>
      </c>
      <c r="C177" t="s">
        <v>107</v>
      </c>
      <c r="D177">
        <v>50</v>
      </c>
      <c r="E177">
        <v>2</v>
      </c>
      <c r="F177">
        <v>56</v>
      </c>
      <c r="G177">
        <v>65.099999999999994</v>
      </c>
      <c r="H177">
        <v>99</v>
      </c>
      <c r="I177">
        <v>2</v>
      </c>
      <c r="J177">
        <v>2</v>
      </c>
      <c r="K177">
        <v>2</v>
      </c>
      <c r="L177">
        <v>1</v>
      </c>
      <c r="M177" s="4" t="s">
        <v>36</v>
      </c>
      <c r="N177">
        <v>1</v>
      </c>
      <c r="O177" s="4">
        <v>1</v>
      </c>
      <c r="P177">
        <v>4</v>
      </c>
      <c r="Q177" s="4">
        <v>6.97</v>
      </c>
      <c r="R177">
        <v>12.84</v>
      </c>
      <c r="S177">
        <v>7.49</v>
      </c>
      <c r="T177">
        <v>11.33</v>
      </c>
      <c r="U177">
        <v>2</v>
      </c>
      <c r="V177">
        <v>150</v>
      </c>
      <c r="W177">
        <v>100</v>
      </c>
      <c r="X177">
        <v>2</v>
      </c>
      <c r="AC177">
        <v>3</v>
      </c>
      <c r="AD177">
        <v>2</v>
      </c>
      <c r="AF177">
        <v>150</v>
      </c>
      <c r="AG177">
        <v>51</v>
      </c>
      <c r="AH177">
        <v>108.9</v>
      </c>
      <c r="AI177">
        <v>153.4</v>
      </c>
      <c r="AJ177" t="s">
        <v>136</v>
      </c>
      <c r="AK177" t="s">
        <v>137</v>
      </c>
      <c r="AM177" t="b">
        <f t="shared" si="2"/>
        <v>1</v>
      </c>
    </row>
    <row r="178" spans="1:39" x14ac:dyDescent="0.25">
      <c r="A178">
        <v>177</v>
      </c>
      <c r="B178">
        <v>177</v>
      </c>
      <c r="C178" t="s">
        <v>108</v>
      </c>
      <c r="D178">
        <v>65</v>
      </c>
      <c r="E178">
        <v>1</v>
      </c>
      <c r="F178">
        <v>64</v>
      </c>
      <c r="G178">
        <v>53.6</v>
      </c>
      <c r="H178">
        <v>81</v>
      </c>
      <c r="I178">
        <v>2</v>
      </c>
      <c r="J178">
        <v>1</v>
      </c>
      <c r="K178">
        <v>5</v>
      </c>
      <c r="L178">
        <v>3</v>
      </c>
      <c r="M178" s="4" t="s">
        <v>239</v>
      </c>
      <c r="N178">
        <v>2</v>
      </c>
      <c r="O178" s="4">
        <v>4</v>
      </c>
      <c r="P178">
        <v>2</v>
      </c>
      <c r="Q178" s="4">
        <v>7.38</v>
      </c>
      <c r="R178">
        <v>13.47</v>
      </c>
      <c r="S178">
        <v>10.41</v>
      </c>
      <c r="T178">
        <v>17.32</v>
      </c>
      <c r="U178">
        <v>2</v>
      </c>
      <c r="V178">
        <v>160</v>
      </c>
      <c r="W178">
        <v>100</v>
      </c>
      <c r="X178">
        <v>1</v>
      </c>
      <c r="Y178">
        <v>5</v>
      </c>
      <c r="Z178">
        <v>1</v>
      </c>
      <c r="AA178">
        <v>2</v>
      </c>
      <c r="AB178">
        <v>1</v>
      </c>
      <c r="AC178">
        <v>4</v>
      </c>
      <c r="AD178">
        <v>2</v>
      </c>
      <c r="AF178">
        <v>168</v>
      </c>
      <c r="AG178">
        <v>54.97</v>
      </c>
      <c r="AH178">
        <v>165.4</v>
      </c>
      <c r="AI178">
        <v>220.3</v>
      </c>
      <c r="AJ178" t="s">
        <v>132</v>
      </c>
      <c r="AK178" t="s">
        <v>121</v>
      </c>
      <c r="AM178" t="b">
        <f t="shared" si="2"/>
        <v>1</v>
      </c>
    </row>
    <row r="179" spans="1:39" x14ac:dyDescent="0.25">
      <c r="A179">
        <v>178</v>
      </c>
      <c r="B179">
        <v>178</v>
      </c>
      <c r="C179" t="s">
        <v>109</v>
      </c>
      <c r="D179">
        <v>58</v>
      </c>
      <c r="E179">
        <v>1</v>
      </c>
      <c r="F179">
        <v>63</v>
      </c>
      <c r="G179">
        <v>77</v>
      </c>
      <c r="H179">
        <v>96</v>
      </c>
      <c r="I179">
        <v>2</v>
      </c>
      <c r="J179">
        <v>2</v>
      </c>
      <c r="K179">
        <v>5</v>
      </c>
      <c r="L179">
        <v>3</v>
      </c>
      <c r="M179" s="4" t="s">
        <v>42</v>
      </c>
      <c r="N179">
        <v>2</v>
      </c>
      <c r="O179" s="4">
        <v>2</v>
      </c>
      <c r="P179">
        <v>1</v>
      </c>
      <c r="Q179" s="4">
        <v>7.44</v>
      </c>
      <c r="R179">
        <v>6.25</v>
      </c>
      <c r="S179">
        <v>8.17</v>
      </c>
      <c r="T179">
        <v>11.56</v>
      </c>
      <c r="U179">
        <v>1</v>
      </c>
      <c r="V179">
        <v>140</v>
      </c>
      <c r="W179">
        <v>100</v>
      </c>
      <c r="X179">
        <v>1</v>
      </c>
      <c r="Y179">
        <v>3</v>
      </c>
      <c r="Z179">
        <v>1</v>
      </c>
      <c r="AA179">
        <v>2</v>
      </c>
      <c r="AB179">
        <v>1</v>
      </c>
      <c r="AC179">
        <v>2</v>
      </c>
      <c r="AD179">
        <v>2</v>
      </c>
      <c r="AF179">
        <v>170</v>
      </c>
      <c r="AG179">
        <v>68</v>
      </c>
      <c r="AH179">
        <v>120.8</v>
      </c>
      <c r="AI179">
        <v>277.7</v>
      </c>
      <c r="AJ179" t="s">
        <v>13</v>
      </c>
      <c r="AK179" t="s">
        <v>15</v>
      </c>
      <c r="AM179" t="b">
        <f t="shared" si="2"/>
        <v>1</v>
      </c>
    </row>
    <row r="180" spans="1:39" x14ac:dyDescent="0.25">
      <c r="A180">
        <v>179</v>
      </c>
      <c r="B180">
        <v>179</v>
      </c>
      <c r="C180" t="s">
        <v>111</v>
      </c>
      <c r="D180">
        <v>46</v>
      </c>
      <c r="E180">
        <v>2</v>
      </c>
      <c r="F180">
        <v>62</v>
      </c>
      <c r="G180">
        <v>82.5</v>
      </c>
      <c r="H180">
        <v>110</v>
      </c>
      <c r="I180">
        <v>2</v>
      </c>
      <c r="J180">
        <v>2</v>
      </c>
      <c r="K180">
        <v>3</v>
      </c>
      <c r="L180">
        <v>2</v>
      </c>
      <c r="M180" s="4" t="s">
        <v>36</v>
      </c>
      <c r="N180">
        <v>1</v>
      </c>
      <c r="O180" s="4">
        <v>5</v>
      </c>
      <c r="P180">
        <v>1</v>
      </c>
      <c r="Q180" s="4">
        <v>6.64</v>
      </c>
      <c r="R180">
        <v>32.799999999999997</v>
      </c>
      <c r="S180">
        <v>7.65</v>
      </c>
      <c r="T180">
        <v>10.29</v>
      </c>
      <c r="U180">
        <v>2</v>
      </c>
      <c r="V180">
        <v>120</v>
      </c>
      <c r="W180">
        <v>80</v>
      </c>
      <c r="X180">
        <v>2</v>
      </c>
      <c r="AC180">
        <v>5</v>
      </c>
      <c r="AD180">
        <v>1</v>
      </c>
      <c r="AE180" t="s">
        <v>133</v>
      </c>
      <c r="AF180">
        <v>150</v>
      </c>
      <c r="AG180">
        <v>54.6</v>
      </c>
      <c r="AH180">
        <v>89.5</v>
      </c>
      <c r="AI180">
        <v>250.3</v>
      </c>
      <c r="AJ180" t="s">
        <v>141</v>
      </c>
      <c r="AK180" t="s">
        <v>142</v>
      </c>
      <c r="AM180" t="b">
        <f t="shared" si="2"/>
        <v>0</v>
      </c>
    </row>
    <row r="181" spans="1:39" x14ac:dyDescent="0.25">
      <c r="A181">
        <v>180</v>
      </c>
      <c r="B181">
        <v>180</v>
      </c>
      <c r="C181" t="s">
        <v>25</v>
      </c>
      <c r="D181">
        <v>70</v>
      </c>
      <c r="E181">
        <v>1</v>
      </c>
      <c r="F181">
        <v>66.5</v>
      </c>
      <c r="G181">
        <v>79</v>
      </c>
      <c r="H181">
        <v>95</v>
      </c>
      <c r="I181">
        <v>2</v>
      </c>
      <c r="J181">
        <v>2</v>
      </c>
      <c r="K181">
        <v>4</v>
      </c>
      <c r="L181">
        <v>2</v>
      </c>
      <c r="M181" s="4" t="s">
        <v>244</v>
      </c>
      <c r="N181">
        <v>1</v>
      </c>
      <c r="O181" s="4">
        <v>10</v>
      </c>
      <c r="P181">
        <v>1</v>
      </c>
      <c r="Q181" s="4">
        <v>7.85</v>
      </c>
      <c r="R181">
        <v>8.33</v>
      </c>
      <c r="S181">
        <v>5.88</v>
      </c>
      <c r="T181">
        <v>8.4499999999999993</v>
      </c>
      <c r="U181">
        <v>1</v>
      </c>
      <c r="V181">
        <v>150</v>
      </c>
      <c r="W181">
        <v>90</v>
      </c>
      <c r="X181">
        <v>2</v>
      </c>
      <c r="AC181">
        <v>4</v>
      </c>
      <c r="AD181">
        <v>1</v>
      </c>
      <c r="AE181" t="s">
        <v>145</v>
      </c>
      <c r="AF181">
        <v>163</v>
      </c>
      <c r="AG181">
        <v>58.8</v>
      </c>
      <c r="AH181">
        <v>115.5</v>
      </c>
      <c r="AI181">
        <v>165.5</v>
      </c>
      <c r="AJ181" t="s">
        <v>13</v>
      </c>
      <c r="AK181" t="s">
        <v>15</v>
      </c>
      <c r="AL181" t="s">
        <v>146</v>
      </c>
      <c r="AM181" t="b">
        <f t="shared" si="2"/>
        <v>1</v>
      </c>
    </row>
    <row r="182" spans="1:39" x14ac:dyDescent="0.25">
      <c r="A182">
        <v>181</v>
      </c>
      <c r="B182">
        <v>181</v>
      </c>
      <c r="C182" t="s">
        <v>114</v>
      </c>
      <c r="D182">
        <v>27</v>
      </c>
      <c r="E182">
        <v>1</v>
      </c>
      <c r="F182">
        <v>58</v>
      </c>
      <c r="G182">
        <v>54</v>
      </c>
      <c r="H182">
        <v>86</v>
      </c>
      <c r="I182">
        <v>2</v>
      </c>
      <c r="J182">
        <v>1</v>
      </c>
      <c r="K182">
        <v>1</v>
      </c>
      <c r="L182">
        <v>2</v>
      </c>
      <c r="M182" s="4" t="s">
        <v>36</v>
      </c>
      <c r="N182">
        <v>1</v>
      </c>
      <c r="O182" s="4">
        <v>2</v>
      </c>
      <c r="P182">
        <v>6</v>
      </c>
      <c r="Q182" s="4">
        <v>5.71</v>
      </c>
      <c r="R182">
        <v>8.33</v>
      </c>
      <c r="S182">
        <v>9.1300000000000008</v>
      </c>
      <c r="T182">
        <v>11.46</v>
      </c>
      <c r="U182">
        <v>1</v>
      </c>
      <c r="V182">
        <v>120</v>
      </c>
      <c r="W182">
        <v>80</v>
      </c>
      <c r="X182">
        <v>2</v>
      </c>
      <c r="AC182">
        <v>4</v>
      </c>
      <c r="AD182">
        <v>2</v>
      </c>
      <c r="AF182">
        <v>200</v>
      </c>
      <c r="AG182">
        <v>64</v>
      </c>
      <c r="AH182">
        <v>126.6</v>
      </c>
      <c r="AI182">
        <v>157.1</v>
      </c>
      <c r="AJ182" t="s">
        <v>148</v>
      </c>
      <c r="AK182" t="s">
        <v>149</v>
      </c>
      <c r="AM182" t="b">
        <f t="shared" si="2"/>
        <v>0</v>
      </c>
    </row>
    <row r="183" spans="1:39" x14ac:dyDescent="0.25">
      <c r="A183">
        <v>182</v>
      </c>
      <c r="B183">
        <v>182</v>
      </c>
      <c r="C183" t="s">
        <v>116</v>
      </c>
      <c r="D183">
        <v>40</v>
      </c>
      <c r="E183">
        <v>2</v>
      </c>
      <c r="F183">
        <v>67.5</v>
      </c>
      <c r="G183">
        <v>70</v>
      </c>
      <c r="H183">
        <v>90</v>
      </c>
      <c r="I183">
        <v>2</v>
      </c>
      <c r="J183">
        <v>3</v>
      </c>
      <c r="K183">
        <v>3</v>
      </c>
      <c r="L183">
        <v>2</v>
      </c>
      <c r="M183" s="4" t="s">
        <v>128</v>
      </c>
      <c r="N183">
        <v>1</v>
      </c>
      <c r="O183" s="4" t="s">
        <v>249</v>
      </c>
      <c r="P183">
        <v>5</v>
      </c>
      <c r="Q183" s="4">
        <v>6.23</v>
      </c>
      <c r="R183">
        <v>21.73</v>
      </c>
      <c r="S183">
        <v>7.88</v>
      </c>
      <c r="T183">
        <v>11.41</v>
      </c>
      <c r="U183">
        <v>1</v>
      </c>
      <c r="V183">
        <v>150</v>
      </c>
      <c r="W183">
        <v>90</v>
      </c>
      <c r="X183">
        <v>1</v>
      </c>
      <c r="Y183">
        <v>6</v>
      </c>
      <c r="Z183">
        <v>1</v>
      </c>
      <c r="AA183">
        <v>1</v>
      </c>
      <c r="AB183">
        <v>1</v>
      </c>
      <c r="AC183">
        <v>1</v>
      </c>
      <c r="AD183">
        <v>1</v>
      </c>
      <c r="AE183" t="s">
        <v>93</v>
      </c>
      <c r="AF183">
        <v>175</v>
      </c>
      <c r="AG183">
        <v>48.68</v>
      </c>
      <c r="AH183">
        <v>105.95</v>
      </c>
      <c r="AI183">
        <v>118.21</v>
      </c>
      <c r="AJ183" t="s">
        <v>151</v>
      </c>
      <c r="AK183" t="s">
        <v>152</v>
      </c>
      <c r="AM183" t="b">
        <f t="shared" si="2"/>
        <v>1</v>
      </c>
    </row>
    <row r="184" spans="1:39" x14ac:dyDescent="0.25">
      <c r="A184">
        <v>183</v>
      </c>
      <c r="B184">
        <v>183</v>
      </c>
      <c r="C184" t="s">
        <v>122</v>
      </c>
      <c r="D184">
        <v>45</v>
      </c>
      <c r="E184">
        <v>2</v>
      </c>
      <c r="F184">
        <v>62.5</v>
      </c>
      <c r="G184">
        <v>71</v>
      </c>
      <c r="H184">
        <v>84</v>
      </c>
      <c r="I184">
        <v>2</v>
      </c>
      <c r="J184">
        <v>2</v>
      </c>
      <c r="K184">
        <v>3</v>
      </c>
      <c r="L184">
        <v>3</v>
      </c>
      <c r="M184" s="4" t="s">
        <v>36</v>
      </c>
      <c r="N184">
        <v>2</v>
      </c>
      <c r="O184" s="4">
        <v>2</v>
      </c>
      <c r="P184">
        <v>3</v>
      </c>
      <c r="Q184" s="4">
        <v>5.58</v>
      </c>
      <c r="R184">
        <v>14.3</v>
      </c>
      <c r="S184">
        <v>7.57</v>
      </c>
      <c r="T184">
        <v>10.36</v>
      </c>
      <c r="U184">
        <v>2</v>
      </c>
      <c r="V184">
        <v>110</v>
      </c>
      <c r="W184">
        <v>70</v>
      </c>
      <c r="X184">
        <v>2</v>
      </c>
      <c r="AC184">
        <v>3</v>
      </c>
      <c r="AD184">
        <v>2</v>
      </c>
      <c r="AF184">
        <v>145</v>
      </c>
      <c r="AG184">
        <v>35</v>
      </c>
      <c r="AH184">
        <v>78</v>
      </c>
      <c r="AI184">
        <v>162</v>
      </c>
      <c r="AJ184" t="s">
        <v>154</v>
      </c>
      <c r="AK184" t="s">
        <v>155</v>
      </c>
      <c r="AM184" t="b">
        <f t="shared" si="2"/>
        <v>0</v>
      </c>
    </row>
    <row r="185" spans="1:39" x14ac:dyDescent="0.25">
      <c r="A185">
        <v>184</v>
      </c>
      <c r="B185">
        <v>184</v>
      </c>
      <c r="C185" t="s">
        <v>125</v>
      </c>
      <c r="D185">
        <v>50</v>
      </c>
      <c r="E185">
        <v>2</v>
      </c>
      <c r="F185">
        <v>60</v>
      </c>
      <c r="G185">
        <v>58.4</v>
      </c>
      <c r="H185">
        <v>91</v>
      </c>
      <c r="I185">
        <v>2</v>
      </c>
      <c r="J185">
        <v>2</v>
      </c>
      <c r="K185">
        <v>3</v>
      </c>
      <c r="L185">
        <v>2</v>
      </c>
      <c r="M185" s="4" t="s">
        <v>36</v>
      </c>
      <c r="N185">
        <v>1</v>
      </c>
      <c r="O185" s="4">
        <v>2</v>
      </c>
      <c r="P185">
        <v>4</v>
      </c>
      <c r="Q185" s="4">
        <v>6.83</v>
      </c>
      <c r="R185">
        <v>34.07</v>
      </c>
      <c r="S185">
        <v>7.35</v>
      </c>
      <c r="T185">
        <v>8.2100000000000009</v>
      </c>
      <c r="U185" s="4">
        <v>2</v>
      </c>
      <c r="V185">
        <v>140</v>
      </c>
      <c r="W185">
        <v>90</v>
      </c>
      <c r="X185">
        <v>1</v>
      </c>
      <c r="Y185">
        <v>6</v>
      </c>
      <c r="Z185">
        <v>1</v>
      </c>
      <c r="AA185">
        <v>2</v>
      </c>
      <c r="AB185">
        <v>1</v>
      </c>
      <c r="AC185">
        <v>2</v>
      </c>
      <c r="AD185">
        <v>2</v>
      </c>
      <c r="AF185">
        <v>268</v>
      </c>
      <c r="AG185">
        <v>57.9</v>
      </c>
      <c r="AH185">
        <v>126.4</v>
      </c>
      <c r="AI185">
        <v>491.8</v>
      </c>
      <c r="AJ185" t="s">
        <v>157</v>
      </c>
      <c r="AK185" t="s">
        <v>62</v>
      </c>
      <c r="AM185" t="b">
        <f t="shared" si="2"/>
        <v>1</v>
      </c>
    </row>
    <row r="186" spans="1:39" x14ac:dyDescent="0.25">
      <c r="A186">
        <v>185</v>
      </c>
      <c r="B186">
        <v>185</v>
      </c>
      <c r="C186" t="s">
        <v>127</v>
      </c>
      <c r="D186">
        <v>50</v>
      </c>
      <c r="E186">
        <v>1</v>
      </c>
      <c r="F186">
        <v>59</v>
      </c>
      <c r="G186">
        <v>57</v>
      </c>
      <c r="H186">
        <v>89</v>
      </c>
      <c r="I186">
        <v>2</v>
      </c>
      <c r="J186">
        <v>1</v>
      </c>
      <c r="K186">
        <v>2</v>
      </c>
      <c r="L186">
        <v>2</v>
      </c>
      <c r="M186" s="4" t="s">
        <v>36</v>
      </c>
      <c r="N186">
        <v>1</v>
      </c>
      <c r="O186" s="4">
        <v>7</v>
      </c>
      <c r="P186">
        <v>1</v>
      </c>
      <c r="Q186" s="4">
        <v>6.02</v>
      </c>
      <c r="R186">
        <v>18</v>
      </c>
      <c r="S186">
        <v>10.029999999999999</v>
      </c>
      <c r="T186">
        <v>15.08</v>
      </c>
      <c r="U186">
        <v>2</v>
      </c>
      <c r="V186">
        <v>240</v>
      </c>
      <c r="W186">
        <v>100</v>
      </c>
      <c r="X186">
        <v>1</v>
      </c>
      <c r="Y186">
        <v>5</v>
      </c>
      <c r="Z186">
        <v>2</v>
      </c>
      <c r="AA186">
        <v>2</v>
      </c>
      <c r="AB186">
        <v>1</v>
      </c>
      <c r="AC186">
        <v>3</v>
      </c>
      <c r="AD186">
        <v>2</v>
      </c>
      <c r="AF186">
        <v>208</v>
      </c>
      <c r="AG186">
        <v>40</v>
      </c>
      <c r="AH186">
        <v>116</v>
      </c>
      <c r="AI186">
        <v>253</v>
      </c>
      <c r="AJ186" t="s">
        <v>160</v>
      </c>
      <c r="AK186" t="s">
        <v>11</v>
      </c>
      <c r="AL186" t="s">
        <v>161</v>
      </c>
      <c r="AM186" t="b">
        <f t="shared" si="2"/>
        <v>1</v>
      </c>
    </row>
    <row r="187" spans="1:39" x14ac:dyDescent="0.25">
      <c r="A187">
        <v>186</v>
      </c>
      <c r="B187">
        <v>186</v>
      </c>
      <c r="C187" t="s">
        <v>129</v>
      </c>
      <c r="D187">
        <v>53</v>
      </c>
      <c r="E187">
        <v>2</v>
      </c>
      <c r="F187">
        <v>64</v>
      </c>
      <c r="G187">
        <v>62.3</v>
      </c>
      <c r="H187">
        <v>95</v>
      </c>
      <c r="I187">
        <v>2</v>
      </c>
      <c r="J187">
        <v>2</v>
      </c>
      <c r="K187">
        <v>5</v>
      </c>
      <c r="L187">
        <v>3</v>
      </c>
      <c r="M187" s="4" t="s">
        <v>260</v>
      </c>
      <c r="N187">
        <v>1</v>
      </c>
      <c r="O187" s="4">
        <v>3</v>
      </c>
      <c r="P187">
        <v>1</v>
      </c>
      <c r="Q187" s="4">
        <v>6.29</v>
      </c>
      <c r="R187">
        <v>6.25</v>
      </c>
      <c r="S187">
        <v>6.89</v>
      </c>
      <c r="T187">
        <v>9.0299999999999994</v>
      </c>
      <c r="U187">
        <v>2</v>
      </c>
      <c r="V187">
        <v>150</v>
      </c>
      <c r="W187">
        <v>100</v>
      </c>
      <c r="X187">
        <v>1</v>
      </c>
      <c r="Y187">
        <v>3</v>
      </c>
      <c r="Z187">
        <v>2</v>
      </c>
      <c r="AA187">
        <v>2</v>
      </c>
      <c r="AB187">
        <v>4</v>
      </c>
      <c r="AC187">
        <v>3</v>
      </c>
      <c r="AD187">
        <v>2</v>
      </c>
      <c r="AF187">
        <v>224.59</v>
      </c>
      <c r="AG187">
        <v>47.64</v>
      </c>
      <c r="AH187">
        <v>158.72</v>
      </c>
      <c r="AI187">
        <v>354.16</v>
      </c>
      <c r="AJ187" t="s">
        <v>13</v>
      </c>
      <c r="AK187" t="s">
        <v>15</v>
      </c>
      <c r="AM187" t="b">
        <f t="shared" si="2"/>
        <v>1</v>
      </c>
    </row>
    <row r="188" spans="1:39" x14ac:dyDescent="0.25">
      <c r="A188">
        <v>187</v>
      </c>
      <c r="B188">
        <v>187</v>
      </c>
      <c r="C188" t="s">
        <v>130</v>
      </c>
      <c r="D188">
        <v>65</v>
      </c>
      <c r="E188">
        <v>1</v>
      </c>
      <c r="F188">
        <v>59</v>
      </c>
      <c r="G188">
        <v>78</v>
      </c>
      <c r="H188">
        <v>108</v>
      </c>
      <c r="I188">
        <v>2</v>
      </c>
      <c r="J188">
        <v>1</v>
      </c>
      <c r="K188">
        <v>3</v>
      </c>
      <c r="L188">
        <v>3</v>
      </c>
      <c r="M188" s="4" t="s">
        <v>36</v>
      </c>
      <c r="N188">
        <v>2</v>
      </c>
      <c r="O188" s="4">
        <v>5</v>
      </c>
      <c r="P188">
        <v>1</v>
      </c>
      <c r="Q188" s="4">
        <v>5.59</v>
      </c>
      <c r="R188">
        <v>7.48</v>
      </c>
      <c r="S188">
        <v>8.6199999999999992</v>
      </c>
      <c r="T188">
        <v>9.51</v>
      </c>
      <c r="U188">
        <v>2</v>
      </c>
      <c r="V188">
        <v>145</v>
      </c>
      <c r="W188">
        <v>90</v>
      </c>
      <c r="X188">
        <v>2</v>
      </c>
      <c r="AC188">
        <v>3</v>
      </c>
      <c r="AD188">
        <v>2</v>
      </c>
      <c r="AF188">
        <v>219</v>
      </c>
      <c r="AG188">
        <v>41.12</v>
      </c>
      <c r="AH188">
        <v>154.08000000000001</v>
      </c>
      <c r="AI188">
        <v>252.56</v>
      </c>
      <c r="AJ188" t="s">
        <v>165</v>
      </c>
      <c r="AK188" t="s">
        <v>166</v>
      </c>
      <c r="AL188" t="s">
        <v>146</v>
      </c>
      <c r="AM188" t="b">
        <f t="shared" si="2"/>
        <v>1</v>
      </c>
    </row>
    <row r="189" spans="1:39" x14ac:dyDescent="0.25">
      <c r="A189">
        <v>188</v>
      </c>
      <c r="B189">
        <v>188</v>
      </c>
      <c r="C189" t="s">
        <v>116</v>
      </c>
      <c r="D189">
        <v>55</v>
      </c>
      <c r="E189">
        <v>2</v>
      </c>
      <c r="F189">
        <v>61</v>
      </c>
      <c r="G189">
        <v>60</v>
      </c>
      <c r="H189">
        <v>89</v>
      </c>
      <c r="I189">
        <v>3</v>
      </c>
      <c r="J189">
        <v>1</v>
      </c>
      <c r="K189">
        <v>2</v>
      </c>
      <c r="L189">
        <v>3</v>
      </c>
      <c r="M189" s="4" t="s">
        <v>309</v>
      </c>
      <c r="N189">
        <v>1</v>
      </c>
      <c r="O189" s="4">
        <v>8</v>
      </c>
      <c r="P189">
        <v>3</v>
      </c>
      <c r="Q189" s="4">
        <v>7.57</v>
      </c>
      <c r="R189">
        <v>6.25</v>
      </c>
      <c r="S189">
        <v>6.99</v>
      </c>
      <c r="T189">
        <v>9.7100000000000009</v>
      </c>
      <c r="U189">
        <v>2</v>
      </c>
      <c r="V189">
        <v>130</v>
      </c>
      <c r="W189">
        <v>90</v>
      </c>
      <c r="X189">
        <v>1</v>
      </c>
      <c r="Y189">
        <v>5</v>
      </c>
      <c r="Z189">
        <v>1</v>
      </c>
      <c r="AA189">
        <v>1</v>
      </c>
      <c r="AB189">
        <v>1</v>
      </c>
      <c r="AC189">
        <v>2</v>
      </c>
      <c r="AD189">
        <v>2</v>
      </c>
      <c r="AF189">
        <v>182</v>
      </c>
      <c r="AG189">
        <v>63.7</v>
      </c>
      <c r="AH189">
        <v>88.9</v>
      </c>
      <c r="AI189">
        <v>229.9</v>
      </c>
      <c r="AJ189" t="s">
        <v>168</v>
      </c>
      <c r="AK189" t="s">
        <v>169</v>
      </c>
      <c r="AL189" t="s">
        <v>170</v>
      </c>
      <c r="AM189" t="b">
        <f t="shared" si="2"/>
        <v>1</v>
      </c>
    </row>
    <row r="190" spans="1:39" x14ac:dyDescent="0.25">
      <c r="A190">
        <v>189</v>
      </c>
      <c r="B190">
        <v>189</v>
      </c>
      <c r="C190" t="s">
        <v>135</v>
      </c>
      <c r="D190">
        <v>41</v>
      </c>
      <c r="E190">
        <v>2</v>
      </c>
      <c r="F190">
        <v>61</v>
      </c>
      <c r="G190">
        <v>55</v>
      </c>
      <c r="H190">
        <v>84</v>
      </c>
      <c r="I190">
        <v>2</v>
      </c>
      <c r="J190">
        <v>2</v>
      </c>
      <c r="K190">
        <v>1</v>
      </c>
      <c r="L190">
        <v>1</v>
      </c>
      <c r="M190" s="4" t="s">
        <v>36</v>
      </c>
      <c r="N190">
        <v>1</v>
      </c>
      <c r="O190" s="4">
        <v>10</v>
      </c>
      <c r="P190">
        <v>3</v>
      </c>
      <c r="Q190" s="4">
        <v>7.24</v>
      </c>
      <c r="R190">
        <v>6.09</v>
      </c>
      <c r="S190">
        <v>5.97</v>
      </c>
      <c r="T190">
        <v>8.4499999999999993</v>
      </c>
      <c r="U190">
        <v>1</v>
      </c>
      <c r="V190">
        <v>120</v>
      </c>
      <c r="W190">
        <v>80</v>
      </c>
      <c r="X190">
        <v>2</v>
      </c>
      <c r="AC190">
        <v>4</v>
      </c>
      <c r="AD190">
        <v>2</v>
      </c>
      <c r="AF190">
        <v>190</v>
      </c>
      <c r="AG190">
        <v>47.64</v>
      </c>
      <c r="AH190">
        <v>116</v>
      </c>
      <c r="AI190">
        <v>354.16</v>
      </c>
      <c r="AJ190" t="s">
        <v>172</v>
      </c>
      <c r="AK190" t="s">
        <v>173</v>
      </c>
      <c r="AL190" t="s">
        <v>170</v>
      </c>
      <c r="AM190" t="b">
        <f t="shared" si="2"/>
        <v>0</v>
      </c>
    </row>
    <row r="191" spans="1:39" x14ac:dyDescent="0.25">
      <c r="A191">
        <v>190</v>
      </c>
      <c r="B191">
        <v>190</v>
      </c>
      <c r="C191" t="s">
        <v>138</v>
      </c>
      <c r="D191">
        <v>55</v>
      </c>
      <c r="E191">
        <v>2</v>
      </c>
      <c r="F191">
        <v>63</v>
      </c>
      <c r="G191">
        <v>57</v>
      </c>
      <c r="H191">
        <v>87</v>
      </c>
      <c r="I191">
        <v>2</v>
      </c>
      <c r="J191">
        <v>2</v>
      </c>
      <c r="K191">
        <v>3</v>
      </c>
      <c r="L191">
        <v>1</v>
      </c>
      <c r="M191" s="4" t="s">
        <v>270</v>
      </c>
      <c r="N191">
        <v>1</v>
      </c>
      <c r="O191" s="4" t="s">
        <v>57</v>
      </c>
      <c r="P191">
        <v>5</v>
      </c>
      <c r="Q191" s="4">
        <v>6.43</v>
      </c>
      <c r="R191">
        <v>19.3</v>
      </c>
      <c r="S191">
        <v>6.86</v>
      </c>
      <c r="T191">
        <v>11.37</v>
      </c>
      <c r="U191">
        <v>2</v>
      </c>
      <c r="V191">
        <v>110</v>
      </c>
      <c r="W191">
        <v>70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3</v>
      </c>
      <c r="AD191">
        <v>1</v>
      </c>
      <c r="AE191" t="s">
        <v>145</v>
      </c>
      <c r="AF191">
        <v>192.93</v>
      </c>
      <c r="AG191">
        <v>32.15</v>
      </c>
      <c r="AH191">
        <v>125.67</v>
      </c>
      <c r="AI191">
        <v>175.54</v>
      </c>
      <c r="AJ191" t="s">
        <v>175</v>
      </c>
      <c r="AK191" t="s">
        <v>176</v>
      </c>
      <c r="AM191" t="b">
        <f t="shared" si="2"/>
        <v>0</v>
      </c>
    </row>
    <row r="192" spans="1:39" x14ac:dyDescent="0.25">
      <c r="A192">
        <v>191</v>
      </c>
      <c r="B192">
        <v>191</v>
      </c>
      <c r="C192" t="s">
        <v>139</v>
      </c>
      <c r="D192">
        <v>34</v>
      </c>
      <c r="E192">
        <v>1</v>
      </c>
      <c r="F192">
        <v>63</v>
      </c>
      <c r="G192">
        <v>67</v>
      </c>
      <c r="H192">
        <v>90</v>
      </c>
      <c r="I192">
        <v>2</v>
      </c>
      <c r="J192">
        <v>1</v>
      </c>
      <c r="K192">
        <v>3</v>
      </c>
      <c r="L192">
        <v>2</v>
      </c>
      <c r="M192" s="4" t="s">
        <v>36</v>
      </c>
      <c r="N192">
        <v>2</v>
      </c>
      <c r="O192" s="4">
        <v>5</v>
      </c>
      <c r="P192">
        <v>1</v>
      </c>
      <c r="Q192" s="4">
        <v>7.45</v>
      </c>
      <c r="R192">
        <v>11.92</v>
      </c>
      <c r="S192">
        <v>9.33</v>
      </c>
      <c r="T192">
        <v>11.98</v>
      </c>
      <c r="U192">
        <v>2</v>
      </c>
      <c r="V192">
        <v>130</v>
      </c>
      <c r="W192" s="4">
        <v>90</v>
      </c>
      <c r="X192">
        <v>2</v>
      </c>
      <c r="AC192">
        <v>2</v>
      </c>
      <c r="AD192">
        <v>2</v>
      </c>
      <c r="AF192">
        <v>228.9</v>
      </c>
      <c r="AG192">
        <v>47.86</v>
      </c>
      <c r="AH192">
        <v>194.05</v>
      </c>
      <c r="AI192">
        <v>166.51</v>
      </c>
      <c r="AJ192" t="s">
        <v>14</v>
      </c>
      <c r="AK192" t="s">
        <v>15</v>
      </c>
      <c r="AL192" t="s">
        <v>170</v>
      </c>
      <c r="AM192" t="b">
        <f t="shared" si="2"/>
        <v>1</v>
      </c>
    </row>
    <row r="193" spans="1:39" x14ac:dyDescent="0.25">
      <c r="A193">
        <v>192</v>
      </c>
      <c r="B193">
        <v>192</v>
      </c>
      <c r="C193" t="s">
        <v>140</v>
      </c>
      <c r="D193">
        <v>45</v>
      </c>
      <c r="E193">
        <v>2</v>
      </c>
      <c r="F193">
        <v>63</v>
      </c>
      <c r="G193">
        <v>51</v>
      </c>
      <c r="H193">
        <v>80</v>
      </c>
      <c r="I193">
        <v>1</v>
      </c>
      <c r="J193">
        <v>1</v>
      </c>
      <c r="K193">
        <v>2</v>
      </c>
      <c r="L193">
        <v>1</v>
      </c>
      <c r="M193" s="4" t="s">
        <v>309</v>
      </c>
      <c r="N193">
        <v>1</v>
      </c>
      <c r="O193" s="4">
        <v>5</v>
      </c>
      <c r="P193">
        <v>1</v>
      </c>
      <c r="Q193" s="4">
        <v>7.1</v>
      </c>
      <c r="R193">
        <v>11.7</v>
      </c>
      <c r="S193">
        <v>6.29</v>
      </c>
      <c r="T193">
        <v>9.31</v>
      </c>
      <c r="U193">
        <v>2</v>
      </c>
      <c r="V193">
        <v>130</v>
      </c>
      <c r="W193">
        <v>80</v>
      </c>
      <c r="X193">
        <v>2</v>
      </c>
      <c r="AC193">
        <v>4</v>
      </c>
      <c r="AD193">
        <v>2</v>
      </c>
      <c r="AF193">
        <v>147</v>
      </c>
      <c r="AG193">
        <v>47.5</v>
      </c>
      <c r="AH193">
        <v>105.6</v>
      </c>
      <c r="AI193">
        <v>264.3</v>
      </c>
      <c r="AJ193" t="s">
        <v>182</v>
      </c>
      <c r="AK193" t="s">
        <v>121</v>
      </c>
      <c r="AM193" t="b">
        <f t="shared" si="2"/>
        <v>0</v>
      </c>
    </row>
    <row r="194" spans="1:39" x14ac:dyDescent="0.25">
      <c r="A194">
        <v>193</v>
      </c>
      <c r="B194">
        <v>193</v>
      </c>
      <c r="C194" t="s">
        <v>143</v>
      </c>
      <c r="D194">
        <v>58</v>
      </c>
      <c r="E194">
        <v>1</v>
      </c>
      <c r="F194">
        <v>62</v>
      </c>
      <c r="G194">
        <v>45</v>
      </c>
      <c r="H194">
        <v>88</v>
      </c>
      <c r="I194">
        <v>2</v>
      </c>
      <c r="J194">
        <v>2</v>
      </c>
      <c r="K194">
        <v>3</v>
      </c>
      <c r="L194">
        <v>1</v>
      </c>
      <c r="M194" s="4" t="s">
        <v>36</v>
      </c>
      <c r="N194">
        <v>1</v>
      </c>
      <c r="O194" s="4">
        <v>10</v>
      </c>
      <c r="P194">
        <v>1</v>
      </c>
      <c r="Q194" s="4">
        <v>5.73</v>
      </c>
      <c r="R194">
        <v>12.6</v>
      </c>
      <c r="S194">
        <v>6.55</v>
      </c>
      <c r="T194">
        <v>8.15</v>
      </c>
      <c r="U194">
        <v>1</v>
      </c>
      <c r="V194">
        <v>125</v>
      </c>
      <c r="W194">
        <v>85</v>
      </c>
      <c r="X194">
        <v>1</v>
      </c>
      <c r="Y194">
        <v>12</v>
      </c>
      <c r="Z194">
        <v>1</v>
      </c>
      <c r="AA194">
        <v>1</v>
      </c>
      <c r="AB194">
        <v>1</v>
      </c>
      <c r="AC194">
        <v>1</v>
      </c>
      <c r="AD194">
        <v>2</v>
      </c>
      <c r="AF194">
        <v>169</v>
      </c>
      <c r="AG194">
        <v>42</v>
      </c>
      <c r="AH194">
        <v>136</v>
      </c>
      <c r="AI194">
        <v>149</v>
      </c>
      <c r="AJ194" t="s">
        <v>13</v>
      </c>
      <c r="AK194" t="s">
        <v>15</v>
      </c>
      <c r="AM194" t="b">
        <f t="shared" si="2"/>
        <v>0</v>
      </c>
    </row>
    <row r="195" spans="1:39" x14ac:dyDescent="0.25">
      <c r="A195">
        <v>194</v>
      </c>
      <c r="B195">
        <v>194</v>
      </c>
      <c r="C195" t="s">
        <v>147</v>
      </c>
      <c r="D195">
        <v>45</v>
      </c>
      <c r="E195">
        <v>2</v>
      </c>
      <c r="F195">
        <v>62</v>
      </c>
      <c r="G195">
        <v>60.1</v>
      </c>
      <c r="H195">
        <v>98</v>
      </c>
      <c r="I195">
        <v>2</v>
      </c>
      <c r="J195">
        <v>2</v>
      </c>
      <c r="K195">
        <v>4</v>
      </c>
      <c r="L195">
        <v>2</v>
      </c>
      <c r="M195" s="4" t="s">
        <v>308</v>
      </c>
      <c r="N195">
        <v>1</v>
      </c>
      <c r="O195" s="4">
        <v>2</v>
      </c>
      <c r="P195">
        <v>1</v>
      </c>
      <c r="Q195" s="4">
        <v>7.45</v>
      </c>
      <c r="R195">
        <v>7.1</v>
      </c>
      <c r="S195">
        <v>7.02</v>
      </c>
      <c r="T195">
        <v>8.1</v>
      </c>
      <c r="U195">
        <v>1</v>
      </c>
      <c r="V195">
        <v>150</v>
      </c>
      <c r="W195">
        <v>90</v>
      </c>
      <c r="X195">
        <v>1</v>
      </c>
      <c r="Y195">
        <v>5</v>
      </c>
      <c r="Z195">
        <v>1</v>
      </c>
      <c r="AA195">
        <v>1</v>
      </c>
      <c r="AB195">
        <v>1</v>
      </c>
      <c r="AC195">
        <v>1</v>
      </c>
      <c r="AD195">
        <v>2</v>
      </c>
      <c r="AF195">
        <v>233</v>
      </c>
      <c r="AG195">
        <v>81</v>
      </c>
      <c r="AH195">
        <v>139.6</v>
      </c>
      <c r="AI195">
        <v>250.6</v>
      </c>
      <c r="AJ195" t="s">
        <v>13</v>
      </c>
      <c r="AK195" t="s">
        <v>15</v>
      </c>
      <c r="AM195" t="b">
        <f t="shared" ref="AM195:AM221" si="3">W195&gt;=90</f>
        <v>1</v>
      </c>
    </row>
    <row r="196" spans="1:39" x14ac:dyDescent="0.25">
      <c r="A196">
        <v>195</v>
      </c>
      <c r="B196">
        <v>195</v>
      </c>
      <c r="C196" t="s">
        <v>150</v>
      </c>
      <c r="D196">
        <v>64</v>
      </c>
      <c r="E196">
        <v>2</v>
      </c>
      <c r="F196">
        <v>64</v>
      </c>
      <c r="G196">
        <v>73.8</v>
      </c>
      <c r="H196">
        <v>100</v>
      </c>
      <c r="I196">
        <v>2</v>
      </c>
      <c r="J196">
        <v>2</v>
      </c>
      <c r="K196">
        <v>5</v>
      </c>
      <c r="L196">
        <v>2</v>
      </c>
      <c r="M196" s="4" t="s">
        <v>181</v>
      </c>
      <c r="N196">
        <v>1</v>
      </c>
      <c r="O196" s="4">
        <v>7</v>
      </c>
      <c r="P196">
        <v>1</v>
      </c>
      <c r="Q196" s="4">
        <v>6.74</v>
      </c>
      <c r="R196">
        <v>14.2</v>
      </c>
      <c r="S196">
        <v>9.3699999999999992</v>
      </c>
      <c r="T196">
        <v>11</v>
      </c>
      <c r="U196">
        <v>1</v>
      </c>
      <c r="V196">
        <v>110</v>
      </c>
      <c r="W196">
        <v>70</v>
      </c>
      <c r="X196">
        <v>2</v>
      </c>
      <c r="AC196">
        <v>2</v>
      </c>
      <c r="AD196">
        <v>2</v>
      </c>
      <c r="AF196">
        <v>191</v>
      </c>
      <c r="AG196">
        <v>110.6</v>
      </c>
      <c r="AH196">
        <v>61.4</v>
      </c>
      <c r="AI196">
        <v>112</v>
      </c>
      <c r="AJ196" t="s">
        <v>13</v>
      </c>
      <c r="AK196" t="s">
        <v>15</v>
      </c>
      <c r="AM196" t="b">
        <f t="shared" si="3"/>
        <v>0</v>
      </c>
    </row>
    <row r="197" spans="1:39" x14ac:dyDescent="0.25">
      <c r="A197">
        <v>196</v>
      </c>
      <c r="B197">
        <v>196</v>
      </c>
      <c r="C197" t="s">
        <v>153</v>
      </c>
      <c r="D197">
        <v>29</v>
      </c>
      <c r="E197">
        <v>1</v>
      </c>
      <c r="F197">
        <v>66</v>
      </c>
      <c r="G197">
        <v>65.099999999999994</v>
      </c>
      <c r="H197">
        <v>95</v>
      </c>
      <c r="I197">
        <v>2</v>
      </c>
      <c r="J197">
        <v>3</v>
      </c>
      <c r="K197">
        <v>5</v>
      </c>
      <c r="L197">
        <v>3</v>
      </c>
      <c r="M197" s="4" t="s">
        <v>128</v>
      </c>
      <c r="N197">
        <v>1</v>
      </c>
      <c r="O197" s="4">
        <v>22</v>
      </c>
      <c r="P197">
        <v>1</v>
      </c>
      <c r="Q197" s="4">
        <v>7.07</v>
      </c>
      <c r="R197">
        <v>17.79</v>
      </c>
      <c r="S197">
        <v>5.97</v>
      </c>
      <c r="T197">
        <v>11.89</v>
      </c>
      <c r="U197">
        <v>2</v>
      </c>
      <c r="V197">
        <v>160</v>
      </c>
      <c r="W197">
        <v>95</v>
      </c>
      <c r="X197">
        <v>2</v>
      </c>
      <c r="AC197">
        <v>3</v>
      </c>
      <c r="AD197">
        <v>2</v>
      </c>
      <c r="AF197">
        <v>255</v>
      </c>
      <c r="AG197">
        <v>82.2</v>
      </c>
      <c r="AH197">
        <v>165.3</v>
      </c>
      <c r="AI197">
        <v>325</v>
      </c>
      <c r="AJ197" t="s">
        <v>14</v>
      </c>
      <c r="AK197" t="s">
        <v>15</v>
      </c>
      <c r="AL197" t="s">
        <v>146</v>
      </c>
      <c r="AM197" t="b">
        <f t="shared" si="3"/>
        <v>1</v>
      </c>
    </row>
    <row r="198" spans="1:39" x14ac:dyDescent="0.25">
      <c r="A198">
        <v>197</v>
      </c>
      <c r="B198">
        <v>197</v>
      </c>
      <c r="C198" t="s">
        <v>156</v>
      </c>
      <c r="D198">
        <v>55</v>
      </c>
      <c r="E198">
        <v>2</v>
      </c>
      <c r="F198">
        <v>60</v>
      </c>
      <c r="G198">
        <v>47</v>
      </c>
      <c r="H198">
        <v>79</v>
      </c>
      <c r="I198">
        <v>1</v>
      </c>
      <c r="J198">
        <v>4</v>
      </c>
      <c r="K198">
        <v>1</v>
      </c>
      <c r="L198">
        <v>1</v>
      </c>
      <c r="M198" s="4" t="s">
        <v>310</v>
      </c>
      <c r="N198">
        <v>1</v>
      </c>
      <c r="O198" s="4">
        <v>2</v>
      </c>
      <c r="P198">
        <v>1</v>
      </c>
      <c r="Q198" s="4">
        <v>7</v>
      </c>
      <c r="R198">
        <v>22.7</v>
      </c>
      <c r="S198">
        <v>8.2100000000000009</v>
      </c>
      <c r="T198">
        <v>11.04</v>
      </c>
      <c r="U198">
        <v>2</v>
      </c>
      <c r="V198">
        <v>160</v>
      </c>
      <c r="W198">
        <v>90</v>
      </c>
      <c r="X198">
        <v>1</v>
      </c>
      <c r="Y198">
        <v>4</v>
      </c>
      <c r="Z198">
        <v>1</v>
      </c>
      <c r="AA198">
        <v>1</v>
      </c>
      <c r="AB198">
        <v>1</v>
      </c>
      <c r="AC198">
        <v>1</v>
      </c>
      <c r="AD198">
        <v>2</v>
      </c>
      <c r="AF198">
        <v>216</v>
      </c>
      <c r="AG198">
        <v>70.7</v>
      </c>
      <c r="AH198">
        <v>122.3</v>
      </c>
      <c r="AI198">
        <v>384.4</v>
      </c>
      <c r="AJ198" t="s">
        <v>13</v>
      </c>
      <c r="AK198" t="s">
        <v>15</v>
      </c>
      <c r="AM198" t="b">
        <f t="shared" si="3"/>
        <v>1</v>
      </c>
    </row>
    <row r="199" spans="1:39" x14ac:dyDescent="0.25">
      <c r="A199">
        <v>198</v>
      </c>
      <c r="B199">
        <v>198</v>
      </c>
      <c r="C199" t="s">
        <v>159</v>
      </c>
      <c r="D199">
        <v>70</v>
      </c>
      <c r="E199">
        <v>2</v>
      </c>
      <c r="F199">
        <v>63</v>
      </c>
      <c r="G199">
        <v>71</v>
      </c>
      <c r="H199">
        <v>91</v>
      </c>
      <c r="I199">
        <v>1</v>
      </c>
      <c r="J199">
        <v>4</v>
      </c>
      <c r="K199">
        <v>2</v>
      </c>
      <c r="L199">
        <v>1</v>
      </c>
      <c r="M199" s="4" t="s">
        <v>310</v>
      </c>
      <c r="N199">
        <v>1</v>
      </c>
      <c r="O199" s="4" t="s">
        <v>179</v>
      </c>
      <c r="P199">
        <v>5</v>
      </c>
      <c r="Q199" s="4">
        <v>5.99</v>
      </c>
      <c r="R199">
        <v>24.6</v>
      </c>
      <c r="S199">
        <v>10.16</v>
      </c>
      <c r="T199">
        <v>14.96</v>
      </c>
      <c r="U199">
        <v>1</v>
      </c>
      <c r="V199">
        <v>130</v>
      </c>
      <c r="W199">
        <v>90</v>
      </c>
      <c r="X199">
        <v>1</v>
      </c>
      <c r="Y199">
        <v>3</v>
      </c>
      <c r="Z199">
        <v>1</v>
      </c>
      <c r="AA199">
        <v>1</v>
      </c>
      <c r="AB199">
        <v>1</v>
      </c>
      <c r="AC199">
        <v>1</v>
      </c>
      <c r="AD199">
        <v>2</v>
      </c>
      <c r="AF199">
        <v>179</v>
      </c>
      <c r="AG199">
        <v>54</v>
      </c>
      <c r="AH199">
        <v>110.7</v>
      </c>
      <c r="AI199">
        <v>481</v>
      </c>
      <c r="AJ199" t="s">
        <v>189</v>
      </c>
      <c r="AK199" t="s">
        <v>168</v>
      </c>
      <c r="AM199" t="b">
        <f t="shared" si="3"/>
        <v>1</v>
      </c>
    </row>
    <row r="200" spans="1:39" x14ac:dyDescent="0.25">
      <c r="A200">
        <v>199</v>
      </c>
      <c r="B200">
        <v>199</v>
      </c>
      <c r="C200" t="s">
        <v>162</v>
      </c>
      <c r="D200">
        <v>32</v>
      </c>
      <c r="E200">
        <v>2</v>
      </c>
      <c r="F200">
        <v>61</v>
      </c>
      <c r="G200">
        <v>73.7</v>
      </c>
      <c r="H200">
        <v>101</v>
      </c>
      <c r="I200">
        <v>2</v>
      </c>
      <c r="J200">
        <v>2</v>
      </c>
      <c r="K200">
        <v>3</v>
      </c>
      <c r="L200">
        <v>2</v>
      </c>
      <c r="M200" s="4" t="s">
        <v>36</v>
      </c>
      <c r="N200">
        <v>1</v>
      </c>
      <c r="O200" s="4">
        <v>1</v>
      </c>
      <c r="P200">
        <v>4</v>
      </c>
      <c r="Q200" s="4">
        <v>6.47</v>
      </c>
      <c r="R200">
        <v>11.26</v>
      </c>
      <c r="S200">
        <v>7.01</v>
      </c>
      <c r="T200">
        <v>11.18</v>
      </c>
      <c r="U200">
        <v>1</v>
      </c>
      <c r="V200">
        <v>110</v>
      </c>
      <c r="W200">
        <v>90</v>
      </c>
      <c r="X200">
        <v>2</v>
      </c>
      <c r="AC200">
        <v>2</v>
      </c>
      <c r="AD200">
        <v>2</v>
      </c>
      <c r="AF200">
        <v>139.44</v>
      </c>
      <c r="AG200">
        <v>44.66</v>
      </c>
      <c r="AH200">
        <v>79.180000000000007</v>
      </c>
      <c r="AI200">
        <v>78</v>
      </c>
      <c r="AJ200" t="s">
        <v>198</v>
      </c>
      <c r="AK200" t="s">
        <v>199</v>
      </c>
      <c r="AM200" t="b">
        <f t="shared" si="3"/>
        <v>1</v>
      </c>
    </row>
    <row r="201" spans="1:39" x14ac:dyDescent="0.25">
      <c r="A201">
        <v>200</v>
      </c>
      <c r="B201">
        <v>200</v>
      </c>
      <c r="C201" t="s">
        <v>163</v>
      </c>
      <c r="D201">
        <v>62</v>
      </c>
      <c r="E201">
        <v>1</v>
      </c>
      <c r="F201">
        <v>63</v>
      </c>
      <c r="G201">
        <v>59</v>
      </c>
      <c r="H201">
        <v>96</v>
      </c>
      <c r="I201">
        <v>2</v>
      </c>
      <c r="J201">
        <v>1</v>
      </c>
      <c r="K201">
        <v>2</v>
      </c>
      <c r="L201">
        <v>2</v>
      </c>
      <c r="M201" s="4" t="s">
        <v>36</v>
      </c>
      <c r="N201">
        <v>1</v>
      </c>
      <c r="O201" s="4">
        <v>9</v>
      </c>
      <c r="P201">
        <v>1</v>
      </c>
      <c r="Q201" s="4">
        <v>5.69</v>
      </c>
      <c r="R201">
        <v>24.1</v>
      </c>
      <c r="S201">
        <v>10.84</v>
      </c>
      <c r="T201">
        <v>12.84</v>
      </c>
      <c r="U201">
        <v>1</v>
      </c>
      <c r="V201">
        <v>120</v>
      </c>
      <c r="W201">
        <v>70</v>
      </c>
      <c r="X201">
        <v>2</v>
      </c>
      <c r="AC201">
        <v>2</v>
      </c>
      <c r="AD201">
        <v>1</v>
      </c>
      <c r="AE201" t="s">
        <v>192</v>
      </c>
      <c r="AF201">
        <v>140</v>
      </c>
      <c r="AG201">
        <v>35</v>
      </c>
      <c r="AH201">
        <v>80</v>
      </c>
      <c r="AI201">
        <v>94.9</v>
      </c>
      <c r="AJ201" t="s">
        <v>193</v>
      </c>
      <c r="AK201" t="s">
        <v>194</v>
      </c>
      <c r="AM201" t="b">
        <f t="shared" si="3"/>
        <v>0</v>
      </c>
    </row>
    <row r="202" spans="1:39" x14ac:dyDescent="0.25">
      <c r="A202">
        <v>201</v>
      </c>
      <c r="B202">
        <v>201</v>
      </c>
      <c r="C202" t="s">
        <v>217</v>
      </c>
      <c r="D202">
        <v>43</v>
      </c>
      <c r="E202">
        <v>1</v>
      </c>
      <c r="F202">
        <v>61</v>
      </c>
      <c r="G202">
        <v>62</v>
      </c>
      <c r="H202">
        <v>91</v>
      </c>
      <c r="I202">
        <v>2</v>
      </c>
      <c r="J202">
        <v>2</v>
      </c>
      <c r="K202">
        <v>2</v>
      </c>
      <c r="L202">
        <v>2</v>
      </c>
      <c r="M202" s="4" t="s">
        <v>36</v>
      </c>
      <c r="N202">
        <v>1</v>
      </c>
      <c r="O202" s="4">
        <v>18</v>
      </c>
      <c r="P202">
        <v>2</v>
      </c>
      <c r="Q202" s="4">
        <v>6.99</v>
      </c>
      <c r="R202">
        <v>21.88</v>
      </c>
      <c r="S202">
        <v>9.7100000000000009</v>
      </c>
      <c r="T202">
        <v>13.2</v>
      </c>
      <c r="U202">
        <v>2</v>
      </c>
      <c r="V202">
        <v>140</v>
      </c>
      <c r="W202" s="4">
        <v>95</v>
      </c>
      <c r="X202">
        <v>1</v>
      </c>
      <c r="Y202" s="4">
        <v>3</v>
      </c>
      <c r="Z202">
        <v>1</v>
      </c>
      <c r="AA202" s="4">
        <v>1</v>
      </c>
      <c r="AB202">
        <v>1</v>
      </c>
      <c r="AC202" s="4">
        <v>2</v>
      </c>
      <c r="AD202">
        <v>1</v>
      </c>
      <c r="AE202" t="s">
        <v>93</v>
      </c>
      <c r="AF202">
        <v>98</v>
      </c>
      <c r="AG202">
        <v>50</v>
      </c>
      <c r="AH202">
        <v>52</v>
      </c>
      <c r="AI202">
        <v>87</v>
      </c>
      <c r="AJ202" t="s">
        <v>196</v>
      </c>
      <c r="AK202" t="s">
        <v>197</v>
      </c>
      <c r="AM202" t="b">
        <f t="shared" si="3"/>
        <v>1</v>
      </c>
    </row>
    <row r="203" spans="1:39" x14ac:dyDescent="0.25">
      <c r="A203">
        <v>202</v>
      </c>
      <c r="B203">
        <v>202</v>
      </c>
      <c r="C203" t="s">
        <v>220</v>
      </c>
      <c r="D203">
        <v>70</v>
      </c>
      <c r="E203">
        <v>2</v>
      </c>
      <c r="F203">
        <v>57</v>
      </c>
      <c r="G203">
        <v>39</v>
      </c>
      <c r="H203">
        <v>70</v>
      </c>
      <c r="I203">
        <v>2</v>
      </c>
      <c r="J203">
        <v>2</v>
      </c>
      <c r="K203">
        <v>2</v>
      </c>
      <c r="L203">
        <v>1</v>
      </c>
      <c r="M203" s="4" t="s">
        <v>36</v>
      </c>
      <c r="N203">
        <v>1</v>
      </c>
      <c r="O203" s="4">
        <v>5</v>
      </c>
      <c r="P203">
        <v>1</v>
      </c>
      <c r="Q203" s="4">
        <v>7.84</v>
      </c>
      <c r="R203">
        <v>13.08</v>
      </c>
      <c r="S203">
        <v>6.22</v>
      </c>
      <c r="T203">
        <v>9.76</v>
      </c>
      <c r="U203">
        <v>2</v>
      </c>
      <c r="V203">
        <v>140</v>
      </c>
      <c r="W203" s="4">
        <v>95</v>
      </c>
      <c r="X203">
        <v>2</v>
      </c>
      <c r="AC203">
        <v>4</v>
      </c>
      <c r="AD203">
        <v>2</v>
      </c>
      <c r="AF203">
        <v>266</v>
      </c>
      <c r="AG203">
        <v>87.3</v>
      </c>
      <c r="AH203">
        <v>137.5</v>
      </c>
      <c r="AI203">
        <v>259.60000000000002</v>
      </c>
      <c r="AJ203" t="s">
        <v>13</v>
      </c>
      <c r="AK203" t="s">
        <v>15</v>
      </c>
      <c r="AL203" t="s">
        <v>200</v>
      </c>
      <c r="AM203" t="b">
        <f t="shared" si="3"/>
        <v>1</v>
      </c>
    </row>
    <row r="204" spans="1:39" x14ac:dyDescent="0.25">
      <c r="A204">
        <v>203</v>
      </c>
      <c r="B204">
        <v>203</v>
      </c>
      <c r="C204" t="s">
        <v>222</v>
      </c>
      <c r="D204">
        <v>47</v>
      </c>
      <c r="E204">
        <v>2</v>
      </c>
      <c r="F204">
        <v>61.5</v>
      </c>
      <c r="G204">
        <v>66.400000000000006</v>
      </c>
      <c r="H204">
        <v>98</v>
      </c>
      <c r="I204">
        <v>2</v>
      </c>
      <c r="J204">
        <v>2</v>
      </c>
      <c r="K204">
        <v>2</v>
      </c>
      <c r="L204">
        <v>2</v>
      </c>
      <c r="M204" s="4" t="s">
        <v>36</v>
      </c>
      <c r="N204">
        <v>1</v>
      </c>
      <c r="O204" s="4">
        <v>3</v>
      </c>
      <c r="P204">
        <v>1</v>
      </c>
      <c r="Q204" s="4">
        <v>7.27</v>
      </c>
      <c r="R204">
        <v>18.04</v>
      </c>
      <c r="S204">
        <v>7.14</v>
      </c>
      <c r="T204">
        <v>9.0299999999999994</v>
      </c>
      <c r="U204">
        <v>2</v>
      </c>
      <c r="V204">
        <v>135</v>
      </c>
      <c r="W204">
        <v>90</v>
      </c>
      <c r="X204">
        <v>2</v>
      </c>
      <c r="AC204">
        <v>2</v>
      </c>
      <c r="AD204">
        <v>2</v>
      </c>
      <c r="AF204">
        <v>167</v>
      </c>
      <c r="AG204">
        <v>44.6</v>
      </c>
      <c r="AH204">
        <v>85.3</v>
      </c>
      <c r="AI204">
        <v>217.1</v>
      </c>
      <c r="AJ204" t="s">
        <v>13</v>
      </c>
      <c r="AK204" t="s">
        <v>207</v>
      </c>
      <c r="AM204" t="b">
        <f t="shared" si="3"/>
        <v>1</v>
      </c>
    </row>
    <row r="205" spans="1:39" x14ac:dyDescent="0.25">
      <c r="A205">
        <v>204</v>
      </c>
      <c r="B205">
        <v>204</v>
      </c>
      <c r="C205" t="s">
        <v>225</v>
      </c>
      <c r="D205">
        <v>39</v>
      </c>
      <c r="E205">
        <v>2</v>
      </c>
      <c r="F205">
        <v>59</v>
      </c>
      <c r="G205">
        <v>70.7</v>
      </c>
      <c r="H205">
        <v>102</v>
      </c>
      <c r="I205">
        <v>2</v>
      </c>
      <c r="J205">
        <v>2</v>
      </c>
      <c r="K205">
        <v>2</v>
      </c>
      <c r="L205">
        <v>2</v>
      </c>
      <c r="M205" s="4" t="s">
        <v>36</v>
      </c>
      <c r="N205">
        <v>2</v>
      </c>
      <c r="O205" s="4">
        <v>3</v>
      </c>
      <c r="P205">
        <v>1</v>
      </c>
      <c r="Q205" s="4">
        <v>6.56</v>
      </c>
      <c r="R205">
        <v>11.63</v>
      </c>
      <c r="S205">
        <v>9.52</v>
      </c>
      <c r="T205">
        <v>12.76</v>
      </c>
      <c r="U205">
        <v>2</v>
      </c>
      <c r="V205">
        <v>115</v>
      </c>
      <c r="W205">
        <v>80</v>
      </c>
      <c r="X205">
        <v>2</v>
      </c>
      <c r="AC205">
        <v>2</v>
      </c>
      <c r="AD205">
        <v>2</v>
      </c>
      <c r="AF205">
        <v>224</v>
      </c>
      <c r="AG205">
        <v>64.2</v>
      </c>
      <c r="AH205">
        <v>115</v>
      </c>
      <c r="AI205">
        <v>252.1</v>
      </c>
      <c r="AJ205" t="s">
        <v>13</v>
      </c>
      <c r="AK205" t="s">
        <v>15</v>
      </c>
      <c r="AM205" t="b">
        <f t="shared" si="3"/>
        <v>0</v>
      </c>
    </row>
    <row r="206" spans="1:39" x14ac:dyDescent="0.25">
      <c r="A206">
        <v>205</v>
      </c>
      <c r="B206">
        <v>205</v>
      </c>
      <c r="C206" t="s">
        <v>227</v>
      </c>
      <c r="D206">
        <v>25</v>
      </c>
      <c r="E206">
        <v>2</v>
      </c>
      <c r="F206">
        <v>62</v>
      </c>
      <c r="G206">
        <v>58.4</v>
      </c>
      <c r="H206">
        <v>87</v>
      </c>
      <c r="I206">
        <v>2</v>
      </c>
      <c r="J206">
        <v>3</v>
      </c>
      <c r="K206">
        <v>1</v>
      </c>
      <c r="L206">
        <v>1</v>
      </c>
      <c r="M206" s="4" t="s">
        <v>294</v>
      </c>
      <c r="N206">
        <v>1</v>
      </c>
      <c r="O206" s="4" t="s">
        <v>295</v>
      </c>
      <c r="P206">
        <v>5</v>
      </c>
      <c r="Q206" s="4">
        <v>6.74</v>
      </c>
      <c r="R206">
        <v>10.8</v>
      </c>
      <c r="S206">
        <v>8.76</v>
      </c>
      <c r="T206">
        <v>9.01</v>
      </c>
      <c r="U206">
        <v>1</v>
      </c>
      <c r="V206">
        <v>125</v>
      </c>
      <c r="W206">
        <v>75</v>
      </c>
      <c r="X206">
        <v>1</v>
      </c>
      <c r="Y206">
        <v>13</v>
      </c>
      <c r="Z206">
        <v>1</v>
      </c>
      <c r="AA206">
        <v>1</v>
      </c>
      <c r="AB206">
        <v>1</v>
      </c>
      <c r="AC206">
        <v>1</v>
      </c>
      <c r="AD206">
        <v>2</v>
      </c>
      <c r="AF206">
        <v>361</v>
      </c>
      <c r="AG206">
        <v>76</v>
      </c>
      <c r="AH206">
        <v>197.6</v>
      </c>
      <c r="AI206">
        <v>268.8</v>
      </c>
      <c r="AJ206" t="s">
        <v>72</v>
      </c>
      <c r="AK206" t="s">
        <v>204</v>
      </c>
      <c r="AM206" t="b">
        <f t="shared" si="3"/>
        <v>0</v>
      </c>
    </row>
    <row r="207" spans="1:39" x14ac:dyDescent="0.25">
      <c r="A207">
        <v>206</v>
      </c>
      <c r="B207">
        <v>206</v>
      </c>
      <c r="C207" t="s">
        <v>228</v>
      </c>
      <c r="D207">
        <v>48</v>
      </c>
      <c r="E207">
        <v>2</v>
      </c>
      <c r="F207">
        <v>64</v>
      </c>
      <c r="G207">
        <v>69.599999999999994</v>
      </c>
      <c r="H207">
        <v>95</v>
      </c>
      <c r="I207">
        <v>2</v>
      </c>
      <c r="J207">
        <v>3</v>
      </c>
      <c r="K207">
        <v>1</v>
      </c>
      <c r="L207">
        <v>2</v>
      </c>
      <c r="M207" s="4" t="s">
        <v>297</v>
      </c>
      <c r="N207">
        <v>2</v>
      </c>
      <c r="O207" s="4">
        <v>12</v>
      </c>
      <c r="P207">
        <v>3</v>
      </c>
      <c r="Q207" s="4">
        <v>7.88</v>
      </c>
      <c r="R207">
        <v>12</v>
      </c>
      <c r="S207">
        <v>9.39</v>
      </c>
      <c r="T207">
        <v>11.32</v>
      </c>
      <c r="U207">
        <v>2</v>
      </c>
      <c r="V207">
        <v>140</v>
      </c>
      <c r="W207">
        <v>90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2</v>
      </c>
      <c r="AD207">
        <v>1</v>
      </c>
      <c r="AE207" t="s">
        <v>93</v>
      </c>
      <c r="AF207">
        <v>224</v>
      </c>
      <c r="AG207">
        <v>44.66</v>
      </c>
      <c r="AH207">
        <v>52</v>
      </c>
      <c r="AI207">
        <v>184.4</v>
      </c>
      <c r="AJ207" t="s">
        <v>206</v>
      </c>
      <c r="AK207" t="s">
        <v>62</v>
      </c>
      <c r="AM207" t="b">
        <f t="shared" si="3"/>
        <v>1</v>
      </c>
    </row>
    <row r="208" spans="1:39" x14ac:dyDescent="0.25">
      <c r="A208">
        <v>207</v>
      </c>
      <c r="B208">
        <v>207</v>
      </c>
      <c r="C208" t="s">
        <v>230</v>
      </c>
      <c r="D208">
        <v>60</v>
      </c>
      <c r="E208">
        <v>2</v>
      </c>
      <c r="F208">
        <v>57.5</v>
      </c>
      <c r="G208">
        <v>51.4</v>
      </c>
      <c r="H208">
        <v>86</v>
      </c>
      <c r="I208">
        <v>2</v>
      </c>
      <c r="J208">
        <v>3</v>
      </c>
      <c r="K208">
        <v>5</v>
      </c>
      <c r="L208">
        <v>3</v>
      </c>
      <c r="M208" s="4" t="s">
        <v>260</v>
      </c>
      <c r="N208">
        <v>1</v>
      </c>
      <c r="O208" s="4" t="s">
        <v>295</v>
      </c>
      <c r="P208">
        <v>5</v>
      </c>
      <c r="Q208" s="4">
        <v>7.89</v>
      </c>
      <c r="R208">
        <v>17.2</v>
      </c>
      <c r="S208">
        <v>5.94</v>
      </c>
      <c r="T208">
        <v>8.7200000000000006</v>
      </c>
      <c r="U208">
        <v>1</v>
      </c>
      <c r="V208">
        <v>110</v>
      </c>
      <c r="W208" s="4">
        <v>70</v>
      </c>
      <c r="X208">
        <v>2</v>
      </c>
      <c r="AC208">
        <v>4</v>
      </c>
      <c r="AD208">
        <v>2</v>
      </c>
      <c r="AF208">
        <v>198</v>
      </c>
      <c r="AG208">
        <v>35</v>
      </c>
      <c r="AH208">
        <v>137.5</v>
      </c>
      <c r="AI208">
        <v>481</v>
      </c>
      <c r="AJ208" t="s">
        <v>13</v>
      </c>
      <c r="AK208" t="s">
        <v>209</v>
      </c>
      <c r="AL208" t="s">
        <v>170</v>
      </c>
      <c r="AM208" t="b">
        <f t="shared" si="3"/>
        <v>0</v>
      </c>
    </row>
    <row r="209" spans="1:39" x14ac:dyDescent="0.25">
      <c r="A209">
        <v>208</v>
      </c>
      <c r="B209">
        <v>208</v>
      </c>
      <c r="C209" t="s">
        <v>231</v>
      </c>
      <c r="D209">
        <v>66</v>
      </c>
      <c r="E209">
        <v>1</v>
      </c>
      <c r="F209">
        <v>65.5</v>
      </c>
      <c r="G209">
        <v>65</v>
      </c>
      <c r="H209">
        <v>83</v>
      </c>
      <c r="I209">
        <v>1</v>
      </c>
      <c r="J209">
        <v>3</v>
      </c>
      <c r="K209">
        <v>3</v>
      </c>
      <c r="L209">
        <v>2</v>
      </c>
      <c r="M209" s="4" t="s">
        <v>299</v>
      </c>
      <c r="N209">
        <v>1</v>
      </c>
      <c r="O209" s="4">
        <v>11</v>
      </c>
      <c r="P209">
        <v>1</v>
      </c>
      <c r="Q209" s="4">
        <v>7.52</v>
      </c>
      <c r="R209">
        <v>10</v>
      </c>
      <c r="S209">
        <v>9.5</v>
      </c>
      <c r="T209">
        <v>8.5</v>
      </c>
      <c r="U209">
        <v>2</v>
      </c>
      <c r="V209">
        <v>150</v>
      </c>
      <c r="W209">
        <v>85</v>
      </c>
      <c r="X209">
        <v>2</v>
      </c>
      <c r="AC209">
        <v>5</v>
      </c>
      <c r="AD209">
        <v>2</v>
      </c>
      <c r="AF209">
        <v>210</v>
      </c>
      <c r="AG209">
        <v>50</v>
      </c>
      <c r="AH209">
        <v>85.3</v>
      </c>
      <c r="AI209">
        <v>78</v>
      </c>
      <c r="AJ209" t="s">
        <v>211</v>
      </c>
      <c r="AK209" t="s">
        <v>121</v>
      </c>
      <c r="AL209" t="s">
        <v>146</v>
      </c>
      <c r="AM209" t="b">
        <f t="shared" si="3"/>
        <v>0</v>
      </c>
    </row>
    <row r="210" spans="1:39" x14ac:dyDescent="0.25">
      <c r="A210">
        <v>209</v>
      </c>
      <c r="B210">
        <v>209</v>
      </c>
      <c r="C210" t="s">
        <v>232</v>
      </c>
      <c r="D210">
        <v>37</v>
      </c>
      <c r="E210">
        <v>2</v>
      </c>
      <c r="F210">
        <v>65</v>
      </c>
      <c r="G210">
        <v>72</v>
      </c>
      <c r="H210">
        <v>94</v>
      </c>
      <c r="I210">
        <v>2</v>
      </c>
      <c r="J210">
        <v>3</v>
      </c>
      <c r="K210">
        <v>1</v>
      </c>
      <c r="L210">
        <v>1</v>
      </c>
      <c r="M210" s="4" t="s">
        <v>297</v>
      </c>
      <c r="N210">
        <v>1</v>
      </c>
      <c r="O210" s="4">
        <v>12</v>
      </c>
      <c r="P210">
        <v>3</v>
      </c>
      <c r="Q210" s="4">
        <v>5.92</v>
      </c>
      <c r="R210">
        <v>18.25</v>
      </c>
      <c r="S210">
        <v>8.5</v>
      </c>
      <c r="T210">
        <v>11.57</v>
      </c>
      <c r="U210">
        <v>2</v>
      </c>
      <c r="V210">
        <v>120</v>
      </c>
      <c r="W210">
        <v>80</v>
      </c>
      <c r="X210">
        <v>2</v>
      </c>
      <c r="AC210">
        <v>3</v>
      </c>
      <c r="AD210">
        <v>2</v>
      </c>
      <c r="AF210">
        <v>180</v>
      </c>
      <c r="AG210">
        <v>87.3</v>
      </c>
      <c r="AH210">
        <v>115</v>
      </c>
      <c r="AI210">
        <v>94.9</v>
      </c>
      <c r="AJ210" t="s">
        <v>53</v>
      </c>
      <c r="AK210" t="s">
        <v>15</v>
      </c>
      <c r="AL210" t="s">
        <v>170</v>
      </c>
      <c r="AM210" t="b">
        <f t="shared" si="3"/>
        <v>0</v>
      </c>
    </row>
    <row r="211" spans="1:39" x14ac:dyDescent="0.25">
      <c r="A211">
        <v>210</v>
      </c>
      <c r="B211">
        <v>210</v>
      </c>
      <c r="C211" t="s">
        <v>233</v>
      </c>
      <c r="D211">
        <v>55</v>
      </c>
      <c r="E211">
        <v>2</v>
      </c>
      <c r="F211">
        <v>60</v>
      </c>
      <c r="G211">
        <v>57</v>
      </c>
      <c r="H211">
        <v>83</v>
      </c>
      <c r="I211">
        <v>2</v>
      </c>
      <c r="J211">
        <v>2</v>
      </c>
      <c r="K211">
        <v>2</v>
      </c>
      <c r="L211">
        <v>1</v>
      </c>
      <c r="M211" s="4" t="s">
        <v>36</v>
      </c>
      <c r="N211">
        <v>1</v>
      </c>
      <c r="O211" s="4">
        <v>15</v>
      </c>
      <c r="P211">
        <v>3</v>
      </c>
      <c r="Q211" s="4">
        <v>5.76</v>
      </c>
      <c r="R211">
        <v>23</v>
      </c>
      <c r="S211">
        <v>9.26</v>
      </c>
      <c r="T211">
        <v>13.93</v>
      </c>
      <c r="U211">
        <v>1</v>
      </c>
      <c r="V211">
        <v>120</v>
      </c>
      <c r="W211">
        <v>70</v>
      </c>
      <c r="X211">
        <v>2</v>
      </c>
      <c r="AC211">
        <v>2</v>
      </c>
      <c r="AD211">
        <v>2</v>
      </c>
      <c r="AF211">
        <v>294</v>
      </c>
      <c r="AG211">
        <v>44.6</v>
      </c>
      <c r="AH211">
        <v>197.6</v>
      </c>
      <c r="AI211">
        <v>474.7</v>
      </c>
      <c r="AJ211" t="s">
        <v>13</v>
      </c>
      <c r="AK211" t="s">
        <v>15</v>
      </c>
      <c r="AM211" t="b">
        <f t="shared" si="3"/>
        <v>0</v>
      </c>
    </row>
    <row r="212" spans="1:39" x14ac:dyDescent="0.25">
      <c r="A212">
        <v>211</v>
      </c>
      <c r="B212">
        <v>211</v>
      </c>
      <c r="C212" t="s">
        <v>217</v>
      </c>
      <c r="D212">
        <v>43</v>
      </c>
      <c r="E212">
        <v>1</v>
      </c>
      <c r="F212">
        <v>63</v>
      </c>
      <c r="G212">
        <v>61.4</v>
      </c>
      <c r="H212">
        <v>89</v>
      </c>
      <c r="I212">
        <v>1</v>
      </c>
      <c r="J212">
        <v>2</v>
      </c>
      <c r="K212">
        <v>2</v>
      </c>
      <c r="L212">
        <v>3</v>
      </c>
      <c r="M212" s="4" t="s">
        <v>24</v>
      </c>
      <c r="N212">
        <v>1</v>
      </c>
      <c r="O212" s="4">
        <v>1</v>
      </c>
      <c r="P212">
        <v>1</v>
      </c>
      <c r="Q212" s="4">
        <v>7.59</v>
      </c>
      <c r="R212">
        <v>11.92</v>
      </c>
      <c r="S212">
        <v>10.75</v>
      </c>
      <c r="T212">
        <v>14.05</v>
      </c>
      <c r="U212">
        <v>2</v>
      </c>
      <c r="V212">
        <v>110</v>
      </c>
      <c r="W212">
        <v>80</v>
      </c>
      <c r="X212">
        <v>2</v>
      </c>
      <c r="AC212">
        <v>4</v>
      </c>
      <c r="AD212">
        <v>1</v>
      </c>
      <c r="AE212" t="s">
        <v>66</v>
      </c>
      <c r="AF212">
        <v>208</v>
      </c>
      <c r="AG212">
        <v>76</v>
      </c>
      <c r="AH212">
        <v>137.5</v>
      </c>
      <c r="AI212">
        <v>180.2</v>
      </c>
      <c r="AJ212" t="s">
        <v>218</v>
      </c>
      <c r="AK212" t="s">
        <v>219</v>
      </c>
      <c r="AM212" t="b">
        <f t="shared" si="3"/>
        <v>0</v>
      </c>
    </row>
    <row r="213" spans="1:39" x14ac:dyDescent="0.25">
      <c r="A213">
        <v>212</v>
      </c>
      <c r="B213">
        <v>212</v>
      </c>
      <c r="C213" t="s">
        <v>220</v>
      </c>
      <c r="D213">
        <v>70</v>
      </c>
      <c r="E213">
        <v>2</v>
      </c>
      <c r="F213">
        <v>55</v>
      </c>
      <c r="G213">
        <v>47</v>
      </c>
      <c r="H213">
        <v>91</v>
      </c>
      <c r="I213">
        <v>2</v>
      </c>
      <c r="J213">
        <v>1</v>
      </c>
      <c r="K213">
        <v>1</v>
      </c>
      <c r="L213">
        <v>2</v>
      </c>
      <c r="M213" s="4" t="s">
        <v>117</v>
      </c>
      <c r="N213">
        <v>2</v>
      </c>
      <c r="O213" s="4">
        <v>10</v>
      </c>
      <c r="P213">
        <v>1</v>
      </c>
      <c r="Q213" s="4">
        <v>7.75</v>
      </c>
      <c r="R213">
        <v>11.7</v>
      </c>
      <c r="S213">
        <v>10.050000000000001</v>
      </c>
      <c r="T213">
        <v>15.05</v>
      </c>
      <c r="U213">
        <v>1</v>
      </c>
      <c r="V213">
        <v>170</v>
      </c>
      <c r="W213">
        <v>100</v>
      </c>
      <c r="X213">
        <v>1</v>
      </c>
      <c r="Y213">
        <v>10</v>
      </c>
      <c r="Z213">
        <v>1</v>
      </c>
      <c r="AA213">
        <v>1</v>
      </c>
      <c r="AB213">
        <v>1</v>
      </c>
      <c r="AC213">
        <v>2</v>
      </c>
      <c r="AD213">
        <v>2</v>
      </c>
      <c r="AF213">
        <v>158</v>
      </c>
      <c r="AG213">
        <v>44.66</v>
      </c>
      <c r="AH213">
        <v>85.3</v>
      </c>
      <c r="AI213">
        <v>184.4</v>
      </c>
      <c r="AJ213" t="s">
        <v>168</v>
      </c>
      <c r="AK213" t="s">
        <v>221</v>
      </c>
      <c r="AM213" t="b">
        <f t="shared" si="3"/>
        <v>1</v>
      </c>
    </row>
    <row r="214" spans="1:39" x14ac:dyDescent="0.25">
      <c r="A214">
        <v>213</v>
      </c>
      <c r="B214">
        <v>213</v>
      </c>
      <c r="C214" t="s">
        <v>222</v>
      </c>
      <c r="D214">
        <v>47</v>
      </c>
      <c r="E214">
        <v>2</v>
      </c>
      <c r="F214">
        <v>58</v>
      </c>
      <c r="G214">
        <v>82</v>
      </c>
      <c r="H214">
        <v>110</v>
      </c>
      <c r="I214">
        <v>2</v>
      </c>
      <c r="J214">
        <v>1</v>
      </c>
      <c r="K214">
        <v>3</v>
      </c>
      <c r="L214">
        <v>4</v>
      </c>
      <c r="M214" s="4" t="s">
        <v>36</v>
      </c>
      <c r="N214">
        <v>1</v>
      </c>
      <c r="O214" s="4">
        <v>5</v>
      </c>
      <c r="P214">
        <v>1</v>
      </c>
      <c r="Q214" s="4">
        <v>5.53</v>
      </c>
      <c r="R214">
        <v>12.6</v>
      </c>
      <c r="S214">
        <v>7.95</v>
      </c>
      <c r="T214">
        <v>8.61</v>
      </c>
      <c r="U214">
        <v>2</v>
      </c>
      <c r="V214">
        <v>110</v>
      </c>
      <c r="W214">
        <v>70</v>
      </c>
      <c r="X214">
        <v>1</v>
      </c>
      <c r="Y214">
        <v>5</v>
      </c>
      <c r="Z214">
        <v>1</v>
      </c>
      <c r="AA214">
        <v>1</v>
      </c>
      <c r="AB214">
        <v>1</v>
      </c>
      <c r="AC214">
        <v>1</v>
      </c>
      <c r="AD214">
        <v>1</v>
      </c>
      <c r="AE214" t="s">
        <v>93</v>
      </c>
      <c r="AF214">
        <v>160</v>
      </c>
      <c r="AG214">
        <v>35</v>
      </c>
      <c r="AH214">
        <v>115</v>
      </c>
      <c r="AI214">
        <v>481</v>
      </c>
      <c r="AJ214" t="s">
        <v>224</v>
      </c>
      <c r="AK214" t="s">
        <v>223</v>
      </c>
      <c r="AM214" t="b">
        <f t="shared" si="3"/>
        <v>0</v>
      </c>
    </row>
    <row r="215" spans="1:39" x14ac:dyDescent="0.25">
      <c r="A215">
        <v>214</v>
      </c>
      <c r="B215">
        <v>214</v>
      </c>
      <c r="C215" t="s">
        <v>225</v>
      </c>
      <c r="D215">
        <v>39</v>
      </c>
      <c r="E215">
        <v>2</v>
      </c>
      <c r="F215">
        <v>62</v>
      </c>
      <c r="G215">
        <v>57.7</v>
      </c>
      <c r="H215">
        <v>85</v>
      </c>
      <c r="I215">
        <v>2</v>
      </c>
      <c r="J215">
        <v>3</v>
      </c>
      <c r="K215">
        <v>5</v>
      </c>
      <c r="L215">
        <v>3</v>
      </c>
      <c r="M215" s="4" t="s">
        <v>226</v>
      </c>
      <c r="N215">
        <v>1</v>
      </c>
      <c r="O215" s="4">
        <v>1</v>
      </c>
      <c r="P215">
        <v>1</v>
      </c>
      <c r="Q215" s="4">
        <v>7.03</v>
      </c>
      <c r="R215">
        <v>7.1</v>
      </c>
      <c r="S215">
        <v>9.69</v>
      </c>
      <c r="T215">
        <v>10.050000000000001</v>
      </c>
      <c r="U215">
        <v>2</v>
      </c>
      <c r="V215">
        <v>110</v>
      </c>
      <c r="W215">
        <v>70</v>
      </c>
      <c r="X215">
        <v>2</v>
      </c>
      <c r="AC215">
        <v>2</v>
      </c>
      <c r="AD215">
        <v>2</v>
      </c>
      <c r="AF215">
        <v>139</v>
      </c>
      <c r="AG215">
        <v>50</v>
      </c>
      <c r="AH215">
        <v>197.6</v>
      </c>
      <c r="AI215">
        <v>78</v>
      </c>
      <c r="AJ215" t="s">
        <v>13</v>
      </c>
      <c r="AK215" t="s">
        <v>15</v>
      </c>
      <c r="AM215" t="b">
        <f t="shared" si="3"/>
        <v>0</v>
      </c>
    </row>
    <row r="216" spans="1:39" x14ac:dyDescent="0.25">
      <c r="A216">
        <v>215</v>
      </c>
      <c r="B216">
        <v>215</v>
      </c>
      <c r="C216" t="s">
        <v>227</v>
      </c>
      <c r="D216">
        <v>25</v>
      </c>
      <c r="E216">
        <v>2</v>
      </c>
      <c r="F216">
        <v>60</v>
      </c>
      <c r="G216">
        <v>73.5</v>
      </c>
      <c r="H216">
        <v>103</v>
      </c>
      <c r="I216">
        <v>2</v>
      </c>
      <c r="J216">
        <v>2</v>
      </c>
      <c r="K216">
        <v>5</v>
      </c>
      <c r="L216">
        <v>3</v>
      </c>
      <c r="M216" s="4" t="s">
        <v>36</v>
      </c>
      <c r="N216">
        <v>2</v>
      </c>
      <c r="O216" s="4">
        <v>1</v>
      </c>
      <c r="P216">
        <v>4</v>
      </c>
      <c r="Q216" s="4">
        <v>5.85</v>
      </c>
      <c r="R216">
        <v>14.2</v>
      </c>
      <c r="S216">
        <v>5.93</v>
      </c>
      <c r="T216">
        <v>11.49</v>
      </c>
      <c r="U216">
        <v>2</v>
      </c>
      <c r="V216">
        <v>110</v>
      </c>
      <c r="W216">
        <v>70</v>
      </c>
      <c r="X216">
        <v>2</v>
      </c>
      <c r="AC216">
        <v>2</v>
      </c>
      <c r="AD216">
        <v>2</v>
      </c>
      <c r="AF216">
        <v>198</v>
      </c>
      <c r="AG216">
        <v>87.3</v>
      </c>
      <c r="AH216">
        <v>116</v>
      </c>
      <c r="AI216">
        <v>684</v>
      </c>
      <c r="AJ216" t="s">
        <v>13</v>
      </c>
      <c r="AK216" t="s">
        <v>15</v>
      </c>
      <c r="AM216" t="b">
        <f t="shared" si="3"/>
        <v>0</v>
      </c>
    </row>
    <row r="217" spans="1:39" x14ac:dyDescent="0.25">
      <c r="A217">
        <v>216</v>
      </c>
      <c r="B217">
        <v>216</v>
      </c>
      <c r="C217" t="s">
        <v>228</v>
      </c>
      <c r="D217">
        <v>48</v>
      </c>
      <c r="E217">
        <v>2</v>
      </c>
      <c r="F217">
        <v>58</v>
      </c>
      <c r="G217">
        <v>63.4</v>
      </c>
      <c r="H217">
        <v>102</v>
      </c>
      <c r="I217">
        <v>2</v>
      </c>
      <c r="J217">
        <v>2</v>
      </c>
      <c r="K217">
        <v>3</v>
      </c>
      <c r="L217">
        <v>2</v>
      </c>
      <c r="M217" s="4" t="s">
        <v>36</v>
      </c>
      <c r="N217">
        <v>1</v>
      </c>
      <c r="O217" s="4">
        <v>2</v>
      </c>
      <c r="P217">
        <v>1</v>
      </c>
      <c r="Q217" s="4">
        <v>5.92</v>
      </c>
      <c r="R217">
        <v>17.79</v>
      </c>
      <c r="S217">
        <v>8.58</v>
      </c>
      <c r="T217">
        <v>10.01</v>
      </c>
      <c r="U217">
        <v>1</v>
      </c>
      <c r="V217">
        <v>150</v>
      </c>
      <c r="W217">
        <v>100</v>
      </c>
      <c r="X217">
        <v>1</v>
      </c>
      <c r="Y217">
        <v>1</v>
      </c>
      <c r="Z217">
        <v>1</v>
      </c>
      <c r="AA217">
        <v>2</v>
      </c>
      <c r="AB217">
        <v>1</v>
      </c>
      <c r="AC217">
        <v>3</v>
      </c>
      <c r="AF217">
        <v>294</v>
      </c>
      <c r="AG217">
        <v>44.6</v>
      </c>
      <c r="AH217">
        <v>52</v>
      </c>
      <c r="AI217">
        <v>94.9</v>
      </c>
      <c r="AJ217" t="s">
        <v>229</v>
      </c>
      <c r="AK217" t="s">
        <v>121</v>
      </c>
      <c r="AM217" t="b">
        <f t="shared" si="3"/>
        <v>1</v>
      </c>
    </row>
    <row r="218" spans="1:39" x14ac:dyDescent="0.25">
      <c r="A218">
        <v>217</v>
      </c>
      <c r="B218">
        <v>217</v>
      </c>
      <c r="C218" t="s">
        <v>230</v>
      </c>
      <c r="D218">
        <v>60</v>
      </c>
      <c r="E218">
        <v>2</v>
      </c>
      <c r="F218">
        <v>57</v>
      </c>
      <c r="G218">
        <v>40.4</v>
      </c>
      <c r="H218">
        <v>77</v>
      </c>
      <c r="I218">
        <v>2</v>
      </c>
      <c r="J218">
        <v>2</v>
      </c>
      <c r="K218">
        <v>2</v>
      </c>
      <c r="L218">
        <v>1</v>
      </c>
      <c r="M218" s="4" t="s">
        <v>117</v>
      </c>
      <c r="N218">
        <v>2</v>
      </c>
      <c r="O218" s="4">
        <v>5</v>
      </c>
      <c r="P218">
        <v>1</v>
      </c>
      <c r="Q218" s="4">
        <v>7.43</v>
      </c>
      <c r="R218">
        <v>22.7</v>
      </c>
      <c r="S218">
        <v>7.62</v>
      </c>
      <c r="T218">
        <v>8.1300000000000008</v>
      </c>
      <c r="U218">
        <v>1</v>
      </c>
      <c r="V218">
        <v>160</v>
      </c>
      <c r="W218">
        <v>90</v>
      </c>
      <c r="X218">
        <v>2</v>
      </c>
      <c r="AC218">
        <v>5</v>
      </c>
      <c r="AF218">
        <v>210</v>
      </c>
      <c r="AG218">
        <v>64.2</v>
      </c>
      <c r="AH218">
        <v>137.5</v>
      </c>
      <c r="AI218">
        <v>180.2</v>
      </c>
      <c r="AJ218" t="s">
        <v>13</v>
      </c>
      <c r="AK218" t="s">
        <v>15</v>
      </c>
      <c r="AL218" t="s">
        <v>146</v>
      </c>
      <c r="AM218" t="b">
        <f t="shared" si="3"/>
        <v>1</v>
      </c>
    </row>
    <row r="219" spans="1:39" x14ac:dyDescent="0.25">
      <c r="A219">
        <v>218</v>
      </c>
      <c r="B219">
        <v>218</v>
      </c>
      <c r="C219" t="s">
        <v>231</v>
      </c>
      <c r="D219">
        <v>66</v>
      </c>
      <c r="E219">
        <v>1</v>
      </c>
      <c r="F219">
        <v>65.5</v>
      </c>
      <c r="G219">
        <v>55.3</v>
      </c>
      <c r="H219">
        <v>85</v>
      </c>
      <c r="I219">
        <v>2</v>
      </c>
      <c r="J219">
        <v>2</v>
      </c>
      <c r="K219">
        <v>3</v>
      </c>
      <c r="L219">
        <v>3</v>
      </c>
      <c r="M219" s="4" t="s">
        <v>144</v>
      </c>
      <c r="N219">
        <v>2</v>
      </c>
      <c r="O219" s="4">
        <v>25</v>
      </c>
      <c r="P219">
        <v>3</v>
      </c>
      <c r="Q219" s="4">
        <v>5.99</v>
      </c>
      <c r="R219">
        <v>24.6</v>
      </c>
      <c r="S219">
        <v>8.32</v>
      </c>
      <c r="T219">
        <v>12.7</v>
      </c>
      <c r="U219">
        <v>1</v>
      </c>
      <c r="V219">
        <v>110</v>
      </c>
      <c r="W219">
        <v>70</v>
      </c>
      <c r="X219">
        <v>1</v>
      </c>
      <c r="Z219">
        <v>1</v>
      </c>
      <c r="AA219">
        <v>1</v>
      </c>
      <c r="AB219">
        <v>1</v>
      </c>
      <c r="AC219">
        <v>1</v>
      </c>
      <c r="AF219">
        <v>208</v>
      </c>
      <c r="AG219">
        <v>76</v>
      </c>
      <c r="AH219">
        <v>85.3</v>
      </c>
      <c r="AI219">
        <v>184.4</v>
      </c>
      <c r="AJ219" t="s">
        <v>13</v>
      </c>
      <c r="AK219" t="s">
        <v>121</v>
      </c>
      <c r="AM219" t="b">
        <f t="shared" si="3"/>
        <v>0</v>
      </c>
    </row>
    <row r="220" spans="1:39" x14ac:dyDescent="0.25">
      <c r="A220">
        <v>219</v>
      </c>
      <c r="B220">
        <v>219</v>
      </c>
      <c r="C220" t="s">
        <v>232</v>
      </c>
      <c r="D220">
        <v>37</v>
      </c>
      <c r="E220">
        <v>2</v>
      </c>
      <c r="F220">
        <v>61</v>
      </c>
      <c r="G220">
        <v>71.5</v>
      </c>
      <c r="H220">
        <v>97</v>
      </c>
      <c r="I220">
        <v>2</v>
      </c>
      <c r="J220">
        <v>2</v>
      </c>
      <c r="K220">
        <v>3</v>
      </c>
      <c r="L220">
        <v>4</v>
      </c>
      <c r="M220" s="4" t="s">
        <v>36</v>
      </c>
      <c r="N220">
        <v>2</v>
      </c>
      <c r="O220" s="4">
        <v>1</v>
      </c>
      <c r="P220">
        <v>1</v>
      </c>
      <c r="Q220" s="4">
        <v>7.99</v>
      </c>
      <c r="R220">
        <v>11.26</v>
      </c>
      <c r="S220">
        <v>7.94</v>
      </c>
      <c r="T220">
        <v>11.16</v>
      </c>
      <c r="U220">
        <v>2</v>
      </c>
      <c r="V220">
        <v>110</v>
      </c>
      <c r="W220">
        <v>70</v>
      </c>
      <c r="X220">
        <v>2</v>
      </c>
      <c r="AC220">
        <v>3</v>
      </c>
      <c r="AD220">
        <v>2</v>
      </c>
      <c r="AF220">
        <v>158</v>
      </c>
      <c r="AG220">
        <v>89.3</v>
      </c>
      <c r="AH220">
        <v>115</v>
      </c>
      <c r="AI220">
        <v>253.3</v>
      </c>
      <c r="AJ220" t="s">
        <v>13</v>
      </c>
      <c r="AK220" t="s">
        <v>13</v>
      </c>
      <c r="AM220" t="b">
        <f t="shared" si="3"/>
        <v>0</v>
      </c>
    </row>
    <row r="221" spans="1:39" x14ac:dyDescent="0.25">
      <c r="A221">
        <v>220</v>
      </c>
      <c r="B221">
        <v>220</v>
      </c>
      <c r="C221" t="s">
        <v>233</v>
      </c>
      <c r="D221">
        <v>55</v>
      </c>
      <c r="E221">
        <v>2</v>
      </c>
      <c r="F221">
        <v>58</v>
      </c>
      <c r="G221">
        <v>62.1</v>
      </c>
      <c r="H221">
        <v>96</v>
      </c>
      <c r="I221">
        <v>2</v>
      </c>
      <c r="J221">
        <v>2</v>
      </c>
      <c r="K221">
        <v>2</v>
      </c>
      <c r="L221">
        <v>2</v>
      </c>
      <c r="M221" s="4" t="s">
        <v>36</v>
      </c>
      <c r="N221">
        <v>2</v>
      </c>
      <c r="O221" s="4">
        <v>17</v>
      </c>
      <c r="P221">
        <v>3</v>
      </c>
      <c r="Q221" s="4">
        <v>7.67</v>
      </c>
      <c r="R221">
        <v>24.1</v>
      </c>
      <c r="S221">
        <v>5.67</v>
      </c>
      <c r="T221">
        <v>10.17</v>
      </c>
      <c r="U221">
        <v>2</v>
      </c>
      <c r="V221">
        <v>130</v>
      </c>
      <c r="W221">
        <v>80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2</v>
      </c>
      <c r="AD221">
        <v>2</v>
      </c>
      <c r="AF221">
        <v>294</v>
      </c>
      <c r="AG221">
        <v>64</v>
      </c>
      <c r="AH221">
        <v>197.6</v>
      </c>
      <c r="AI221">
        <v>94.9</v>
      </c>
      <c r="AJ221" t="s">
        <v>157</v>
      </c>
      <c r="AK221" t="s">
        <v>121</v>
      </c>
      <c r="AM221" t="b">
        <f t="shared" si="3"/>
        <v>0</v>
      </c>
    </row>
    <row r="222" spans="1:39" x14ac:dyDescent="0.25">
      <c r="AM222">
        <f>COUNTIF(AM2:AM221, TRUE)</f>
        <v>102</v>
      </c>
    </row>
    <row r="230" spans="36:37" x14ac:dyDescent="0.25">
      <c r="AJ230" s="6"/>
      <c r="AK230" s="6"/>
    </row>
    <row r="241" spans="23:35" x14ac:dyDescent="0.25">
      <c r="W241" s="4"/>
      <c r="Y241" s="4"/>
      <c r="AA241" s="4"/>
      <c r="AC241" s="4"/>
    </row>
    <row r="245" spans="23:35" x14ac:dyDescent="0.25">
      <c r="AI245" s="6"/>
    </row>
  </sheetData>
  <conditionalFormatting sqref="AM2:AM222">
    <cfRule type="containsText" dxfId="0" priority="1" operator="containsText" text="TRUE">
      <formula>NOT(ISERROR(SEARCH("TRUE",AM2)))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farhana jahan</dc:creator>
  <cp:lastModifiedBy>Ibrahim All-Mamun</cp:lastModifiedBy>
  <dcterms:created xsi:type="dcterms:W3CDTF">2025-09-04T07:36:44Z</dcterms:created>
  <dcterms:modified xsi:type="dcterms:W3CDTF">2026-02-03T08:14:34Z</dcterms:modified>
</cp:coreProperties>
</file>